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Oliver\Desktop\"/>
    </mc:Choice>
  </mc:AlternateContent>
  <bookViews>
    <workbookView xWindow="480" yWindow="315" windowWidth="11355" windowHeight="7830" tabRatio="645" firstSheet="3" activeTab="9"/>
  </bookViews>
  <sheets>
    <sheet name="Welcome" sheetId="21" r:id="rId1"/>
    <sheet name="Instructions" sheetId="13" r:id="rId2"/>
    <sheet name="General Set-Up" sheetId="12" r:id="rId3"/>
    <sheet name="Retail Pricing Sheet" sheetId="15" r:id="rId4"/>
    <sheet name="Retail Pricing RI+TPS" sheetId="27" state="hidden" r:id="rId5"/>
    <sheet name="Standard Discounts" sheetId="25" r:id="rId6"/>
    <sheet name="E-Channels" sheetId="26" r:id="rId7"/>
    <sheet name="Special Corporate+ Rates" sheetId="20" r:id="rId8"/>
    <sheet name="Special Corporate+ RI+TPS" sheetId="28" state="hidden" r:id="rId9"/>
    <sheet name="Packages" sheetId="22" r:id="rId10"/>
    <sheet name="DATA" sheetId="29" state="hidden" r:id="rId11"/>
    <sheet name="DropDown" sheetId="14" state="hidden" r:id="rId12"/>
    <sheet name="Versions" sheetId="30" state="hidden" r:id="rId13"/>
  </sheets>
  <definedNames>
    <definedName name="_xlnm.Print_Area" localSheetId="1">Instructions!$A$1:$E$42</definedName>
    <definedName name="wBrand">Welcome!$F$13</definedName>
  </definedNames>
  <calcPr calcId="152511"/>
</workbook>
</file>

<file path=xl/calcChain.xml><?xml version="1.0" encoding="utf-8"?>
<calcChain xmlns="http://schemas.openxmlformats.org/spreadsheetml/2006/main">
  <c r="J340" i="29" l="1"/>
  <c r="J339" i="29"/>
  <c r="J338" i="29"/>
  <c r="J337" i="29"/>
  <c r="J336" i="29"/>
  <c r="J335" i="29"/>
  <c r="J334" i="29"/>
  <c r="J333" i="29"/>
  <c r="J332" i="29"/>
  <c r="J331" i="29"/>
  <c r="J330" i="29"/>
  <c r="J329" i="29"/>
  <c r="J328" i="29"/>
  <c r="J327" i="29"/>
  <c r="J326" i="29"/>
  <c r="J325" i="29"/>
  <c r="J324" i="29"/>
  <c r="AP467" i="29" l="1"/>
  <c r="AO467" i="29"/>
  <c r="AN467" i="29"/>
  <c r="AM467" i="29"/>
  <c r="AL467" i="29"/>
  <c r="AK467" i="29"/>
  <c r="AJ467" i="29"/>
  <c r="AI467" i="29"/>
  <c r="AH467" i="29"/>
  <c r="AG467" i="29"/>
  <c r="AF467" i="29"/>
  <c r="AE467" i="29"/>
  <c r="AD467" i="29"/>
  <c r="AC467" i="29"/>
  <c r="AB467" i="29"/>
  <c r="AA467" i="29"/>
  <c r="Z467" i="29"/>
  <c r="Y467" i="29"/>
  <c r="X467" i="29"/>
  <c r="W467" i="29"/>
  <c r="V467" i="29"/>
  <c r="U467" i="29"/>
  <c r="T467" i="29"/>
  <c r="S467" i="29"/>
  <c r="R467" i="29"/>
  <c r="Q467" i="29"/>
  <c r="P467" i="29"/>
  <c r="O467" i="29"/>
  <c r="N467" i="29"/>
  <c r="M467" i="29"/>
  <c r="L467" i="29"/>
  <c r="K467" i="29"/>
  <c r="J467" i="29"/>
  <c r="I467" i="29"/>
  <c r="H467" i="29"/>
  <c r="G467" i="29"/>
  <c r="F467" i="29"/>
  <c r="E467" i="29"/>
  <c r="D467" i="29"/>
  <c r="C467" i="29"/>
  <c r="B467" i="29"/>
  <c r="G27" i="29" l="1"/>
  <c r="G28" i="29"/>
  <c r="G29" i="29"/>
  <c r="G30" i="29"/>
  <c r="G31" i="29"/>
  <c r="G32" i="29"/>
  <c r="G33" i="29"/>
  <c r="G34" i="29"/>
  <c r="G35" i="29"/>
  <c r="G36" i="29"/>
  <c r="G37" i="29"/>
  <c r="G38" i="29"/>
  <c r="G39" i="29"/>
  <c r="G40" i="29"/>
  <c r="G41" i="29"/>
  <c r="G26" i="29"/>
  <c r="M258" i="29" l="1"/>
  <c r="L258" i="29"/>
  <c r="K258" i="29"/>
  <c r="J258" i="29"/>
  <c r="I258" i="29"/>
  <c r="H258" i="29"/>
  <c r="M257" i="29"/>
  <c r="L257" i="29"/>
  <c r="K257" i="29"/>
  <c r="J257" i="29"/>
  <c r="I257" i="29"/>
  <c r="H257" i="29"/>
  <c r="M256" i="29"/>
  <c r="I256" i="29"/>
  <c r="M255" i="29"/>
  <c r="K255" i="29"/>
  <c r="J255" i="29"/>
  <c r="I255" i="29"/>
  <c r="M254" i="29"/>
  <c r="L254" i="29"/>
  <c r="K254" i="29"/>
  <c r="J254" i="29"/>
  <c r="I254" i="29"/>
  <c r="H254" i="29"/>
  <c r="M253" i="29"/>
  <c r="L253" i="29"/>
  <c r="K253" i="29"/>
  <c r="J253" i="29"/>
  <c r="I253" i="29"/>
  <c r="H253" i="29"/>
  <c r="M252" i="29"/>
  <c r="L252" i="29"/>
  <c r="K252" i="29"/>
  <c r="J252" i="29"/>
  <c r="I252" i="29"/>
  <c r="H252" i="29"/>
  <c r="I55" i="25"/>
  <c r="I56" i="25" s="1"/>
  <c r="M56" i="25" s="1"/>
  <c r="L256" i="29" s="1"/>
  <c r="M55" i="25"/>
  <c r="L255" i="29" s="1"/>
  <c r="M326" i="29"/>
  <c r="L325" i="29"/>
  <c r="L326" i="29"/>
  <c r="K326" i="29"/>
  <c r="K325" i="29"/>
  <c r="H255" i="29" l="1"/>
  <c r="H256" i="29"/>
  <c r="K56" i="25"/>
  <c r="J256" i="29" s="1"/>
  <c r="L56" i="25"/>
  <c r="K256" i="29" s="1"/>
  <c r="G7" i="15" l="1"/>
  <c r="H7" i="15"/>
  <c r="G8" i="15"/>
  <c r="H8" i="15"/>
  <c r="G9" i="15"/>
  <c r="H9" i="15"/>
  <c r="G10" i="15"/>
  <c r="H10" i="15"/>
  <c r="G11" i="15"/>
  <c r="H11" i="15"/>
  <c r="G12" i="15"/>
  <c r="H12" i="15"/>
  <c r="G13" i="15"/>
  <c r="H13" i="15"/>
  <c r="G14" i="15"/>
  <c r="H14" i="15"/>
  <c r="G15" i="15"/>
  <c r="H15" i="15"/>
  <c r="G16" i="15"/>
  <c r="H16" i="15"/>
  <c r="G17" i="15"/>
  <c r="H17" i="15"/>
  <c r="G18" i="15"/>
  <c r="H18" i="15"/>
  <c r="G19" i="15"/>
  <c r="H19" i="15"/>
  <c r="G20" i="15"/>
  <c r="H20" i="15"/>
  <c r="G6" i="15"/>
  <c r="H6" i="15"/>
  <c r="E14" i="29" l="1"/>
  <c r="K17" i="27" l="1"/>
  <c r="D50" i="27" l="1"/>
  <c r="D45" i="27" l="1"/>
  <c r="G17" i="27" l="1"/>
  <c r="A57" i="29" l="1"/>
  <c r="I7" i="25" l="1"/>
  <c r="I8" i="25" s="1"/>
  <c r="M7" i="25"/>
  <c r="M249" i="29" l="1"/>
  <c r="L249" i="29"/>
  <c r="K249" i="29"/>
  <c r="J249" i="29"/>
  <c r="I249" i="29"/>
  <c r="H249" i="29"/>
  <c r="M248" i="29"/>
  <c r="L248" i="29"/>
  <c r="K248" i="29"/>
  <c r="J248" i="29"/>
  <c r="I248" i="29"/>
  <c r="H248" i="29"/>
  <c r="M247" i="29"/>
  <c r="I247" i="29"/>
  <c r="M246" i="29"/>
  <c r="L246" i="29"/>
  <c r="K246" i="29"/>
  <c r="J246" i="29"/>
  <c r="I246" i="29"/>
  <c r="M245" i="29"/>
  <c r="L245" i="29"/>
  <c r="K245" i="29"/>
  <c r="J245" i="29"/>
  <c r="I245" i="29"/>
  <c r="H245" i="29"/>
  <c r="M244" i="29"/>
  <c r="L244" i="29"/>
  <c r="K244" i="29"/>
  <c r="J244" i="29"/>
  <c r="I244" i="29"/>
  <c r="H244" i="29"/>
  <c r="M243" i="29"/>
  <c r="L243" i="29"/>
  <c r="K243" i="29"/>
  <c r="J243" i="29"/>
  <c r="I243" i="29"/>
  <c r="H243" i="29"/>
  <c r="C29" i="12"/>
  <c r="H247" i="29" l="1"/>
  <c r="M8" i="25"/>
  <c r="L247" i="29" s="1"/>
  <c r="H246" i="29"/>
  <c r="L8" i="25"/>
  <c r="K247" i="29" s="1"/>
  <c r="K8" i="25"/>
  <c r="J247" i="29" s="1"/>
  <c r="D29" i="12"/>
  <c r="E29" i="12" s="1"/>
  <c r="U50" i="27" l="1"/>
  <c r="T50" i="27"/>
  <c r="S50" i="27"/>
  <c r="R50" i="27"/>
  <c r="Q50" i="27"/>
  <c r="P50" i="27"/>
  <c r="O50" i="27"/>
  <c r="N50" i="27"/>
  <c r="M50" i="27"/>
  <c r="L50" i="27"/>
  <c r="K50" i="27"/>
  <c r="J50" i="27"/>
  <c r="I50" i="27"/>
  <c r="H50" i="27"/>
  <c r="G50" i="27"/>
  <c r="U32" i="27"/>
  <c r="T32" i="27"/>
  <c r="S32" i="27"/>
  <c r="R32" i="27"/>
  <c r="Q32" i="27"/>
  <c r="P32" i="27"/>
  <c r="O32" i="27"/>
  <c r="N32" i="27"/>
  <c r="M32" i="27"/>
  <c r="L32" i="27"/>
  <c r="K32" i="27"/>
  <c r="J32" i="27"/>
  <c r="U31" i="27"/>
  <c r="T31" i="27"/>
  <c r="S31" i="27"/>
  <c r="R31" i="27"/>
  <c r="Q31" i="27"/>
  <c r="P31" i="27"/>
  <c r="O31" i="27"/>
  <c r="N31" i="27"/>
  <c r="M31" i="27"/>
  <c r="L31" i="27"/>
  <c r="K31" i="27"/>
  <c r="J31" i="27"/>
  <c r="U30" i="27"/>
  <c r="T30" i="27"/>
  <c r="S30" i="27"/>
  <c r="R30" i="27"/>
  <c r="Q30" i="27"/>
  <c r="P30" i="27"/>
  <c r="O30" i="27"/>
  <c r="N30" i="27"/>
  <c r="M30" i="27"/>
  <c r="L30" i="27"/>
  <c r="K30" i="27"/>
  <c r="J30" i="27"/>
  <c r="U29" i="27"/>
  <c r="T29" i="27"/>
  <c r="S29" i="27"/>
  <c r="R29" i="27"/>
  <c r="Q29" i="27"/>
  <c r="P29" i="27"/>
  <c r="O29" i="27"/>
  <c r="N29" i="27"/>
  <c r="M29" i="27"/>
  <c r="L29" i="27"/>
  <c r="K29" i="27"/>
  <c r="J29" i="27"/>
  <c r="U28" i="27"/>
  <c r="T28" i="27"/>
  <c r="S28" i="27"/>
  <c r="R28" i="27"/>
  <c r="Q28" i="27"/>
  <c r="P28" i="27"/>
  <c r="O28" i="27"/>
  <c r="N28" i="27"/>
  <c r="M28" i="27"/>
  <c r="L28" i="27"/>
  <c r="K28" i="27"/>
  <c r="J28" i="27"/>
  <c r="U27" i="27"/>
  <c r="T27" i="27"/>
  <c r="S27" i="27"/>
  <c r="R27" i="27"/>
  <c r="Q27" i="27"/>
  <c r="P27" i="27"/>
  <c r="O27" i="27"/>
  <c r="N27" i="27"/>
  <c r="M27" i="27"/>
  <c r="L27" i="27"/>
  <c r="K27" i="27"/>
  <c r="J27" i="27"/>
  <c r="U26" i="27"/>
  <c r="T26" i="27"/>
  <c r="S26" i="27"/>
  <c r="R26" i="27"/>
  <c r="Q26" i="27"/>
  <c r="P26" i="27"/>
  <c r="O26" i="27"/>
  <c r="N26" i="27"/>
  <c r="M26" i="27"/>
  <c r="L26" i="27"/>
  <c r="K26" i="27"/>
  <c r="J26" i="27"/>
  <c r="U25" i="27"/>
  <c r="T25" i="27"/>
  <c r="S25" i="27"/>
  <c r="R25" i="27"/>
  <c r="Q25" i="27"/>
  <c r="P25" i="27"/>
  <c r="O25" i="27"/>
  <c r="N25" i="27"/>
  <c r="M25" i="27"/>
  <c r="L25" i="27"/>
  <c r="K25" i="27"/>
  <c r="J25" i="27"/>
  <c r="U24" i="27"/>
  <c r="T24" i="27"/>
  <c r="S24" i="27"/>
  <c r="R24" i="27"/>
  <c r="Q24" i="27"/>
  <c r="P24" i="27"/>
  <c r="O24" i="27"/>
  <c r="N24" i="27"/>
  <c r="M24" i="27"/>
  <c r="L24" i="27"/>
  <c r="K24" i="27"/>
  <c r="J24" i="27"/>
  <c r="U23" i="27"/>
  <c r="T23" i="27"/>
  <c r="S23" i="27"/>
  <c r="R23" i="27"/>
  <c r="Q23" i="27"/>
  <c r="P23" i="27"/>
  <c r="O23" i="27"/>
  <c r="N23" i="27"/>
  <c r="M23" i="27"/>
  <c r="L23" i="27"/>
  <c r="K23" i="27"/>
  <c r="J23" i="27"/>
  <c r="U22" i="27"/>
  <c r="T22" i="27"/>
  <c r="S22" i="27"/>
  <c r="R22" i="27"/>
  <c r="Q22" i="27"/>
  <c r="P22" i="27"/>
  <c r="O22" i="27"/>
  <c r="N22" i="27"/>
  <c r="M22" i="27"/>
  <c r="L22" i="27"/>
  <c r="K22" i="27"/>
  <c r="J22" i="27"/>
  <c r="U21" i="27"/>
  <c r="T21" i="27"/>
  <c r="S21" i="27"/>
  <c r="R21" i="27"/>
  <c r="Q21" i="27"/>
  <c r="P21" i="27"/>
  <c r="O21" i="27"/>
  <c r="N21" i="27"/>
  <c r="M21" i="27"/>
  <c r="L21" i="27"/>
  <c r="K21" i="27"/>
  <c r="J21" i="27"/>
  <c r="U20" i="27"/>
  <c r="T20" i="27"/>
  <c r="S20" i="27"/>
  <c r="R20" i="27"/>
  <c r="Q20" i="27"/>
  <c r="P20" i="27"/>
  <c r="O20" i="27"/>
  <c r="N20" i="27"/>
  <c r="J20" i="27"/>
  <c r="U19" i="27"/>
  <c r="T19" i="27"/>
  <c r="S19" i="27"/>
  <c r="R19" i="27"/>
  <c r="Q19" i="27"/>
  <c r="P19" i="27"/>
  <c r="O19" i="27"/>
  <c r="N19" i="27"/>
  <c r="J19" i="27"/>
  <c r="U18" i="27"/>
  <c r="T18" i="27"/>
  <c r="S18" i="27"/>
  <c r="R18" i="27"/>
  <c r="Q18" i="27"/>
  <c r="P18" i="27"/>
  <c r="O18" i="27"/>
  <c r="N18" i="27"/>
  <c r="J18" i="27"/>
  <c r="U20" i="15"/>
  <c r="T20" i="15"/>
  <c r="S20" i="15"/>
  <c r="R20" i="15"/>
  <c r="Q20" i="15"/>
  <c r="P20" i="15"/>
  <c r="O20" i="15"/>
  <c r="N20" i="15"/>
  <c r="M20" i="15"/>
  <c r="L20" i="15"/>
  <c r="K20" i="15"/>
  <c r="J20" i="15"/>
  <c r="I20" i="15"/>
  <c r="U19" i="15"/>
  <c r="T19" i="15"/>
  <c r="S19" i="15"/>
  <c r="R19" i="15"/>
  <c r="Q19" i="15"/>
  <c r="P19" i="15"/>
  <c r="O19" i="15"/>
  <c r="N19" i="15"/>
  <c r="M19" i="15"/>
  <c r="L19" i="15"/>
  <c r="K19" i="15"/>
  <c r="J19" i="15"/>
  <c r="I19" i="15"/>
  <c r="U18" i="15"/>
  <c r="T18" i="15"/>
  <c r="S18" i="15"/>
  <c r="R18" i="15"/>
  <c r="Q18" i="15"/>
  <c r="P18" i="15"/>
  <c r="O18" i="15"/>
  <c r="N18" i="15"/>
  <c r="M18" i="15"/>
  <c r="L18" i="15"/>
  <c r="K18" i="15"/>
  <c r="J18" i="15"/>
  <c r="I18" i="15"/>
  <c r="U17" i="15"/>
  <c r="T17" i="15"/>
  <c r="S17" i="15"/>
  <c r="R17" i="15"/>
  <c r="Q17" i="15"/>
  <c r="P17" i="15"/>
  <c r="O17" i="15"/>
  <c r="N17" i="15"/>
  <c r="M17" i="15"/>
  <c r="L17" i="15"/>
  <c r="K17" i="15"/>
  <c r="J17" i="15"/>
  <c r="I17" i="15"/>
  <c r="U16" i="15"/>
  <c r="T16" i="15"/>
  <c r="S16" i="15"/>
  <c r="R16" i="15"/>
  <c r="Q16" i="15"/>
  <c r="P16" i="15"/>
  <c r="O16" i="15"/>
  <c r="N16" i="15"/>
  <c r="M16" i="15"/>
  <c r="L16" i="15"/>
  <c r="K16" i="15"/>
  <c r="J16" i="15"/>
  <c r="I16" i="15"/>
  <c r="U15" i="15"/>
  <c r="T15" i="15"/>
  <c r="S15" i="15"/>
  <c r="R15" i="15"/>
  <c r="Q15" i="15"/>
  <c r="P15" i="15"/>
  <c r="O15" i="15"/>
  <c r="N15" i="15"/>
  <c r="M15" i="15"/>
  <c r="L15" i="15"/>
  <c r="K15" i="15"/>
  <c r="J15" i="15"/>
  <c r="I15" i="15"/>
  <c r="U14" i="15"/>
  <c r="T14" i="15"/>
  <c r="S14" i="15"/>
  <c r="R14" i="15"/>
  <c r="Q14" i="15"/>
  <c r="P14" i="15"/>
  <c r="O14" i="15"/>
  <c r="N14" i="15"/>
  <c r="M14" i="15"/>
  <c r="L14" i="15"/>
  <c r="K14" i="15"/>
  <c r="J14" i="15"/>
  <c r="I14" i="15"/>
  <c r="U13" i="15"/>
  <c r="T13" i="15"/>
  <c r="S13" i="15"/>
  <c r="R13" i="15"/>
  <c r="Q13" i="15"/>
  <c r="P13" i="15"/>
  <c r="O13" i="15"/>
  <c r="N13" i="15"/>
  <c r="M13" i="15"/>
  <c r="L13" i="15"/>
  <c r="K13" i="15"/>
  <c r="J13" i="15"/>
  <c r="I13" i="15"/>
  <c r="U12" i="15"/>
  <c r="T12" i="15"/>
  <c r="S12" i="15"/>
  <c r="R12" i="15"/>
  <c r="Q12" i="15"/>
  <c r="P12" i="15"/>
  <c r="O12" i="15"/>
  <c r="N12" i="15"/>
  <c r="M12" i="15"/>
  <c r="L12" i="15"/>
  <c r="K12" i="15"/>
  <c r="J12" i="15"/>
  <c r="I12" i="15"/>
  <c r="U11" i="15"/>
  <c r="T11" i="15"/>
  <c r="S11" i="15"/>
  <c r="R11" i="15"/>
  <c r="Q11" i="15"/>
  <c r="P11" i="15"/>
  <c r="O11" i="15"/>
  <c r="N11" i="15"/>
  <c r="M11" i="15"/>
  <c r="L11" i="15"/>
  <c r="K11" i="15"/>
  <c r="J11" i="15"/>
  <c r="I11" i="15"/>
  <c r="U10" i="15"/>
  <c r="T10" i="15"/>
  <c r="S10" i="15"/>
  <c r="R10" i="15"/>
  <c r="Q10" i="15"/>
  <c r="P10" i="15"/>
  <c r="O10" i="15"/>
  <c r="N10" i="15"/>
  <c r="M10" i="15"/>
  <c r="L10" i="15"/>
  <c r="K10" i="15"/>
  <c r="J10" i="15"/>
  <c r="I10" i="15"/>
  <c r="U9" i="15"/>
  <c r="T9" i="15"/>
  <c r="S9" i="15"/>
  <c r="R9" i="15"/>
  <c r="Q9" i="15"/>
  <c r="P9" i="15"/>
  <c r="O9" i="15"/>
  <c r="N9" i="15"/>
  <c r="M9" i="15"/>
  <c r="L9" i="15"/>
  <c r="K9" i="15"/>
  <c r="J9" i="15"/>
  <c r="I9" i="15"/>
  <c r="U8" i="15"/>
  <c r="T8" i="15"/>
  <c r="S8" i="15"/>
  <c r="R8" i="15"/>
  <c r="Q8" i="15"/>
  <c r="P8" i="15"/>
  <c r="O8" i="15"/>
  <c r="N8" i="15"/>
  <c r="M8" i="15"/>
  <c r="L8" i="15"/>
  <c r="K8" i="15"/>
  <c r="J8" i="15"/>
  <c r="I8" i="15"/>
  <c r="U7" i="15"/>
  <c r="T7" i="15"/>
  <c r="S7" i="15"/>
  <c r="R7" i="15"/>
  <c r="Q7" i="15"/>
  <c r="P7" i="15"/>
  <c r="O7" i="15"/>
  <c r="N7" i="15"/>
  <c r="M7" i="15"/>
  <c r="L7" i="15"/>
  <c r="K7" i="15"/>
  <c r="J7" i="15"/>
  <c r="I7" i="15"/>
  <c r="U6" i="15"/>
  <c r="T6" i="15"/>
  <c r="S6" i="15"/>
  <c r="R6" i="15"/>
  <c r="Q6" i="15"/>
  <c r="P6" i="15"/>
  <c r="O6" i="15"/>
  <c r="N6" i="15"/>
  <c r="M6" i="15"/>
  <c r="L6" i="15"/>
  <c r="K6" i="15"/>
  <c r="J6" i="15"/>
  <c r="I6" i="15"/>
  <c r="B68" i="25" l="1"/>
  <c r="I17" i="27" l="1"/>
  <c r="H17" i="27"/>
  <c r="E59" i="27" l="1"/>
  <c r="E58" i="27"/>
  <c r="E57" i="27"/>
  <c r="E56" i="27"/>
  <c r="E55" i="27"/>
  <c r="E54" i="27"/>
  <c r="E53" i="27"/>
  <c r="E52" i="27"/>
  <c r="E51" i="27"/>
  <c r="E50" i="27"/>
  <c r="E49" i="27"/>
  <c r="E48" i="27"/>
  <c r="E47" i="27"/>
  <c r="E46" i="27"/>
  <c r="E45" i="27"/>
  <c r="E46" i="15"/>
  <c r="E45" i="15"/>
  <c r="E44" i="15"/>
  <c r="E43" i="15"/>
  <c r="E42" i="15"/>
  <c r="E41" i="15"/>
  <c r="E40" i="15"/>
  <c r="E39" i="15"/>
  <c r="E38" i="15"/>
  <c r="E37" i="15"/>
  <c r="E36" i="15"/>
  <c r="E35" i="15"/>
  <c r="E34" i="15"/>
  <c r="E33" i="15"/>
  <c r="E32" i="15"/>
  <c r="D145" i="29" l="1"/>
  <c r="D146" i="29"/>
  <c r="D147" i="29"/>
  <c r="D148" i="29"/>
  <c r="C90" i="29" l="1"/>
  <c r="D90" i="29"/>
  <c r="E20" i="29" l="1"/>
  <c r="E18" i="29"/>
  <c r="E16" i="29"/>
  <c r="E13" i="29"/>
  <c r="E10" i="29"/>
  <c r="E8" i="29"/>
  <c r="E6" i="29"/>
  <c r="A1" i="29" s="1"/>
  <c r="E4" i="29"/>
  <c r="E2" i="29"/>
  <c r="B24" i="29"/>
  <c r="A26" i="29"/>
  <c r="B26" i="29"/>
  <c r="C26" i="29"/>
  <c r="D26" i="29"/>
  <c r="A27" i="29"/>
  <c r="B27" i="29"/>
  <c r="C27" i="29"/>
  <c r="D27" i="29"/>
  <c r="F151" i="29"/>
  <c r="G151" i="29"/>
  <c r="H151" i="29"/>
  <c r="J151" i="29"/>
  <c r="K151" i="29"/>
  <c r="L151" i="29"/>
  <c r="N151" i="29"/>
  <c r="AP466" i="29"/>
  <c r="AO466" i="29"/>
  <c r="AN466" i="29"/>
  <c r="AM466" i="29"/>
  <c r="AL466" i="29"/>
  <c r="AK466" i="29"/>
  <c r="AJ466" i="29"/>
  <c r="AI466" i="29"/>
  <c r="AH466" i="29"/>
  <c r="AG466" i="29"/>
  <c r="AF466" i="29"/>
  <c r="AE466" i="29"/>
  <c r="AD466" i="29"/>
  <c r="AC466" i="29"/>
  <c r="AB466" i="29"/>
  <c r="AA466" i="29"/>
  <c r="Z466" i="29"/>
  <c r="Y466" i="29"/>
  <c r="X466" i="29"/>
  <c r="W466" i="29"/>
  <c r="V466" i="29"/>
  <c r="U466" i="29"/>
  <c r="T466" i="29"/>
  <c r="S466" i="29"/>
  <c r="R466" i="29"/>
  <c r="Q466" i="29"/>
  <c r="P466" i="29"/>
  <c r="O466" i="29"/>
  <c r="N466" i="29"/>
  <c r="M466" i="29"/>
  <c r="L466" i="29"/>
  <c r="K466" i="29"/>
  <c r="J466" i="29"/>
  <c r="I466" i="29"/>
  <c r="H466" i="29"/>
  <c r="G466" i="29"/>
  <c r="F466" i="29"/>
  <c r="E466" i="29"/>
  <c r="D466" i="29"/>
  <c r="C466" i="29"/>
  <c r="B466" i="29"/>
  <c r="AP465" i="29"/>
  <c r="AO465" i="29"/>
  <c r="AN465" i="29"/>
  <c r="AM465" i="29"/>
  <c r="AL465" i="29"/>
  <c r="AK465" i="29"/>
  <c r="AJ465" i="29"/>
  <c r="AI465" i="29"/>
  <c r="AH465" i="29"/>
  <c r="AG465" i="29"/>
  <c r="AF465" i="29"/>
  <c r="AE465" i="29"/>
  <c r="AD465" i="29"/>
  <c r="AC465" i="29"/>
  <c r="AB465" i="29"/>
  <c r="AA465" i="29"/>
  <c r="Z465" i="29"/>
  <c r="Y465" i="29"/>
  <c r="X465" i="29"/>
  <c r="W465" i="29"/>
  <c r="V465" i="29"/>
  <c r="U465" i="29"/>
  <c r="T465" i="29"/>
  <c r="S465" i="29"/>
  <c r="R465" i="29"/>
  <c r="Q465" i="29"/>
  <c r="P465" i="29"/>
  <c r="O465" i="29"/>
  <c r="N465" i="29"/>
  <c r="M465" i="29"/>
  <c r="L465" i="29"/>
  <c r="K465" i="29"/>
  <c r="J465" i="29"/>
  <c r="I465" i="29"/>
  <c r="H465" i="29"/>
  <c r="G465" i="29"/>
  <c r="F465" i="29"/>
  <c r="E465" i="29"/>
  <c r="D465" i="29"/>
  <c r="C465" i="29"/>
  <c r="B465" i="29"/>
  <c r="AP464" i="29"/>
  <c r="AO464" i="29"/>
  <c r="AN464" i="29"/>
  <c r="AM464" i="29"/>
  <c r="AL464" i="29"/>
  <c r="AK464" i="29"/>
  <c r="AJ464" i="29"/>
  <c r="AI464" i="29"/>
  <c r="AH464" i="29"/>
  <c r="AG464" i="29"/>
  <c r="AF464" i="29"/>
  <c r="AE464" i="29"/>
  <c r="AD464" i="29"/>
  <c r="AC464" i="29"/>
  <c r="AB464" i="29"/>
  <c r="AA464" i="29"/>
  <c r="Z464" i="29"/>
  <c r="Y464" i="29"/>
  <c r="X464" i="29"/>
  <c r="W464" i="29"/>
  <c r="V464" i="29"/>
  <c r="U464" i="29"/>
  <c r="T464" i="29"/>
  <c r="S464" i="29"/>
  <c r="R464" i="29"/>
  <c r="Q464" i="29"/>
  <c r="P464" i="29"/>
  <c r="O464" i="29"/>
  <c r="N464" i="29"/>
  <c r="M464" i="29"/>
  <c r="L464" i="29"/>
  <c r="K464" i="29"/>
  <c r="J464" i="29"/>
  <c r="I464" i="29"/>
  <c r="H464" i="29"/>
  <c r="G464" i="29"/>
  <c r="F464" i="29"/>
  <c r="E464" i="29"/>
  <c r="D464" i="29"/>
  <c r="C464" i="29"/>
  <c r="B464" i="29"/>
  <c r="AP463" i="29"/>
  <c r="AO463" i="29"/>
  <c r="AN463" i="29"/>
  <c r="AM463" i="29"/>
  <c r="AL463" i="29"/>
  <c r="AK463" i="29"/>
  <c r="AJ463" i="29"/>
  <c r="AI463" i="29"/>
  <c r="AH463" i="29"/>
  <c r="AG463" i="29"/>
  <c r="AF463" i="29"/>
  <c r="AE463" i="29"/>
  <c r="AD463" i="29"/>
  <c r="AC463" i="29"/>
  <c r="AB463" i="29"/>
  <c r="AA463" i="29"/>
  <c r="Z463" i="29"/>
  <c r="Y463" i="29"/>
  <c r="X463" i="29"/>
  <c r="W463" i="29"/>
  <c r="V463" i="29"/>
  <c r="U463" i="29"/>
  <c r="T463" i="29"/>
  <c r="S463" i="29"/>
  <c r="R463" i="29"/>
  <c r="Q463" i="29"/>
  <c r="P463" i="29"/>
  <c r="O463" i="29"/>
  <c r="N463" i="29"/>
  <c r="M463" i="29"/>
  <c r="L463" i="29"/>
  <c r="K463" i="29"/>
  <c r="J463" i="29"/>
  <c r="I463" i="29"/>
  <c r="H463" i="29"/>
  <c r="G463" i="29"/>
  <c r="F463" i="29"/>
  <c r="E463" i="29"/>
  <c r="D463" i="29"/>
  <c r="C463" i="29"/>
  <c r="B463" i="29"/>
  <c r="AP462" i="29"/>
  <c r="AO462" i="29"/>
  <c r="AN462" i="29"/>
  <c r="AM462" i="29"/>
  <c r="AL462" i="29"/>
  <c r="AK462" i="29"/>
  <c r="AJ462" i="29"/>
  <c r="AI462" i="29"/>
  <c r="AH462" i="29"/>
  <c r="AG462" i="29"/>
  <c r="AF462" i="29"/>
  <c r="AE462" i="29"/>
  <c r="AD462" i="29"/>
  <c r="AC462" i="29"/>
  <c r="AB462" i="29"/>
  <c r="AA462" i="29"/>
  <c r="Z462" i="29"/>
  <c r="Y462" i="29"/>
  <c r="X462" i="29"/>
  <c r="W462" i="29"/>
  <c r="V462" i="29"/>
  <c r="U462" i="29"/>
  <c r="T462" i="29"/>
  <c r="S462" i="29"/>
  <c r="R462" i="29"/>
  <c r="Q462" i="29"/>
  <c r="P462" i="29"/>
  <c r="O462" i="29"/>
  <c r="N462" i="29"/>
  <c r="M462" i="29"/>
  <c r="L462" i="29"/>
  <c r="K462" i="29"/>
  <c r="J462" i="29"/>
  <c r="I462" i="29"/>
  <c r="H462" i="29"/>
  <c r="G462" i="29"/>
  <c r="F462" i="29"/>
  <c r="E462" i="29"/>
  <c r="D462" i="29"/>
  <c r="C462" i="29"/>
  <c r="B462" i="29"/>
  <c r="AP461" i="29"/>
  <c r="AO461" i="29"/>
  <c r="AN461" i="29"/>
  <c r="AM461" i="29"/>
  <c r="AL461" i="29"/>
  <c r="AK461" i="29"/>
  <c r="AJ461" i="29"/>
  <c r="AI461" i="29"/>
  <c r="AH461" i="29"/>
  <c r="AG461" i="29"/>
  <c r="AF461" i="29"/>
  <c r="AE461" i="29"/>
  <c r="AD461" i="29"/>
  <c r="AC461" i="29"/>
  <c r="AB461" i="29"/>
  <c r="AA461" i="29"/>
  <c r="Z461" i="29"/>
  <c r="Y461" i="29"/>
  <c r="X461" i="29"/>
  <c r="W461" i="29"/>
  <c r="V461" i="29"/>
  <c r="U461" i="29"/>
  <c r="T461" i="29"/>
  <c r="S461" i="29"/>
  <c r="R461" i="29"/>
  <c r="Q461" i="29"/>
  <c r="P461" i="29"/>
  <c r="O461" i="29"/>
  <c r="N461" i="29"/>
  <c r="M461" i="29"/>
  <c r="L461" i="29"/>
  <c r="K461" i="29"/>
  <c r="J461" i="29"/>
  <c r="I461" i="29"/>
  <c r="H461" i="29"/>
  <c r="G461" i="29"/>
  <c r="F461" i="29"/>
  <c r="E461" i="29"/>
  <c r="D461" i="29"/>
  <c r="C461" i="29"/>
  <c r="B461" i="29"/>
  <c r="AP460" i="29"/>
  <c r="AO460" i="29"/>
  <c r="AN460" i="29"/>
  <c r="AM460" i="29"/>
  <c r="AL460" i="29"/>
  <c r="AK460" i="29"/>
  <c r="AJ460" i="29"/>
  <c r="AI460" i="29"/>
  <c r="AH460" i="29"/>
  <c r="AG460" i="29"/>
  <c r="AF460" i="29"/>
  <c r="AE460" i="29"/>
  <c r="AD460" i="29"/>
  <c r="AC460" i="29"/>
  <c r="AB460" i="29"/>
  <c r="AA460" i="29"/>
  <c r="Z460" i="29"/>
  <c r="Y460" i="29"/>
  <c r="X460" i="29"/>
  <c r="W460" i="29"/>
  <c r="V460" i="29"/>
  <c r="U460" i="29"/>
  <c r="T460" i="29"/>
  <c r="S460" i="29"/>
  <c r="R460" i="29"/>
  <c r="Q460" i="29"/>
  <c r="P460" i="29"/>
  <c r="O460" i="29"/>
  <c r="N460" i="29"/>
  <c r="M460" i="29"/>
  <c r="L460" i="29"/>
  <c r="K460" i="29"/>
  <c r="J460" i="29"/>
  <c r="I460" i="29"/>
  <c r="H460" i="29"/>
  <c r="G460" i="29"/>
  <c r="F460" i="29"/>
  <c r="E460" i="29"/>
  <c r="D460" i="29"/>
  <c r="C460" i="29"/>
  <c r="B460" i="29"/>
  <c r="AP459" i="29"/>
  <c r="AO459" i="29"/>
  <c r="AN459" i="29"/>
  <c r="AM459" i="29"/>
  <c r="AL459" i="29"/>
  <c r="AK459" i="29"/>
  <c r="AJ459" i="29"/>
  <c r="AI459" i="29"/>
  <c r="AH459" i="29"/>
  <c r="AG459" i="29"/>
  <c r="AF459" i="29"/>
  <c r="AE459" i="29"/>
  <c r="AD459" i="29"/>
  <c r="AC459" i="29"/>
  <c r="AB459" i="29"/>
  <c r="AA459" i="29"/>
  <c r="Z459" i="29"/>
  <c r="Y459" i="29"/>
  <c r="X459" i="29"/>
  <c r="W459" i="29"/>
  <c r="V459" i="29"/>
  <c r="U459" i="29"/>
  <c r="T459" i="29"/>
  <c r="S459" i="29"/>
  <c r="R459" i="29"/>
  <c r="Q459" i="29"/>
  <c r="P459" i="29"/>
  <c r="O459" i="29"/>
  <c r="N459" i="29"/>
  <c r="M459" i="29"/>
  <c r="L459" i="29"/>
  <c r="K459" i="29"/>
  <c r="J459" i="29"/>
  <c r="I459" i="29"/>
  <c r="H459" i="29"/>
  <c r="G459" i="29"/>
  <c r="F459" i="29"/>
  <c r="E459" i="29"/>
  <c r="D459" i="29"/>
  <c r="C459" i="29"/>
  <c r="B459" i="29"/>
  <c r="AP458" i="29"/>
  <c r="AO458" i="29"/>
  <c r="AN458" i="29"/>
  <c r="AM458" i="29"/>
  <c r="AL458" i="29"/>
  <c r="AK458" i="29"/>
  <c r="AJ458" i="29"/>
  <c r="AI458" i="29"/>
  <c r="AH458" i="29"/>
  <c r="AG458" i="29"/>
  <c r="AF458" i="29"/>
  <c r="AE458" i="29"/>
  <c r="AD458" i="29"/>
  <c r="AC458" i="29"/>
  <c r="AB458" i="29"/>
  <c r="AA458" i="29"/>
  <c r="Z458" i="29"/>
  <c r="Y458" i="29"/>
  <c r="X458" i="29"/>
  <c r="W458" i="29"/>
  <c r="V458" i="29"/>
  <c r="U458" i="29"/>
  <c r="T458" i="29"/>
  <c r="S458" i="29"/>
  <c r="R458" i="29"/>
  <c r="Q458" i="29"/>
  <c r="P458" i="29"/>
  <c r="O458" i="29"/>
  <c r="N458" i="29"/>
  <c r="M458" i="29"/>
  <c r="L458" i="29"/>
  <c r="K458" i="29"/>
  <c r="J458" i="29"/>
  <c r="I458" i="29"/>
  <c r="H458" i="29"/>
  <c r="G458" i="29"/>
  <c r="F458" i="29"/>
  <c r="E458" i="29"/>
  <c r="D458" i="29"/>
  <c r="C458" i="29"/>
  <c r="B458" i="29"/>
  <c r="AP457" i="29"/>
  <c r="AO457" i="29"/>
  <c r="AN457" i="29"/>
  <c r="AM457" i="29"/>
  <c r="AL457" i="29"/>
  <c r="AK457" i="29"/>
  <c r="AJ457" i="29"/>
  <c r="AI457" i="29"/>
  <c r="AH457" i="29"/>
  <c r="AG457" i="29"/>
  <c r="AF457" i="29"/>
  <c r="AE457" i="29"/>
  <c r="AD457" i="29"/>
  <c r="AC457" i="29"/>
  <c r="AB457" i="29"/>
  <c r="AA457" i="29"/>
  <c r="Z457" i="29"/>
  <c r="Y457" i="29"/>
  <c r="X457" i="29"/>
  <c r="W457" i="29"/>
  <c r="V457" i="29"/>
  <c r="U457" i="29"/>
  <c r="T457" i="29"/>
  <c r="S457" i="29"/>
  <c r="R457" i="29"/>
  <c r="Q457" i="29"/>
  <c r="P457" i="29"/>
  <c r="O457" i="29"/>
  <c r="N457" i="29"/>
  <c r="M457" i="29"/>
  <c r="L457" i="29"/>
  <c r="K457" i="29"/>
  <c r="J457" i="29"/>
  <c r="I457" i="29"/>
  <c r="H457" i="29"/>
  <c r="G457" i="29"/>
  <c r="F457" i="29"/>
  <c r="E457" i="29"/>
  <c r="D457" i="29"/>
  <c r="C457" i="29"/>
  <c r="B457" i="29"/>
  <c r="AP456" i="29"/>
  <c r="AO456" i="29"/>
  <c r="AN456" i="29"/>
  <c r="AM456" i="29"/>
  <c r="AL456" i="29"/>
  <c r="AK456" i="29"/>
  <c r="AJ456" i="29"/>
  <c r="AI456" i="29"/>
  <c r="AH456" i="29"/>
  <c r="AG456" i="29"/>
  <c r="AF456" i="29"/>
  <c r="AE456" i="29"/>
  <c r="AD456" i="29"/>
  <c r="AC456" i="29"/>
  <c r="AB456" i="29"/>
  <c r="AA456" i="29"/>
  <c r="Z456" i="29"/>
  <c r="Y456" i="29"/>
  <c r="X456" i="29"/>
  <c r="W456" i="29"/>
  <c r="V456" i="29"/>
  <c r="U456" i="29"/>
  <c r="T456" i="29"/>
  <c r="S456" i="29"/>
  <c r="R456" i="29"/>
  <c r="Q456" i="29"/>
  <c r="P456" i="29"/>
  <c r="O456" i="29"/>
  <c r="N456" i="29"/>
  <c r="M456" i="29"/>
  <c r="L456" i="29"/>
  <c r="K456" i="29"/>
  <c r="J456" i="29"/>
  <c r="I456" i="29"/>
  <c r="H456" i="29"/>
  <c r="G456" i="29"/>
  <c r="F456" i="29"/>
  <c r="E456" i="29"/>
  <c r="D456" i="29"/>
  <c r="C456" i="29"/>
  <c r="B456" i="29"/>
  <c r="AP455" i="29"/>
  <c r="AO455" i="29"/>
  <c r="AN455" i="29"/>
  <c r="AM455" i="29"/>
  <c r="AL455" i="29"/>
  <c r="AK455" i="29"/>
  <c r="AJ455" i="29"/>
  <c r="AI455" i="29"/>
  <c r="AH455" i="29"/>
  <c r="AG455" i="29"/>
  <c r="AF455" i="29"/>
  <c r="AE455" i="29"/>
  <c r="AD455" i="29"/>
  <c r="AC455" i="29"/>
  <c r="AB455" i="29"/>
  <c r="AA455" i="29"/>
  <c r="Z455" i="29"/>
  <c r="Y455" i="29"/>
  <c r="X455" i="29"/>
  <c r="W455" i="29"/>
  <c r="V455" i="29"/>
  <c r="U455" i="29"/>
  <c r="T455" i="29"/>
  <c r="S455" i="29"/>
  <c r="R455" i="29"/>
  <c r="Q455" i="29"/>
  <c r="P455" i="29"/>
  <c r="O455" i="29"/>
  <c r="N455" i="29"/>
  <c r="M455" i="29"/>
  <c r="L455" i="29"/>
  <c r="K455" i="29"/>
  <c r="J455" i="29"/>
  <c r="I455" i="29"/>
  <c r="H455" i="29"/>
  <c r="G455" i="29"/>
  <c r="F455" i="29"/>
  <c r="E455" i="29"/>
  <c r="D455" i="29"/>
  <c r="C455" i="29"/>
  <c r="B455" i="29"/>
  <c r="AP454" i="29"/>
  <c r="AO454" i="29"/>
  <c r="AN454" i="29"/>
  <c r="AM454" i="29"/>
  <c r="AL454" i="29"/>
  <c r="AK454" i="29"/>
  <c r="AJ454" i="29"/>
  <c r="AI454" i="29"/>
  <c r="AH454" i="29"/>
  <c r="AG454" i="29"/>
  <c r="AF454" i="29"/>
  <c r="AE454" i="29"/>
  <c r="AD454" i="29"/>
  <c r="AC454" i="29"/>
  <c r="AB454" i="29"/>
  <c r="AA454" i="29"/>
  <c r="Z454" i="29"/>
  <c r="Y454" i="29"/>
  <c r="X454" i="29"/>
  <c r="W454" i="29"/>
  <c r="V454" i="29"/>
  <c r="U454" i="29"/>
  <c r="T454" i="29"/>
  <c r="S454" i="29"/>
  <c r="R454" i="29"/>
  <c r="Q454" i="29"/>
  <c r="P454" i="29"/>
  <c r="O454" i="29"/>
  <c r="N454" i="29"/>
  <c r="M454" i="29"/>
  <c r="L454" i="29"/>
  <c r="K454" i="29"/>
  <c r="J454" i="29"/>
  <c r="I454" i="29"/>
  <c r="H454" i="29"/>
  <c r="G454" i="29"/>
  <c r="F454" i="29"/>
  <c r="E454" i="29"/>
  <c r="D454" i="29"/>
  <c r="C454" i="29"/>
  <c r="B454" i="29"/>
  <c r="AP453" i="29"/>
  <c r="AO453" i="29"/>
  <c r="AN453" i="29"/>
  <c r="AM453" i="29"/>
  <c r="AL453" i="29"/>
  <c r="AK453" i="29"/>
  <c r="AJ453" i="29"/>
  <c r="AI453" i="29"/>
  <c r="AH453" i="29"/>
  <c r="AG453" i="29"/>
  <c r="AF453" i="29"/>
  <c r="AE453" i="29"/>
  <c r="AD453" i="29"/>
  <c r="AC453" i="29"/>
  <c r="AB453" i="29"/>
  <c r="AA453" i="29"/>
  <c r="Z453" i="29"/>
  <c r="Y453" i="29"/>
  <c r="X453" i="29"/>
  <c r="W453" i="29"/>
  <c r="V453" i="29"/>
  <c r="U453" i="29"/>
  <c r="T453" i="29"/>
  <c r="S453" i="29"/>
  <c r="R453" i="29"/>
  <c r="Q453" i="29"/>
  <c r="P453" i="29"/>
  <c r="O453" i="29"/>
  <c r="N453" i="29"/>
  <c r="M453" i="29"/>
  <c r="L453" i="29"/>
  <c r="K453" i="29"/>
  <c r="J453" i="29"/>
  <c r="I453" i="29"/>
  <c r="H453" i="29"/>
  <c r="G453" i="29"/>
  <c r="F453" i="29"/>
  <c r="E453" i="29"/>
  <c r="D453" i="29"/>
  <c r="C453" i="29"/>
  <c r="B453" i="29"/>
  <c r="AP452" i="29"/>
  <c r="AO452" i="29"/>
  <c r="AN452" i="29"/>
  <c r="AM452" i="29"/>
  <c r="AL452" i="29"/>
  <c r="AK452" i="29"/>
  <c r="AJ452" i="29"/>
  <c r="AI452" i="29"/>
  <c r="AH452" i="29"/>
  <c r="AG452" i="29"/>
  <c r="AF452" i="29"/>
  <c r="AE452" i="29"/>
  <c r="AD452" i="29"/>
  <c r="AC452" i="29"/>
  <c r="AB452" i="29"/>
  <c r="AA452" i="29"/>
  <c r="Z452" i="29"/>
  <c r="Y452" i="29"/>
  <c r="X452" i="29"/>
  <c r="W452" i="29"/>
  <c r="V452" i="29"/>
  <c r="U452" i="29"/>
  <c r="T452" i="29"/>
  <c r="S452" i="29"/>
  <c r="R452" i="29"/>
  <c r="Q452" i="29"/>
  <c r="P452" i="29"/>
  <c r="O452" i="29"/>
  <c r="N452" i="29"/>
  <c r="M452" i="29"/>
  <c r="L452" i="29"/>
  <c r="K452" i="29"/>
  <c r="J452" i="29"/>
  <c r="I452" i="29"/>
  <c r="H452" i="29"/>
  <c r="G452" i="29"/>
  <c r="F452" i="29"/>
  <c r="E452" i="29"/>
  <c r="D452" i="29"/>
  <c r="C452" i="29"/>
  <c r="B452" i="29"/>
  <c r="AP451" i="29"/>
  <c r="AO451" i="29"/>
  <c r="AN451" i="29"/>
  <c r="AM451" i="29"/>
  <c r="AL451" i="29"/>
  <c r="AK451" i="29"/>
  <c r="AJ451" i="29"/>
  <c r="AI451" i="29"/>
  <c r="AH451" i="29"/>
  <c r="AG451" i="29"/>
  <c r="AF451" i="29"/>
  <c r="AE451" i="29"/>
  <c r="AD451" i="29"/>
  <c r="AC451" i="29"/>
  <c r="AB451" i="29"/>
  <c r="AA451" i="29"/>
  <c r="Z451" i="29"/>
  <c r="Y451" i="29"/>
  <c r="X451" i="29"/>
  <c r="W451" i="29"/>
  <c r="V451" i="29"/>
  <c r="U451" i="29"/>
  <c r="T451" i="29"/>
  <c r="S451" i="29"/>
  <c r="R451" i="29"/>
  <c r="Q451" i="29"/>
  <c r="P451" i="29"/>
  <c r="O451" i="29"/>
  <c r="N451" i="29"/>
  <c r="M451" i="29"/>
  <c r="L451" i="29"/>
  <c r="K451" i="29"/>
  <c r="J451" i="29"/>
  <c r="I451" i="29"/>
  <c r="H451" i="29"/>
  <c r="G451" i="29"/>
  <c r="F451" i="29"/>
  <c r="E451" i="29"/>
  <c r="D451" i="29"/>
  <c r="C451" i="29"/>
  <c r="B451" i="29"/>
  <c r="AP450" i="29"/>
  <c r="AO450" i="29"/>
  <c r="AN450" i="29"/>
  <c r="AM450" i="29"/>
  <c r="AL450" i="29"/>
  <c r="AK450" i="29"/>
  <c r="AJ450" i="29"/>
  <c r="AI450" i="29"/>
  <c r="AH450" i="29"/>
  <c r="AG450" i="29"/>
  <c r="AF450" i="29"/>
  <c r="AE450" i="29"/>
  <c r="AD450" i="29"/>
  <c r="AC450" i="29"/>
  <c r="AB450" i="29"/>
  <c r="AA450" i="29"/>
  <c r="Z450" i="29"/>
  <c r="Y450" i="29"/>
  <c r="X450" i="29"/>
  <c r="W450" i="29"/>
  <c r="V450" i="29"/>
  <c r="U450" i="29"/>
  <c r="T450" i="29"/>
  <c r="S450" i="29"/>
  <c r="R450" i="29"/>
  <c r="Q450" i="29"/>
  <c r="P450" i="29"/>
  <c r="O450" i="29"/>
  <c r="N450" i="29"/>
  <c r="M450" i="29"/>
  <c r="L450" i="29"/>
  <c r="K450" i="29"/>
  <c r="J450" i="29"/>
  <c r="I450" i="29"/>
  <c r="H450" i="29"/>
  <c r="G450" i="29"/>
  <c r="F450" i="29"/>
  <c r="E450" i="29"/>
  <c r="D450" i="29"/>
  <c r="C450" i="29"/>
  <c r="B450" i="29"/>
  <c r="AP449" i="29"/>
  <c r="AO449" i="29"/>
  <c r="AN449" i="29"/>
  <c r="AM449" i="29"/>
  <c r="AL449" i="29"/>
  <c r="AK449" i="29"/>
  <c r="AJ449" i="29"/>
  <c r="AI449" i="29"/>
  <c r="AH449" i="29"/>
  <c r="AG449" i="29"/>
  <c r="AF449" i="29"/>
  <c r="AE449" i="29"/>
  <c r="AD449" i="29"/>
  <c r="AC449" i="29"/>
  <c r="AB449" i="29"/>
  <c r="AA449" i="29"/>
  <c r="Z449" i="29"/>
  <c r="Y449" i="29"/>
  <c r="X449" i="29"/>
  <c r="W449" i="29"/>
  <c r="V449" i="29"/>
  <c r="U449" i="29"/>
  <c r="T449" i="29"/>
  <c r="S449" i="29"/>
  <c r="R449" i="29"/>
  <c r="Q449" i="29"/>
  <c r="P449" i="29"/>
  <c r="O449" i="29"/>
  <c r="N449" i="29"/>
  <c r="M449" i="29"/>
  <c r="L449" i="29"/>
  <c r="K449" i="29"/>
  <c r="J449" i="29"/>
  <c r="I449" i="29"/>
  <c r="H449" i="29"/>
  <c r="G449" i="29"/>
  <c r="F449" i="29"/>
  <c r="E449" i="29"/>
  <c r="D449" i="29"/>
  <c r="C449" i="29"/>
  <c r="B449" i="29"/>
  <c r="AP448" i="29"/>
  <c r="AO448" i="29"/>
  <c r="AN448" i="29"/>
  <c r="AM448" i="29"/>
  <c r="AL448" i="29"/>
  <c r="AK448" i="29"/>
  <c r="AJ448" i="29"/>
  <c r="AI448" i="29"/>
  <c r="AH448" i="29"/>
  <c r="AG448" i="29"/>
  <c r="AF448" i="29"/>
  <c r="AE448" i="29"/>
  <c r="AD448" i="29"/>
  <c r="AC448" i="29"/>
  <c r="AB448" i="29"/>
  <c r="AA448" i="29"/>
  <c r="Z448" i="29"/>
  <c r="Y448" i="29"/>
  <c r="X448" i="29"/>
  <c r="W448" i="29"/>
  <c r="V448" i="29"/>
  <c r="U448" i="29"/>
  <c r="T448" i="29"/>
  <c r="S448" i="29"/>
  <c r="R448" i="29"/>
  <c r="Q448" i="29"/>
  <c r="P448" i="29"/>
  <c r="O448" i="29"/>
  <c r="N448" i="29"/>
  <c r="M448" i="29"/>
  <c r="L448" i="29"/>
  <c r="K448" i="29"/>
  <c r="J448" i="29"/>
  <c r="I448" i="29"/>
  <c r="H448" i="29"/>
  <c r="G448" i="29"/>
  <c r="F448" i="29"/>
  <c r="E448" i="29"/>
  <c r="D448" i="29"/>
  <c r="C448" i="29"/>
  <c r="B448" i="29"/>
  <c r="AP447" i="29"/>
  <c r="AO447" i="29"/>
  <c r="AN447" i="29"/>
  <c r="AM447" i="29"/>
  <c r="AL447" i="29"/>
  <c r="AK447" i="29"/>
  <c r="AJ447" i="29"/>
  <c r="AI447" i="29"/>
  <c r="AH447" i="29"/>
  <c r="AG447" i="29"/>
  <c r="AF447" i="29"/>
  <c r="AE447" i="29"/>
  <c r="AD447" i="29"/>
  <c r="AC447" i="29"/>
  <c r="AB447" i="29"/>
  <c r="AA447" i="29"/>
  <c r="Z447" i="29"/>
  <c r="Y447" i="29"/>
  <c r="X447" i="29"/>
  <c r="W447" i="29"/>
  <c r="V447" i="29"/>
  <c r="U447" i="29"/>
  <c r="T447" i="29"/>
  <c r="S447" i="29"/>
  <c r="R447" i="29"/>
  <c r="Q447" i="29"/>
  <c r="P447" i="29"/>
  <c r="O447" i="29"/>
  <c r="N447" i="29"/>
  <c r="M447" i="29"/>
  <c r="L447" i="29"/>
  <c r="K447" i="29"/>
  <c r="J447" i="29"/>
  <c r="I447" i="29"/>
  <c r="H447" i="29"/>
  <c r="G447" i="29"/>
  <c r="F447" i="29"/>
  <c r="E447" i="29"/>
  <c r="D447" i="29"/>
  <c r="C447" i="29"/>
  <c r="B447" i="29"/>
  <c r="AP446" i="29"/>
  <c r="AO446" i="29"/>
  <c r="AN446" i="29"/>
  <c r="AM446" i="29"/>
  <c r="AL446" i="29"/>
  <c r="AK446" i="29"/>
  <c r="AJ446" i="29"/>
  <c r="AI446" i="29"/>
  <c r="AH446" i="29"/>
  <c r="AG446" i="29"/>
  <c r="AF446" i="29"/>
  <c r="AE446" i="29"/>
  <c r="AD446" i="29"/>
  <c r="AC446" i="29"/>
  <c r="AB446" i="29"/>
  <c r="AA446" i="29"/>
  <c r="Z446" i="29"/>
  <c r="Y446" i="29"/>
  <c r="X446" i="29"/>
  <c r="W446" i="29"/>
  <c r="V446" i="29"/>
  <c r="U446" i="29"/>
  <c r="T446" i="29"/>
  <c r="S446" i="29"/>
  <c r="R446" i="29"/>
  <c r="Q446" i="29"/>
  <c r="P446" i="29"/>
  <c r="O446" i="29"/>
  <c r="N446" i="29"/>
  <c r="M446" i="29"/>
  <c r="L446" i="29"/>
  <c r="K446" i="29"/>
  <c r="J446" i="29"/>
  <c r="I446" i="29"/>
  <c r="H446" i="29"/>
  <c r="G446" i="29"/>
  <c r="F446" i="29"/>
  <c r="E446" i="29"/>
  <c r="D446" i="29"/>
  <c r="C446" i="29"/>
  <c r="B446" i="29"/>
  <c r="AP445" i="29"/>
  <c r="AO445" i="29"/>
  <c r="AN445" i="29"/>
  <c r="AM445" i="29"/>
  <c r="AL445" i="29"/>
  <c r="AK445" i="29"/>
  <c r="AJ445" i="29"/>
  <c r="AI445" i="29"/>
  <c r="AH445" i="29"/>
  <c r="AG445" i="29"/>
  <c r="AF445" i="29"/>
  <c r="AE445" i="29"/>
  <c r="AD445" i="29"/>
  <c r="AC445" i="29"/>
  <c r="AB445" i="29"/>
  <c r="AA445" i="29"/>
  <c r="Z445" i="29"/>
  <c r="Y445" i="29"/>
  <c r="X445" i="29"/>
  <c r="W445" i="29"/>
  <c r="V445" i="29"/>
  <c r="U445" i="29"/>
  <c r="T445" i="29"/>
  <c r="S445" i="29"/>
  <c r="R445" i="29"/>
  <c r="Q445" i="29"/>
  <c r="P445" i="29"/>
  <c r="O445" i="29"/>
  <c r="N445" i="29"/>
  <c r="M445" i="29"/>
  <c r="L445" i="29"/>
  <c r="K445" i="29"/>
  <c r="J445" i="29"/>
  <c r="I445" i="29"/>
  <c r="H445" i="29"/>
  <c r="G445" i="29"/>
  <c r="F445" i="29"/>
  <c r="E445" i="29"/>
  <c r="D445" i="29"/>
  <c r="C445" i="29"/>
  <c r="B445" i="29"/>
  <c r="AP444" i="29"/>
  <c r="AO444" i="29"/>
  <c r="AN444" i="29"/>
  <c r="AM444" i="29"/>
  <c r="AL444" i="29"/>
  <c r="AK444" i="29"/>
  <c r="AJ444" i="29"/>
  <c r="AI444" i="29"/>
  <c r="AH444" i="29"/>
  <c r="AG444" i="29"/>
  <c r="AF444" i="29"/>
  <c r="AE444" i="29"/>
  <c r="AD444" i="29"/>
  <c r="AC444" i="29"/>
  <c r="AB444" i="29"/>
  <c r="AA444" i="29"/>
  <c r="Z444" i="29"/>
  <c r="Y444" i="29"/>
  <c r="X444" i="29"/>
  <c r="W444" i="29"/>
  <c r="V444" i="29"/>
  <c r="U444" i="29"/>
  <c r="T444" i="29"/>
  <c r="S444" i="29"/>
  <c r="R444" i="29"/>
  <c r="Q444" i="29"/>
  <c r="P444" i="29"/>
  <c r="O444" i="29"/>
  <c r="N444" i="29"/>
  <c r="M444" i="29"/>
  <c r="L444" i="29"/>
  <c r="K444" i="29"/>
  <c r="J444" i="29"/>
  <c r="I444" i="29"/>
  <c r="H444" i="29"/>
  <c r="G444" i="29"/>
  <c r="F444" i="29"/>
  <c r="E444" i="29"/>
  <c r="D444" i="29"/>
  <c r="C444" i="29"/>
  <c r="B444" i="29"/>
  <c r="A444" i="29"/>
  <c r="A445" i="29"/>
  <c r="A446" i="29"/>
  <c r="A447" i="29"/>
  <c r="A448" i="29"/>
  <c r="A449" i="29"/>
  <c r="A466" i="29"/>
  <c r="A443" i="29"/>
  <c r="EA438" i="29"/>
  <c r="DZ438" i="29"/>
  <c r="DY438" i="29"/>
  <c r="DX438" i="29"/>
  <c r="DW438" i="29"/>
  <c r="DV438" i="29"/>
  <c r="DU438" i="29"/>
  <c r="DT438" i="29"/>
  <c r="DS438" i="29"/>
  <c r="DR438" i="29"/>
  <c r="DQ438" i="29"/>
  <c r="DP438" i="29"/>
  <c r="DO438" i="29"/>
  <c r="DN438" i="29"/>
  <c r="DM438" i="29"/>
  <c r="DL438" i="29"/>
  <c r="DK438" i="29"/>
  <c r="DJ438" i="29"/>
  <c r="DI438" i="29"/>
  <c r="DH438" i="29"/>
  <c r="DG438" i="29"/>
  <c r="DF438" i="29"/>
  <c r="DE438" i="29"/>
  <c r="DD438" i="29"/>
  <c r="DC438" i="29"/>
  <c r="DB438" i="29"/>
  <c r="DA438" i="29"/>
  <c r="CZ438" i="29"/>
  <c r="CY438" i="29"/>
  <c r="CX438" i="29"/>
  <c r="CW438" i="29"/>
  <c r="CV438" i="29"/>
  <c r="CU438" i="29"/>
  <c r="CT438" i="29"/>
  <c r="CS438" i="29"/>
  <c r="CR438" i="29"/>
  <c r="CQ438" i="29"/>
  <c r="CP438" i="29"/>
  <c r="CO438" i="29"/>
  <c r="CN438" i="29"/>
  <c r="CM438" i="29"/>
  <c r="CL438" i="29"/>
  <c r="CK438" i="29"/>
  <c r="CJ438" i="29"/>
  <c r="CI438" i="29"/>
  <c r="CH438" i="29"/>
  <c r="CG438" i="29"/>
  <c r="CF438" i="29"/>
  <c r="CE438" i="29"/>
  <c r="CD438" i="29"/>
  <c r="CC438" i="29"/>
  <c r="CB438" i="29"/>
  <c r="CA438" i="29"/>
  <c r="BZ438" i="29"/>
  <c r="BY438" i="29"/>
  <c r="BX438" i="29"/>
  <c r="BW438" i="29"/>
  <c r="BV438" i="29"/>
  <c r="BU438" i="29"/>
  <c r="BT438" i="29"/>
  <c r="BS438" i="29"/>
  <c r="BR438" i="29"/>
  <c r="BQ438" i="29"/>
  <c r="BP438" i="29"/>
  <c r="BO438" i="29"/>
  <c r="BN438" i="29"/>
  <c r="BM438" i="29"/>
  <c r="BL438" i="29"/>
  <c r="BK438" i="29"/>
  <c r="BJ438" i="29"/>
  <c r="BI438" i="29"/>
  <c r="BH438" i="29"/>
  <c r="BG438" i="29"/>
  <c r="BF438" i="29"/>
  <c r="BE438" i="29"/>
  <c r="BD438" i="29"/>
  <c r="BC438" i="29"/>
  <c r="BB438" i="29"/>
  <c r="BA438" i="29"/>
  <c r="AZ438" i="29"/>
  <c r="AY438" i="29"/>
  <c r="AX438" i="29"/>
  <c r="AW438" i="29"/>
  <c r="AV438" i="29"/>
  <c r="AU438" i="29"/>
  <c r="AT438" i="29"/>
  <c r="AS438" i="29"/>
  <c r="AR438" i="29"/>
  <c r="AQ438" i="29"/>
  <c r="AP438" i="29"/>
  <c r="AO438" i="29"/>
  <c r="AN438" i="29"/>
  <c r="AM438" i="29"/>
  <c r="AL438" i="29"/>
  <c r="AK438" i="29"/>
  <c r="AJ438" i="29"/>
  <c r="AI438" i="29"/>
  <c r="AH438" i="29"/>
  <c r="AG438" i="29"/>
  <c r="AF438" i="29"/>
  <c r="AE438" i="29"/>
  <c r="AD438" i="29"/>
  <c r="AC438" i="29"/>
  <c r="AB438" i="29"/>
  <c r="AA438" i="29"/>
  <c r="Z438" i="29"/>
  <c r="Y438" i="29"/>
  <c r="X438" i="29"/>
  <c r="W438" i="29"/>
  <c r="V438" i="29"/>
  <c r="U438" i="29"/>
  <c r="T438" i="29"/>
  <c r="S438" i="29"/>
  <c r="R438" i="29"/>
  <c r="Q438" i="29"/>
  <c r="P438" i="29"/>
  <c r="O438" i="29"/>
  <c r="N438" i="29"/>
  <c r="M438" i="29"/>
  <c r="L438" i="29"/>
  <c r="K438" i="29"/>
  <c r="J438" i="29"/>
  <c r="I438" i="29"/>
  <c r="H438" i="29"/>
  <c r="G438" i="29"/>
  <c r="F438" i="29"/>
  <c r="E438" i="29"/>
  <c r="D438" i="29"/>
  <c r="C438" i="29"/>
  <c r="EA437" i="29"/>
  <c r="DZ437" i="29"/>
  <c r="DY437" i="29"/>
  <c r="DX437" i="29"/>
  <c r="DW437" i="29"/>
  <c r="DV437" i="29"/>
  <c r="DU437" i="29"/>
  <c r="DT437" i="29"/>
  <c r="DS437" i="29"/>
  <c r="DR437" i="29"/>
  <c r="DQ437" i="29"/>
  <c r="DP437" i="29"/>
  <c r="DO437" i="29"/>
  <c r="DN437" i="29"/>
  <c r="DM437" i="29"/>
  <c r="DL437" i="29"/>
  <c r="DK437" i="29"/>
  <c r="DJ437" i="29"/>
  <c r="DI437" i="29"/>
  <c r="DH437" i="29"/>
  <c r="DG437" i="29"/>
  <c r="DF437" i="29"/>
  <c r="DE437" i="29"/>
  <c r="DD437" i="29"/>
  <c r="DC437" i="29"/>
  <c r="DB437" i="29"/>
  <c r="DA437" i="29"/>
  <c r="CZ437" i="29"/>
  <c r="CY437" i="29"/>
  <c r="CX437" i="29"/>
  <c r="CW437" i="29"/>
  <c r="CV437" i="29"/>
  <c r="CU437" i="29"/>
  <c r="CT437" i="29"/>
  <c r="CS437" i="29"/>
  <c r="CR437" i="29"/>
  <c r="CQ437" i="29"/>
  <c r="CP437" i="29"/>
  <c r="CO437" i="29"/>
  <c r="CN437" i="29"/>
  <c r="CM437" i="29"/>
  <c r="CL437" i="29"/>
  <c r="CK437" i="29"/>
  <c r="CJ437" i="29"/>
  <c r="CI437" i="29"/>
  <c r="CH437" i="29"/>
  <c r="CG437" i="29"/>
  <c r="CF437" i="29"/>
  <c r="CE437" i="29"/>
  <c r="CD437" i="29"/>
  <c r="CC437" i="29"/>
  <c r="CB437" i="29"/>
  <c r="CA437" i="29"/>
  <c r="BZ437" i="29"/>
  <c r="BY437" i="29"/>
  <c r="BX437" i="29"/>
  <c r="BW437" i="29"/>
  <c r="BV437" i="29"/>
  <c r="BU437" i="29"/>
  <c r="BT437" i="29"/>
  <c r="BS437" i="29"/>
  <c r="BR437" i="29"/>
  <c r="BQ437" i="29"/>
  <c r="BP437" i="29"/>
  <c r="BO437" i="29"/>
  <c r="BN437" i="29"/>
  <c r="BM437" i="29"/>
  <c r="BL437" i="29"/>
  <c r="BK437" i="29"/>
  <c r="BJ437" i="29"/>
  <c r="BI437" i="29"/>
  <c r="BH437" i="29"/>
  <c r="BG437" i="29"/>
  <c r="BF437" i="29"/>
  <c r="BE437" i="29"/>
  <c r="BD437" i="29"/>
  <c r="BC437" i="29"/>
  <c r="BB437" i="29"/>
  <c r="BA437" i="29"/>
  <c r="AZ437" i="29"/>
  <c r="AY437" i="29"/>
  <c r="AX437" i="29"/>
  <c r="AW437" i="29"/>
  <c r="AV437" i="29"/>
  <c r="AU437" i="29"/>
  <c r="AT437" i="29"/>
  <c r="AS437" i="29"/>
  <c r="AR437" i="29"/>
  <c r="AQ437" i="29"/>
  <c r="AP437" i="29"/>
  <c r="AO437" i="29"/>
  <c r="AN437" i="29"/>
  <c r="AM437" i="29"/>
  <c r="AL437" i="29"/>
  <c r="AK437" i="29"/>
  <c r="AJ437" i="29"/>
  <c r="AI437" i="29"/>
  <c r="AH437" i="29"/>
  <c r="AG437" i="29"/>
  <c r="AF437" i="29"/>
  <c r="AE437" i="29"/>
  <c r="AD437" i="29"/>
  <c r="AC437" i="29"/>
  <c r="AB437" i="29"/>
  <c r="AA437" i="29"/>
  <c r="Z437" i="29"/>
  <c r="Y437" i="29"/>
  <c r="X437" i="29"/>
  <c r="W437" i="29"/>
  <c r="V437" i="29"/>
  <c r="U437" i="29"/>
  <c r="T437" i="29"/>
  <c r="S437" i="29"/>
  <c r="R437" i="29"/>
  <c r="Q437" i="29"/>
  <c r="P437" i="29"/>
  <c r="O437" i="29"/>
  <c r="N437" i="29"/>
  <c r="M437" i="29"/>
  <c r="L437" i="29"/>
  <c r="K437" i="29"/>
  <c r="J437" i="29"/>
  <c r="I437" i="29"/>
  <c r="H437" i="29"/>
  <c r="G437" i="29"/>
  <c r="F437" i="29"/>
  <c r="E437" i="29"/>
  <c r="D437" i="29"/>
  <c r="C437" i="29"/>
  <c r="EA436" i="29"/>
  <c r="DZ436" i="29"/>
  <c r="DY436" i="29"/>
  <c r="DX436" i="29"/>
  <c r="DW436" i="29"/>
  <c r="DV436" i="29"/>
  <c r="DU436" i="29"/>
  <c r="DT436" i="29"/>
  <c r="DS436" i="29"/>
  <c r="DR436" i="29"/>
  <c r="DQ436" i="29"/>
  <c r="DP436" i="29"/>
  <c r="DO436" i="29"/>
  <c r="DN436" i="29"/>
  <c r="DM436" i="29"/>
  <c r="DL436" i="29"/>
  <c r="DK436" i="29"/>
  <c r="DJ436" i="29"/>
  <c r="DI436" i="29"/>
  <c r="DH436" i="29"/>
  <c r="DG436" i="29"/>
  <c r="DF436" i="29"/>
  <c r="DE436" i="29"/>
  <c r="DD436" i="29"/>
  <c r="DC436" i="29"/>
  <c r="DB436" i="29"/>
  <c r="DA436" i="29"/>
  <c r="CZ436" i="29"/>
  <c r="CY436" i="29"/>
  <c r="CX436" i="29"/>
  <c r="CW436" i="29"/>
  <c r="CV436" i="29"/>
  <c r="CU436" i="29"/>
  <c r="CT436" i="29"/>
  <c r="CS436" i="29"/>
  <c r="CR436" i="29"/>
  <c r="CQ436" i="29"/>
  <c r="CP436" i="29"/>
  <c r="CO436" i="29"/>
  <c r="CN436" i="29"/>
  <c r="CM436" i="29"/>
  <c r="CL436" i="29"/>
  <c r="CK436" i="29"/>
  <c r="CJ436" i="29"/>
  <c r="CI436" i="29"/>
  <c r="CH436" i="29"/>
  <c r="CG436" i="29"/>
  <c r="CF436" i="29"/>
  <c r="CE436" i="29"/>
  <c r="CD436" i="29"/>
  <c r="CC436" i="29"/>
  <c r="CB436" i="29"/>
  <c r="CA436" i="29"/>
  <c r="BZ436" i="29"/>
  <c r="BY436" i="29"/>
  <c r="BX436" i="29"/>
  <c r="BW436" i="29"/>
  <c r="BV436" i="29"/>
  <c r="BU436" i="29"/>
  <c r="BT436" i="29"/>
  <c r="BS436" i="29"/>
  <c r="BR436" i="29"/>
  <c r="BQ436" i="29"/>
  <c r="BP436" i="29"/>
  <c r="BO436" i="29"/>
  <c r="BN436" i="29"/>
  <c r="BM436" i="29"/>
  <c r="BL436" i="29"/>
  <c r="BK436" i="29"/>
  <c r="BJ436" i="29"/>
  <c r="BI436" i="29"/>
  <c r="BH436" i="29"/>
  <c r="BG436" i="29"/>
  <c r="BF436" i="29"/>
  <c r="BE436" i="29"/>
  <c r="BD436" i="29"/>
  <c r="BC436" i="29"/>
  <c r="BB436" i="29"/>
  <c r="BA436" i="29"/>
  <c r="AZ436" i="29"/>
  <c r="AY436" i="29"/>
  <c r="AX436" i="29"/>
  <c r="AW436" i="29"/>
  <c r="AV436" i="29"/>
  <c r="AU436" i="29"/>
  <c r="AT436" i="29"/>
  <c r="AS436" i="29"/>
  <c r="AR436" i="29"/>
  <c r="AQ436" i="29"/>
  <c r="AP436" i="29"/>
  <c r="AO436" i="29"/>
  <c r="AN436" i="29"/>
  <c r="AM436" i="29"/>
  <c r="AL436" i="29"/>
  <c r="AK436" i="29"/>
  <c r="AJ436" i="29"/>
  <c r="AI436" i="29"/>
  <c r="AH436" i="29"/>
  <c r="AG436" i="29"/>
  <c r="AF436" i="29"/>
  <c r="AE436" i="29"/>
  <c r="AD436" i="29"/>
  <c r="AC436" i="29"/>
  <c r="AB436" i="29"/>
  <c r="AA436" i="29"/>
  <c r="Z436" i="29"/>
  <c r="Y436" i="29"/>
  <c r="X436" i="29"/>
  <c r="W436" i="29"/>
  <c r="V436" i="29"/>
  <c r="U436" i="29"/>
  <c r="T436" i="29"/>
  <c r="S436" i="29"/>
  <c r="R436" i="29"/>
  <c r="Q436" i="29"/>
  <c r="P436" i="29"/>
  <c r="O436" i="29"/>
  <c r="N436" i="29"/>
  <c r="M436" i="29"/>
  <c r="L436" i="29"/>
  <c r="K436" i="29"/>
  <c r="J436" i="29"/>
  <c r="I436" i="29"/>
  <c r="H436" i="29"/>
  <c r="G436" i="29"/>
  <c r="F436" i="29"/>
  <c r="E436" i="29"/>
  <c r="D436" i="29"/>
  <c r="C436" i="29"/>
  <c r="EA435" i="29"/>
  <c r="DZ435" i="29"/>
  <c r="DY435" i="29"/>
  <c r="DX435" i="29"/>
  <c r="DW435" i="29"/>
  <c r="DV435" i="29"/>
  <c r="DU435" i="29"/>
  <c r="DT435" i="29"/>
  <c r="DS435" i="29"/>
  <c r="DR435" i="29"/>
  <c r="DQ435" i="29"/>
  <c r="DP435" i="29"/>
  <c r="DO435" i="29"/>
  <c r="DN435" i="29"/>
  <c r="DM435" i="29"/>
  <c r="DL435" i="29"/>
  <c r="DK435" i="29"/>
  <c r="DJ435" i="29"/>
  <c r="DI435" i="29"/>
  <c r="DH435" i="29"/>
  <c r="DG435" i="29"/>
  <c r="DF435" i="29"/>
  <c r="DE435" i="29"/>
  <c r="DD435" i="29"/>
  <c r="DC435" i="29"/>
  <c r="DB435" i="29"/>
  <c r="DA435" i="29"/>
  <c r="CZ435" i="29"/>
  <c r="CY435" i="29"/>
  <c r="CX435" i="29"/>
  <c r="CW435" i="29"/>
  <c r="CV435" i="29"/>
  <c r="CU435" i="29"/>
  <c r="CT435" i="29"/>
  <c r="CS435" i="29"/>
  <c r="CR435" i="29"/>
  <c r="CQ435" i="29"/>
  <c r="CP435" i="29"/>
  <c r="CO435" i="29"/>
  <c r="CN435" i="29"/>
  <c r="CM435" i="29"/>
  <c r="CL435" i="29"/>
  <c r="CK435" i="29"/>
  <c r="CJ435" i="29"/>
  <c r="CI435" i="29"/>
  <c r="CH435" i="29"/>
  <c r="CG435" i="29"/>
  <c r="CF435" i="29"/>
  <c r="CE435" i="29"/>
  <c r="CD435" i="29"/>
  <c r="CC435" i="29"/>
  <c r="CB435" i="29"/>
  <c r="CA435" i="29"/>
  <c r="BZ435" i="29"/>
  <c r="BY435" i="29"/>
  <c r="BX435" i="29"/>
  <c r="BW435" i="29"/>
  <c r="BV435" i="29"/>
  <c r="BU435" i="29"/>
  <c r="BT435" i="29"/>
  <c r="BS435" i="29"/>
  <c r="BR435" i="29"/>
  <c r="BQ435" i="29"/>
  <c r="BP435" i="29"/>
  <c r="BO435" i="29"/>
  <c r="BN435" i="29"/>
  <c r="BM435" i="29"/>
  <c r="BL435" i="29"/>
  <c r="BK435" i="29"/>
  <c r="BJ435" i="29"/>
  <c r="BI435" i="29"/>
  <c r="BH435" i="29"/>
  <c r="BG435" i="29"/>
  <c r="BF435" i="29"/>
  <c r="BE435" i="29"/>
  <c r="BD435" i="29"/>
  <c r="BC435" i="29"/>
  <c r="BB435" i="29"/>
  <c r="BA435" i="29"/>
  <c r="AZ435" i="29"/>
  <c r="AY435" i="29"/>
  <c r="AX435" i="29"/>
  <c r="AW435" i="29"/>
  <c r="AV435" i="29"/>
  <c r="AU435" i="29"/>
  <c r="AT435" i="29"/>
  <c r="AS435" i="29"/>
  <c r="AR435" i="29"/>
  <c r="AQ435" i="29"/>
  <c r="AP435" i="29"/>
  <c r="AO435" i="29"/>
  <c r="AN435" i="29"/>
  <c r="AM435" i="29"/>
  <c r="AL435" i="29"/>
  <c r="AK435" i="29"/>
  <c r="AJ435" i="29"/>
  <c r="AI435" i="29"/>
  <c r="AH435" i="29"/>
  <c r="AG435" i="29"/>
  <c r="AF435" i="29"/>
  <c r="AE435" i="29"/>
  <c r="AD435" i="29"/>
  <c r="AC435" i="29"/>
  <c r="AB435" i="29"/>
  <c r="AA435" i="29"/>
  <c r="Z435" i="29"/>
  <c r="Y435" i="29"/>
  <c r="X435" i="29"/>
  <c r="W435" i="29"/>
  <c r="V435" i="29"/>
  <c r="U435" i="29"/>
  <c r="T435" i="29"/>
  <c r="S435" i="29"/>
  <c r="R435" i="29"/>
  <c r="Q435" i="29"/>
  <c r="P435" i="29"/>
  <c r="O435" i="29"/>
  <c r="N435" i="29"/>
  <c r="M435" i="29"/>
  <c r="L435" i="29"/>
  <c r="K435" i="29"/>
  <c r="J435" i="29"/>
  <c r="I435" i="29"/>
  <c r="H435" i="29"/>
  <c r="G435" i="29"/>
  <c r="F435" i="29"/>
  <c r="E435" i="29"/>
  <c r="D435" i="29"/>
  <c r="C435" i="29"/>
  <c r="EA434" i="29"/>
  <c r="DZ434" i="29"/>
  <c r="DY434" i="29"/>
  <c r="DX434" i="29"/>
  <c r="DW434" i="29"/>
  <c r="DV434" i="29"/>
  <c r="DU434" i="29"/>
  <c r="DT434" i="29"/>
  <c r="DS434" i="29"/>
  <c r="DR434" i="29"/>
  <c r="DQ434" i="29"/>
  <c r="DP434" i="29"/>
  <c r="DO434" i="29"/>
  <c r="DN434" i="29"/>
  <c r="DM434" i="29"/>
  <c r="DL434" i="29"/>
  <c r="DK434" i="29"/>
  <c r="DJ434" i="29"/>
  <c r="DI434" i="29"/>
  <c r="DH434" i="29"/>
  <c r="DG434" i="29"/>
  <c r="DF434" i="29"/>
  <c r="DE434" i="29"/>
  <c r="DD434" i="29"/>
  <c r="DC434" i="29"/>
  <c r="DB434" i="29"/>
  <c r="DA434" i="29"/>
  <c r="CZ434" i="29"/>
  <c r="CY434" i="29"/>
  <c r="CX434" i="29"/>
  <c r="CW434" i="29"/>
  <c r="CV434" i="29"/>
  <c r="CU434" i="29"/>
  <c r="CT434" i="29"/>
  <c r="CS434" i="29"/>
  <c r="CR434" i="29"/>
  <c r="CQ434" i="29"/>
  <c r="CP434" i="29"/>
  <c r="CO434" i="29"/>
  <c r="CN434" i="29"/>
  <c r="CM434" i="29"/>
  <c r="CL434" i="29"/>
  <c r="CK434" i="29"/>
  <c r="CJ434" i="29"/>
  <c r="CI434" i="29"/>
  <c r="CH434" i="29"/>
  <c r="CG434" i="29"/>
  <c r="CF434" i="29"/>
  <c r="CE434" i="29"/>
  <c r="CD434" i="29"/>
  <c r="CC434" i="29"/>
  <c r="CB434" i="29"/>
  <c r="CA434" i="29"/>
  <c r="BZ434" i="29"/>
  <c r="BY434" i="29"/>
  <c r="BX434" i="29"/>
  <c r="BW434" i="29"/>
  <c r="BV434" i="29"/>
  <c r="BU434" i="29"/>
  <c r="BT434" i="29"/>
  <c r="BS434" i="29"/>
  <c r="BR434" i="29"/>
  <c r="BQ434" i="29"/>
  <c r="BP434" i="29"/>
  <c r="BO434" i="29"/>
  <c r="BN434" i="29"/>
  <c r="BM434" i="29"/>
  <c r="BL434" i="29"/>
  <c r="BK434" i="29"/>
  <c r="BJ434" i="29"/>
  <c r="BI434" i="29"/>
  <c r="BH434" i="29"/>
  <c r="BG434" i="29"/>
  <c r="BF434" i="29"/>
  <c r="BE434" i="29"/>
  <c r="BD434" i="29"/>
  <c r="BC434" i="29"/>
  <c r="BB434" i="29"/>
  <c r="BA434" i="29"/>
  <c r="AZ434" i="29"/>
  <c r="AY434" i="29"/>
  <c r="AX434" i="29"/>
  <c r="AW434" i="29"/>
  <c r="AV434" i="29"/>
  <c r="AU434" i="29"/>
  <c r="AT434" i="29"/>
  <c r="AS434" i="29"/>
  <c r="AR434" i="29"/>
  <c r="AQ434" i="29"/>
  <c r="AP434" i="29"/>
  <c r="AO434" i="29"/>
  <c r="AN434" i="29"/>
  <c r="AM434" i="29"/>
  <c r="AL434" i="29"/>
  <c r="AK434" i="29"/>
  <c r="AJ434" i="29"/>
  <c r="AI434" i="29"/>
  <c r="AH434" i="29"/>
  <c r="AG434" i="29"/>
  <c r="AF434" i="29"/>
  <c r="AE434" i="29"/>
  <c r="AD434" i="29"/>
  <c r="AC434" i="29"/>
  <c r="AB434" i="29"/>
  <c r="AA434" i="29"/>
  <c r="Z434" i="29"/>
  <c r="Y434" i="29"/>
  <c r="X434" i="29"/>
  <c r="W434" i="29"/>
  <c r="V434" i="29"/>
  <c r="U434" i="29"/>
  <c r="T434" i="29"/>
  <c r="S434" i="29"/>
  <c r="R434" i="29"/>
  <c r="Q434" i="29"/>
  <c r="P434" i="29"/>
  <c r="O434" i="29"/>
  <c r="N434" i="29"/>
  <c r="M434" i="29"/>
  <c r="L434" i="29"/>
  <c r="K434" i="29"/>
  <c r="J434" i="29"/>
  <c r="I434" i="29"/>
  <c r="H434" i="29"/>
  <c r="G434" i="29"/>
  <c r="F434" i="29"/>
  <c r="E434" i="29"/>
  <c r="D434" i="29"/>
  <c r="C434" i="29"/>
  <c r="EA433" i="29"/>
  <c r="DZ433" i="29"/>
  <c r="DY433" i="29"/>
  <c r="DX433" i="29"/>
  <c r="DW433" i="29"/>
  <c r="DV433" i="29"/>
  <c r="DU433" i="29"/>
  <c r="DT433" i="29"/>
  <c r="DS433" i="29"/>
  <c r="DR433" i="29"/>
  <c r="DQ433" i="29"/>
  <c r="DP433" i="29"/>
  <c r="DO433" i="29"/>
  <c r="DN433" i="29"/>
  <c r="DM433" i="29"/>
  <c r="DL433" i="29"/>
  <c r="DK433" i="29"/>
  <c r="DJ433" i="29"/>
  <c r="DI433" i="29"/>
  <c r="DH433" i="29"/>
  <c r="DG433" i="29"/>
  <c r="DF433" i="29"/>
  <c r="DE433" i="29"/>
  <c r="DD433" i="29"/>
  <c r="DC433" i="29"/>
  <c r="DB433" i="29"/>
  <c r="DA433" i="29"/>
  <c r="CZ433" i="29"/>
  <c r="CY433" i="29"/>
  <c r="CX433" i="29"/>
  <c r="CW433" i="29"/>
  <c r="CV433" i="29"/>
  <c r="CU433" i="29"/>
  <c r="CT433" i="29"/>
  <c r="CS433" i="29"/>
  <c r="CR433" i="29"/>
  <c r="CQ433" i="29"/>
  <c r="CP433" i="29"/>
  <c r="CO433" i="29"/>
  <c r="CN433" i="29"/>
  <c r="CM433" i="29"/>
  <c r="CL433" i="29"/>
  <c r="CK433" i="29"/>
  <c r="CJ433" i="29"/>
  <c r="CI433" i="29"/>
  <c r="CH433" i="29"/>
  <c r="CG433" i="29"/>
  <c r="CF433" i="29"/>
  <c r="CE433" i="29"/>
  <c r="CD433" i="29"/>
  <c r="CC433" i="29"/>
  <c r="CB433" i="29"/>
  <c r="CA433" i="29"/>
  <c r="BZ433" i="29"/>
  <c r="BY433" i="29"/>
  <c r="BX433" i="29"/>
  <c r="BW433" i="29"/>
  <c r="BV433" i="29"/>
  <c r="BU433" i="29"/>
  <c r="BT433" i="29"/>
  <c r="BS433" i="29"/>
  <c r="BR433" i="29"/>
  <c r="BQ433" i="29"/>
  <c r="BP433" i="29"/>
  <c r="BO433" i="29"/>
  <c r="BN433" i="29"/>
  <c r="BM433" i="29"/>
  <c r="BL433" i="29"/>
  <c r="BK433" i="29"/>
  <c r="BJ433" i="29"/>
  <c r="BI433" i="29"/>
  <c r="BH433" i="29"/>
  <c r="BG433" i="29"/>
  <c r="BF433" i="29"/>
  <c r="BE433" i="29"/>
  <c r="BD433" i="29"/>
  <c r="BC433" i="29"/>
  <c r="BB433" i="29"/>
  <c r="BA433" i="29"/>
  <c r="AZ433" i="29"/>
  <c r="AY433" i="29"/>
  <c r="AX433" i="29"/>
  <c r="AW433" i="29"/>
  <c r="AV433" i="29"/>
  <c r="AU433" i="29"/>
  <c r="AT433" i="29"/>
  <c r="AS433" i="29"/>
  <c r="AR433" i="29"/>
  <c r="AQ433" i="29"/>
  <c r="AP433" i="29"/>
  <c r="AO433" i="29"/>
  <c r="AN433" i="29"/>
  <c r="AM433" i="29"/>
  <c r="AL433" i="29"/>
  <c r="AK433" i="29"/>
  <c r="AJ433" i="29"/>
  <c r="AI433" i="29"/>
  <c r="AH433" i="29"/>
  <c r="AG433" i="29"/>
  <c r="AF433" i="29"/>
  <c r="AE433" i="29"/>
  <c r="AD433" i="29"/>
  <c r="AC433" i="29"/>
  <c r="AB433" i="29"/>
  <c r="AA433" i="29"/>
  <c r="Z433" i="29"/>
  <c r="Y433" i="29"/>
  <c r="X433" i="29"/>
  <c r="W433" i="29"/>
  <c r="V433" i="29"/>
  <c r="U433" i="29"/>
  <c r="T433" i="29"/>
  <c r="S433" i="29"/>
  <c r="R433" i="29"/>
  <c r="Q433" i="29"/>
  <c r="P433" i="29"/>
  <c r="O433" i="29"/>
  <c r="N433" i="29"/>
  <c r="M433" i="29"/>
  <c r="L433" i="29"/>
  <c r="K433" i="29"/>
  <c r="J433" i="29"/>
  <c r="I433" i="29"/>
  <c r="H433" i="29"/>
  <c r="G433" i="29"/>
  <c r="F433" i="29"/>
  <c r="E433" i="29"/>
  <c r="D433" i="29"/>
  <c r="C433" i="29"/>
  <c r="EA432" i="29"/>
  <c r="DZ432" i="29"/>
  <c r="DY432" i="29"/>
  <c r="DX432" i="29"/>
  <c r="DW432" i="29"/>
  <c r="DV432" i="29"/>
  <c r="DU432" i="29"/>
  <c r="DT432" i="29"/>
  <c r="DS432" i="29"/>
  <c r="DR432" i="29"/>
  <c r="DQ432" i="29"/>
  <c r="DP432" i="29"/>
  <c r="DO432" i="29"/>
  <c r="DN432" i="29"/>
  <c r="DM432" i="29"/>
  <c r="DL432" i="29"/>
  <c r="DK432" i="29"/>
  <c r="DJ432" i="29"/>
  <c r="DI432" i="29"/>
  <c r="DH432" i="29"/>
  <c r="DG432" i="29"/>
  <c r="DF432" i="29"/>
  <c r="DE432" i="29"/>
  <c r="DD432" i="29"/>
  <c r="DC432" i="29"/>
  <c r="DB432" i="29"/>
  <c r="DA432" i="29"/>
  <c r="CZ432" i="29"/>
  <c r="CY432" i="29"/>
  <c r="CX432" i="29"/>
  <c r="CW432" i="29"/>
  <c r="CV432" i="29"/>
  <c r="CU432" i="29"/>
  <c r="CT432" i="29"/>
  <c r="CS432" i="29"/>
  <c r="CR432" i="29"/>
  <c r="CQ432" i="29"/>
  <c r="CP432" i="29"/>
  <c r="CO432" i="29"/>
  <c r="CN432" i="29"/>
  <c r="CM432" i="29"/>
  <c r="CL432" i="29"/>
  <c r="CK432" i="29"/>
  <c r="CJ432" i="29"/>
  <c r="CI432" i="29"/>
  <c r="CH432" i="29"/>
  <c r="CG432" i="29"/>
  <c r="CF432" i="29"/>
  <c r="CE432" i="29"/>
  <c r="CD432" i="29"/>
  <c r="CC432" i="29"/>
  <c r="CB432" i="29"/>
  <c r="CA432" i="29"/>
  <c r="BZ432" i="29"/>
  <c r="BY432" i="29"/>
  <c r="BX432" i="29"/>
  <c r="BW432" i="29"/>
  <c r="BV432" i="29"/>
  <c r="BU432" i="29"/>
  <c r="BT432" i="29"/>
  <c r="BS432" i="29"/>
  <c r="BR432" i="29"/>
  <c r="BQ432" i="29"/>
  <c r="BP432" i="29"/>
  <c r="BO432" i="29"/>
  <c r="BN432" i="29"/>
  <c r="BM432" i="29"/>
  <c r="BL432" i="29"/>
  <c r="BK432" i="29"/>
  <c r="BJ432" i="29"/>
  <c r="BI432" i="29"/>
  <c r="BH432" i="29"/>
  <c r="BG432" i="29"/>
  <c r="BF432" i="29"/>
  <c r="BE432" i="29"/>
  <c r="BD432" i="29"/>
  <c r="BC432" i="29"/>
  <c r="BB432" i="29"/>
  <c r="BA432" i="29"/>
  <c r="AZ432" i="29"/>
  <c r="AY432" i="29"/>
  <c r="AX432" i="29"/>
  <c r="AW432" i="29"/>
  <c r="AV432" i="29"/>
  <c r="AU432" i="29"/>
  <c r="AT432" i="29"/>
  <c r="AS432" i="29"/>
  <c r="AR432" i="29"/>
  <c r="AQ432" i="29"/>
  <c r="AP432" i="29"/>
  <c r="AO432" i="29"/>
  <c r="AN432" i="29"/>
  <c r="AM432" i="29"/>
  <c r="AL432" i="29"/>
  <c r="AK432" i="29"/>
  <c r="AJ432" i="29"/>
  <c r="AI432" i="29"/>
  <c r="AH432" i="29"/>
  <c r="AG432" i="29"/>
  <c r="AF432" i="29"/>
  <c r="AE432" i="29"/>
  <c r="AD432" i="29"/>
  <c r="AC432" i="29"/>
  <c r="AB432" i="29"/>
  <c r="AA432" i="29"/>
  <c r="Z432" i="29"/>
  <c r="Y432" i="29"/>
  <c r="X432" i="29"/>
  <c r="W432" i="29"/>
  <c r="V432" i="29"/>
  <c r="U432" i="29"/>
  <c r="T432" i="29"/>
  <c r="S432" i="29"/>
  <c r="R432" i="29"/>
  <c r="Q432" i="29"/>
  <c r="P432" i="29"/>
  <c r="O432" i="29"/>
  <c r="N432" i="29"/>
  <c r="M432" i="29"/>
  <c r="L432" i="29"/>
  <c r="K432" i="29"/>
  <c r="J432" i="29"/>
  <c r="I432" i="29"/>
  <c r="H432" i="29"/>
  <c r="G432" i="29"/>
  <c r="F432" i="29"/>
  <c r="E432" i="29"/>
  <c r="D432" i="29"/>
  <c r="C432" i="29"/>
  <c r="EA431" i="29"/>
  <c r="DZ431" i="29"/>
  <c r="DY431" i="29"/>
  <c r="DX431" i="29"/>
  <c r="DW431" i="29"/>
  <c r="DV431" i="29"/>
  <c r="DU431" i="29"/>
  <c r="DT431" i="29"/>
  <c r="DS431" i="29"/>
  <c r="DR431" i="29"/>
  <c r="DQ431" i="29"/>
  <c r="DP431" i="29"/>
  <c r="DO431" i="29"/>
  <c r="DN431" i="29"/>
  <c r="DM431" i="29"/>
  <c r="DL431" i="29"/>
  <c r="DK431" i="29"/>
  <c r="DJ431" i="29"/>
  <c r="DI431" i="29"/>
  <c r="DH431" i="29"/>
  <c r="DG431" i="29"/>
  <c r="DF431" i="29"/>
  <c r="DE431" i="29"/>
  <c r="DD431" i="29"/>
  <c r="DC431" i="29"/>
  <c r="DB431" i="29"/>
  <c r="DA431" i="29"/>
  <c r="CZ431" i="29"/>
  <c r="CY431" i="29"/>
  <c r="CX431" i="29"/>
  <c r="CW431" i="29"/>
  <c r="CV431" i="29"/>
  <c r="CU431" i="29"/>
  <c r="CT431" i="29"/>
  <c r="CS431" i="29"/>
  <c r="CR431" i="29"/>
  <c r="CQ431" i="29"/>
  <c r="CP431" i="29"/>
  <c r="CO431" i="29"/>
  <c r="CN431" i="29"/>
  <c r="CM431" i="29"/>
  <c r="CL431" i="29"/>
  <c r="CK431" i="29"/>
  <c r="CJ431" i="29"/>
  <c r="CI431" i="29"/>
  <c r="CH431" i="29"/>
  <c r="CG431" i="29"/>
  <c r="CF431" i="29"/>
  <c r="CE431" i="29"/>
  <c r="CD431" i="29"/>
  <c r="CC431" i="29"/>
  <c r="CB431" i="29"/>
  <c r="CA431" i="29"/>
  <c r="BZ431" i="29"/>
  <c r="BY431" i="29"/>
  <c r="BX431" i="29"/>
  <c r="BW431" i="29"/>
  <c r="BV431" i="29"/>
  <c r="BU431" i="29"/>
  <c r="BT431" i="29"/>
  <c r="BS431" i="29"/>
  <c r="BR431" i="29"/>
  <c r="BQ431" i="29"/>
  <c r="BP431" i="29"/>
  <c r="BO431" i="29"/>
  <c r="BN431" i="29"/>
  <c r="BM431" i="29"/>
  <c r="BL431" i="29"/>
  <c r="BK431" i="29"/>
  <c r="BJ431" i="29"/>
  <c r="BI431" i="29"/>
  <c r="BH431" i="29"/>
  <c r="BG431" i="29"/>
  <c r="BF431" i="29"/>
  <c r="BE431" i="29"/>
  <c r="BD431" i="29"/>
  <c r="BC431" i="29"/>
  <c r="BB431" i="29"/>
  <c r="BA431" i="29"/>
  <c r="AZ431" i="29"/>
  <c r="AY431" i="29"/>
  <c r="AX431" i="29"/>
  <c r="AW431" i="29"/>
  <c r="AV431" i="29"/>
  <c r="AU431" i="29"/>
  <c r="AT431" i="29"/>
  <c r="AS431" i="29"/>
  <c r="AR431" i="29"/>
  <c r="AQ431" i="29"/>
  <c r="AP431" i="29"/>
  <c r="AO431" i="29"/>
  <c r="AN431" i="29"/>
  <c r="AM431" i="29"/>
  <c r="AL431" i="29"/>
  <c r="AK431" i="29"/>
  <c r="AJ431" i="29"/>
  <c r="AI431" i="29"/>
  <c r="AH431" i="29"/>
  <c r="AG431" i="29"/>
  <c r="AF431" i="29"/>
  <c r="AE431" i="29"/>
  <c r="AD431" i="29"/>
  <c r="AC431" i="29"/>
  <c r="AB431" i="29"/>
  <c r="AA431" i="29"/>
  <c r="Z431" i="29"/>
  <c r="Y431" i="29"/>
  <c r="X431" i="29"/>
  <c r="W431" i="29"/>
  <c r="V431" i="29"/>
  <c r="U431" i="29"/>
  <c r="T431" i="29"/>
  <c r="S431" i="29"/>
  <c r="R431" i="29"/>
  <c r="Q431" i="29"/>
  <c r="P431" i="29"/>
  <c r="O431" i="29"/>
  <c r="N431" i="29"/>
  <c r="M431" i="29"/>
  <c r="L431" i="29"/>
  <c r="K431" i="29"/>
  <c r="J431" i="29"/>
  <c r="I431" i="29"/>
  <c r="H431" i="29"/>
  <c r="G431" i="29"/>
  <c r="F431" i="29"/>
  <c r="E431" i="29"/>
  <c r="D431" i="29"/>
  <c r="C431" i="29"/>
  <c r="EA430" i="29"/>
  <c r="DZ430" i="29"/>
  <c r="DY430" i="29"/>
  <c r="DX430" i="29"/>
  <c r="DW430" i="29"/>
  <c r="DV430" i="29"/>
  <c r="DU430" i="29"/>
  <c r="DT430" i="29"/>
  <c r="DS430" i="29"/>
  <c r="DR430" i="29"/>
  <c r="DQ430" i="29"/>
  <c r="DP430" i="29"/>
  <c r="DO430" i="29"/>
  <c r="DN430" i="29"/>
  <c r="DM430" i="29"/>
  <c r="DL430" i="29"/>
  <c r="DK430" i="29"/>
  <c r="DJ430" i="29"/>
  <c r="DI430" i="29"/>
  <c r="DH430" i="29"/>
  <c r="DG430" i="29"/>
  <c r="DF430" i="29"/>
  <c r="DE430" i="29"/>
  <c r="DD430" i="29"/>
  <c r="DC430" i="29"/>
  <c r="DB430" i="29"/>
  <c r="DA430" i="29"/>
  <c r="CZ430" i="29"/>
  <c r="CY430" i="29"/>
  <c r="CX430" i="29"/>
  <c r="CW430" i="29"/>
  <c r="CV430" i="29"/>
  <c r="CU430" i="29"/>
  <c r="CT430" i="29"/>
  <c r="CS430" i="29"/>
  <c r="CR430" i="29"/>
  <c r="CQ430" i="29"/>
  <c r="CP430" i="29"/>
  <c r="CO430" i="29"/>
  <c r="CN430" i="29"/>
  <c r="CM430" i="29"/>
  <c r="CL430" i="29"/>
  <c r="CK430" i="29"/>
  <c r="CJ430" i="29"/>
  <c r="CI430" i="29"/>
  <c r="CH430" i="29"/>
  <c r="CG430" i="29"/>
  <c r="CF430" i="29"/>
  <c r="CE430" i="29"/>
  <c r="CD430" i="29"/>
  <c r="CC430" i="29"/>
  <c r="CB430" i="29"/>
  <c r="CA430" i="29"/>
  <c r="BZ430" i="29"/>
  <c r="BY430" i="29"/>
  <c r="BX430" i="29"/>
  <c r="BW430" i="29"/>
  <c r="BV430" i="29"/>
  <c r="BU430" i="29"/>
  <c r="BT430" i="29"/>
  <c r="BS430" i="29"/>
  <c r="BR430" i="29"/>
  <c r="BQ430" i="29"/>
  <c r="BP430" i="29"/>
  <c r="BO430" i="29"/>
  <c r="BN430" i="29"/>
  <c r="BM430" i="29"/>
  <c r="BL430" i="29"/>
  <c r="BK430" i="29"/>
  <c r="BJ430" i="29"/>
  <c r="BI430" i="29"/>
  <c r="BH430" i="29"/>
  <c r="BG430" i="29"/>
  <c r="BF430" i="29"/>
  <c r="BE430" i="29"/>
  <c r="BD430" i="29"/>
  <c r="BC430" i="29"/>
  <c r="BB430" i="29"/>
  <c r="BA430" i="29"/>
  <c r="AZ430" i="29"/>
  <c r="AY430" i="29"/>
  <c r="AX430" i="29"/>
  <c r="AW430" i="29"/>
  <c r="AV430" i="29"/>
  <c r="AU430" i="29"/>
  <c r="AT430" i="29"/>
  <c r="AS430" i="29"/>
  <c r="AR430" i="29"/>
  <c r="AQ430" i="29"/>
  <c r="AP430" i="29"/>
  <c r="AO430" i="29"/>
  <c r="AN430" i="29"/>
  <c r="AM430" i="29"/>
  <c r="AL430" i="29"/>
  <c r="AK430" i="29"/>
  <c r="AJ430" i="29"/>
  <c r="AI430" i="29"/>
  <c r="AH430" i="29"/>
  <c r="AG430" i="29"/>
  <c r="AF430" i="29"/>
  <c r="AE430" i="29"/>
  <c r="AD430" i="29"/>
  <c r="AC430" i="29"/>
  <c r="AB430" i="29"/>
  <c r="AA430" i="29"/>
  <c r="Z430" i="29"/>
  <c r="Y430" i="29"/>
  <c r="X430" i="29"/>
  <c r="W430" i="29"/>
  <c r="V430" i="29"/>
  <c r="U430" i="29"/>
  <c r="T430" i="29"/>
  <c r="S430" i="29"/>
  <c r="R430" i="29"/>
  <c r="Q430" i="29"/>
  <c r="P430" i="29"/>
  <c r="O430" i="29"/>
  <c r="N430" i="29"/>
  <c r="M430" i="29"/>
  <c r="L430" i="29"/>
  <c r="K430" i="29"/>
  <c r="J430" i="29"/>
  <c r="I430" i="29"/>
  <c r="H430" i="29"/>
  <c r="G430" i="29"/>
  <c r="F430" i="29"/>
  <c r="E430" i="29"/>
  <c r="D430" i="29"/>
  <c r="C430" i="29"/>
  <c r="EA429" i="29"/>
  <c r="DZ429" i="29"/>
  <c r="DY429" i="29"/>
  <c r="DX429" i="29"/>
  <c r="DW429" i="29"/>
  <c r="DV429" i="29"/>
  <c r="DU429" i="29"/>
  <c r="DT429" i="29"/>
  <c r="DS429" i="29"/>
  <c r="DR429" i="29"/>
  <c r="DQ429" i="29"/>
  <c r="DP429" i="29"/>
  <c r="DO429" i="29"/>
  <c r="DN429" i="29"/>
  <c r="DM429" i="29"/>
  <c r="DL429" i="29"/>
  <c r="DK429" i="29"/>
  <c r="DJ429" i="29"/>
  <c r="DI429" i="29"/>
  <c r="DH429" i="29"/>
  <c r="DG429" i="29"/>
  <c r="DF429" i="29"/>
  <c r="DE429" i="29"/>
  <c r="DD429" i="29"/>
  <c r="DC429" i="29"/>
  <c r="DB429" i="29"/>
  <c r="DA429" i="29"/>
  <c r="CZ429" i="29"/>
  <c r="CY429" i="29"/>
  <c r="CX429" i="29"/>
  <c r="CW429" i="29"/>
  <c r="CV429" i="29"/>
  <c r="CU429" i="29"/>
  <c r="CT429" i="29"/>
  <c r="CS429" i="29"/>
  <c r="CR429" i="29"/>
  <c r="CQ429" i="29"/>
  <c r="CP429" i="29"/>
  <c r="CO429" i="29"/>
  <c r="CN429" i="29"/>
  <c r="CM429" i="29"/>
  <c r="CL429" i="29"/>
  <c r="CK429" i="29"/>
  <c r="CJ429" i="29"/>
  <c r="CI429" i="29"/>
  <c r="CH429" i="29"/>
  <c r="CG429" i="29"/>
  <c r="CF429" i="29"/>
  <c r="CE429" i="29"/>
  <c r="CD429" i="29"/>
  <c r="CC429" i="29"/>
  <c r="CB429" i="29"/>
  <c r="CA429" i="29"/>
  <c r="BZ429" i="29"/>
  <c r="BY429" i="29"/>
  <c r="BX429" i="29"/>
  <c r="BW429" i="29"/>
  <c r="BV429" i="29"/>
  <c r="BU429" i="29"/>
  <c r="BT429" i="29"/>
  <c r="BS429" i="29"/>
  <c r="BR429" i="29"/>
  <c r="BQ429" i="29"/>
  <c r="BP429" i="29"/>
  <c r="BO429" i="29"/>
  <c r="BN429" i="29"/>
  <c r="BM429" i="29"/>
  <c r="BL429" i="29"/>
  <c r="BK429" i="29"/>
  <c r="BJ429" i="29"/>
  <c r="BI429" i="29"/>
  <c r="BH429" i="29"/>
  <c r="BG429" i="29"/>
  <c r="BF429" i="29"/>
  <c r="BE429" i="29"/>
  <c r="BD429" i="29"/>
  <c r="BC429" i="29"/>
  <c r="BB429" i="29"/>
  <c r="BA429" i="29"/>
  <c r="AZ429" i="29"/>
  <c r="AY429" i="29"/>
  <c r="AX429" i="29"/>
  <c r="AW429" i="29"/>
  <c r="AV429" i="29"/>
  <c r="AU429" i="29"/>
  <c r="AT429" i="29"/>
  <c r="AS429" i="29"/>
  <c r="AR429" i="29"/>
  <c r="AQ429" i="29"/>
  <c r="AP429" i="29"/>
  <c r="AO429" i="29"/>
  <c r="AN429" i="29"/>
  <c r="AM429" i="29"/>
  <c r="AL429" i="29"/>
  <c r="AK429" i="29"/>
  <c r="AJ429" i="29"/>
  <c r="AI429" i="29"/>
  <c r="AH429" i="29"/>
  <c r="AG429" i="29"/>
  <c r="AF429" i="29"/>
  <c r="AE429" i="29"/>
  <c r="AD429" i="29"/>
  <c r="AC429" i="29"/>
  <c r="AB429" i="29"/>
  <c r="AA429" i="29"/>
  <c r="Z429" i="29"/>
  <c r="Y429" i="29"/>
  <c r="X429" i="29"/>
  <c r="W429" i="29"/>
  <c r="V429" i="29"/>
  <c r="U429" i="29"/>
  <c r="T429" i="29"/>
  <c r="S429" i="29"/>
  <c r="R429" i="29"/>
  <c r="Q429" i="29"/>
  <c r="P429" i="29"/>
  <c r="O429" i="29"/>
  <c r="N429" i="29"/>
  <c r="M429" i="29"/>
  <c r="L429" i="29"/>
  <c r="K429" i="29"/>
  <c r="J429" i="29"/>
  <c r="I429" i="29"/>
  <c r="H429" i="29"/>
  <c r="G429" i="29"/>
  <c r="F429" i="29"/>
  <c r="E429" i="29"/>
  <c r="D429" i="29"/>
  <c r="C429" i="29"/>
  <c r="EA428" i="29"/>
  <c r="DZ428" i="29"/>
  <c r="DY428" i="29"/>
  <c r="DX428" i="29"/>
  <c r="DW428" i="29"/>
  <c r="DV428" i="29"/>
  <c r="DU428" i="29"/>
  <c r="DT428" i="29"/>
  <c r="DS428" i="29"/>
  <c r="DR428" i="29"/>
  <c r="DQ428" i="29"/>
  <c r="DP428" i="29"/>
  <c r="DO428" i="29"/>
  <c r="DN428" i="29"/>
  <c r="DM428" i="29"/>
  <c r="DL428" i="29"/>
  <c r="DK428" i="29"/>
  <c r="DJ428" i="29"/>
  <c r="DI428" i="29"/>
  <c r="DH428" i="29"/>
  <c r="DG428" i="29"/>
  <c r="DF428" i="29"/>
  <c r="DE428" i="29"/>
  <c r="DD428" i="29"/>
  <c r="DC428" i="29"/>
  <c r="DB428" i="29"/>
  <c r="DA428" i="29"/>
  <c r="CZ428" i="29"/>
  <c r="CY428" i="29"/>
  <c r="CX428" i="29"/>
  <c r="CW428" i="29"/>
  <c r="CV428" i="29"/>
  <c r="CU428" i="29"/>
  <c r="CT428" i="29"/>
  <c r="CS428" i="29"/>
  <c r="CR428" i="29"/>
  <c r="CQ428" i="29"/>
  <c r="CP428" i="29"/>
  <c r="CO428" i="29"/>
  <c r="CN428" i="29"/>
  <c r="CM428" i="29"/>
  <c r="CL428" i="29"/>
  <c r="CK428" i="29"/>
  <c r="CJ428" i="29"/>
  <c r="CI428" i="29"/>
  <c r="CH428" i="29"/>
  <c r="CG428" i="29"/>
  <c r="CF428" i="29"/>
  <c r="CE428" i="29"/>
  <c r="CD428" i="29"/>
  <c r="CC428" i="29"/>
  <c r="CB428" i="29"/>
  <c r="CA428" i="29"/>
  <c r="BZ428" i="29"/>
  <c r="BY428" i="29"/>
  <c r="BX428" i="29"/>
  <c r="BW428" i="29"/>
  <c r="BV428" i="29"/>
  <c r="BU428" i="29"/>
  <c r="BT428" i="29"/>
  <c r="BS428" i="29"/>
  <c r="BR428" i="29"/>
  <c r="BQ428" i="29"/>
  <c r="BP428" i="29"/>
  <c r="BO428" i="29"/>
  <c r="BN428" i="29"/>
  <c r="BM428" i="29"/>
  <c r="BL428" i="29"/>
  <c r="BK428" i="29"/>
  <c r="BJ428" i="29"/>
  <c r="BI428" i="29"/>
  <c r="BH428" i="29"/>
  <c r="BG428" i="29"/>
  <c r="BF428" i="29"/>
  <c r="BE428" i="29"/>
  <c r="BD428" i="29"/>
  <c r="BC428" i="29"/>
  <c r="BB428" i="29"/>
  <c r="BA428" i="29"/>
  <c r="AZ428" i="29"/>
  <c r="AY428" i="29"/>
  <c r="AX428" i="29"/>
  <c r="AW428" i="29"/>
  <c r="AV428" i="29"/>
  <c r="AU428" i="29"/>
  <c r="AT428" i="29"/>
  <c r="AS428" i="29"/>
  <c r="AR428" i="29"/>
  <c r="AQ428" i="29"/>
  <c r="AP428" i="29"/>
  <c r="AO428" i="29"/>
  <c r="AN428" i="29"/>
  <c r="AM428" i="29"/>
  <c r="AL428" i="29"/>
  <c r="AK428" i="29"/>
  <c r="AJ428" i="29"/>
  <c r="AI428" i="29"/>
  <c r="AH428" i="29"/>
  <c r="AG428" i="29"/>
  <c r="AF428" i="29"/>
  <c r="AE428" i="29"/>
  <c r="AD428" i="29"/>
  <c r="AC428" i="29"/>
  <c r="AB428" i="29"/>
  <c r="AA428" i="29"/>
  <c r="Z428" i="29"/>
  <c r="Y428" i="29"/>
  <c r="X428" i="29"/>
  <c r="W428" i="29"/>
  <c r="V428" i="29"/>
  <c r="U428" i="29"/>
  <c r="T428" i="29"/>
  <c r="S428" i="29"/>
  <c r="R428" i="29"/>
  <c r="Q428" i="29"/>
  <c r="P428" i="29"/>
  <c r="O428" i="29"/>
  <c r="N428" i="29"/>
  <c r="M428" i="29"/>
  <c r="L428" i="29"/>
  <c r="K428" i="29"/>
  <c r="J428" i="29"/>
  <c r="I428" i="29"/>
  <c r="H428" i="29"/>
  <c r="G428" i="29"/>
  <c r="F428" i="29"/>
  <c r="E428" i="29"/>
  <c r="D428" i="29"/>
  <c r="C428" i="29"/>
  <c r="EA427" i="29"/>
  <c r="DZ427" i="29"/>
  <c r="DY427" i="29"/>
  <c r="DX427" i="29"/>
  <c r="DW427" i="29"/>
  <c r="DV427" i="29"/>
  <c r="DU427" i="29"/>
  <c r="DT427" i="29"/>
  <c r="DS427" i="29"/>
  <c r="DR427" i="29"/>
  <c r="DQ427" i="29"/>
  <c r="DP427" i="29"/>
  <c r="DO427" i="29"/>
  <c r="DN427" i="29"/>
  <c r="DM427" i="29"/>
  <c r="DL427" i="29"/>
  <c r="DK427" i="29"/>
  <c r="DJ427" i="29"/>
  <c r="DI427" i="29"/>
  <c r="DH427" i="29"/>
  <c r="DG427" i="29"/>
  <c r="DF427" i="29"/>
  <c r="DE427" i="29"/>
  <c r="DD427" i="29"/>
  <c r="DC427" i="29"/>
  <c r="DB427" i="29"/>
  <c r="DA427" i="29"/>
  <c r="CZ427" i="29"/>
  <c r="CY427" i="29"/>
  <c r="CX427" i="29"/>
  <c r="CW427" i="29"/>
  <c r="CV427" i="29"/>
  <c r="CU427" i="29"/>
  <c r="CT427" i="29"/>
  <c r="CS427" i="29"/>
  <c r="CR427" i="29"/>
  <c r="CQ427" i="29"/>
  <c r="CP427" i="29"/>
  <c r="CO427" i="29"/>
  <c r="CN427" i="29"/>
  <c r="CM427" i="29"/>
  <c r="CL427" i="29"/>
  <c r="CK427" i="29"/>
  <c r="CJ427" i="29"/>
  <c r="CI427" i="29"/>
  <c r="CH427" i="29"/>
  <c r="CG427" i="29"/>
  <c r="CF427" i="29"/>
  <c r="CE427" i="29"/>
  <c r="CD427" i="29"/>
  <c r="CC427" i="29"/>
  <c r="CB427" i="29"/>
  <c r="CA427" i="29"/>
  <c r="BZ427" i="29"/>
  <c r="BY427" i="29"/>
  <c r="BX427" i="29"/>
  <c r="BW427" i="29"/>
  <c r="BV427" i="29"/>
  <c r="BU427" i="29"/>
  <c r="BT427" i="29"/>
  <c r="BS427" i="29"/>
  <c r="BR427" i="29"/>
  <c r="BQ427" i="29"/>
  <c r="BP427" i="29"/>
  <c r="BO427" i="29"/>
  <c r="BN427" i="29"/>
  <c r="BM427" i="29"/>
  <c r="BL427" i="29"/>
  <c r="BK427" i="29"/>
  <c r="BJ427" i="29"/>
  <c r="BI427" i="29"/>
  <c r="BH427" i="29"/>
  <c r="BG427" i="29"/>
  <c r="BF427" i="29"/>
  <c r="BE427" i="29"/>
  <c r="BD427" i="29"/>
  <c r="BC427" i="29"/>
  <c r="BB427" i="29"/>
  <c r="BA427" i="29"/>
  <c r="AZ427" i="29"/>
  <c r="AY427" i="29"/>
  <c r="AX427" i="29"/>
  <c r="AW427" i="29"/>
  <c r="AV427" i="29"/>
  <c r="AU427" i="29"/>
  <c r="AT427" i="29"/>
  <c r="AS427" i="29"/>
  <c r="AR427" i="29"/>
  <c r="AQ427" i="29"/>
  <c r="AP427" i="29"/>
  <c r="AO427" i="29"/>
  <c r="AN427" i="29"/>
  <c r="AM427" i="29"/>
  <c r="AL427" i="29"/>
  <c r="AK427" i="29"/>
  <c r="AJ427" i="29"/>
  <c r="AI427" i="29"/>
  <c r="AH427" i="29"/>
  <c r="AG427" i="29"/>
  <c r="AF427" i="29"/>
  <c r="AE427" i="29"/>
  <c r="AD427" i="29"/>
  <c r="AC427" i="29"/>
  <c r="AB427" i="29"/>
  <c r="AA427" i="29"/>
  <c r="Z427" i="29"/>
  <c r="Y427" i="29"/>
  <c r="X427" i="29"/>
  <c r="W427" i="29"/>
  <c r="V427" i="29"/>
  <c r="U427" i="29"/>
  <c r="T427" i="29"/>
  <c r="S427" i="29"/>
  <c r="R427" i="29"/>
  <c r="Q427" i="29"/>
  <c r="P427" i="29"/>
  <c r="O427" i="29"/>
  <c r="N427" i="29"/>
  <c r="M427" i="29"/>
  <c r="L427" i="29"/>
  <c r="K427" i="29"/>
  <c r="J427" i="29"/>
  <c r="I427" i="29"/>
  <c r="H427" i="29"/>
  <c r="G427" i="29"/>
  <c r="F427" i="29"/>
  <c r="E427" i="29"/>
  <c r="D427" i="29"/>
  <c r="C427" i="29"/>
  <c r="EA426" i="29"/>
  <c r="DZ426" i="29"/>
  <c r="DY426" i="29"/>
  <c r="DX426" i="29"/>
  <c r="DW426" i="29"/>
  <c r="DV426" i="29"/>
  <c r="DU426" i="29"/>
  <c r="DT426" i="29"/>
  <c r="DS426" i="29"/>
  <c r="DR426" i="29"/>
  <c r="DQ426" i="29"/>
  <c r="DP426" i="29"/>
  <c r="DO426" i="29"/>
  <c r="DN426" i="29"/>
  <c r="DM426" i="29"/>
  <c r="DL426" i="29"/>
  <c r="DK426" i="29"/>
  <c r="DJ426" i="29"/>
  <c r="DI426" i="29"/>
  <c r="DH426" i="29"/>
  <c r="DG426" i="29"/>
  <c r="DF426" i="29"/>
  <c r="DE426" i="29"/>
  <c r="DD426" i="29"/>
  <c r="DC426" i="29"/>
  <c r="DB426" i="29"/>
  <c r="DA426" i="29"/>
  <c r="CZ426" i="29"/>
  <c r="CY426" i="29"/>
  <c r="CX426" i="29"/>
  <c r="CW426" i="29"/>
  <c r="CV426" i="29"/>
  <c r="CU426" i="29"/>
  <c r="CT426" i="29"/>
  <c r="CS426" i="29"/>
  <c r="CR426" i="29"/>
  <c r="CQ426" i="29"/>
  <c r="CP426" i="29"/>
  <c r="CO426" i="29"/>
  <c r="CN426" i="29"/>
  <c r="CM426" i="29"/>
  <c r="CL426" i="29"/>
  <c r="CK426" i="29"/>
  <c r="CJ426" i="29"/>
  <c r="CI426" i="29"/>
  <c r="CH426" i="29"/>
  <c r="CG426" i="29"/>
  <c r="CF426" i="29"/>
  <c r="CE426" i="29"/>
  <c r="CD426" i="29"/>
  <c r="CC426" i="29"/>
  <c r="CB426" i="29"/>
  <c r="CA426" i="29"/>
  <c r="BZ426" i="29"/>
  <c r="BY426" i="29"/>
  <c r="BX426" i="29"/>
  <c r="BW426" i="29"/>
  <c r="BV426" i="29"/>
  <c r="BU426" i="29"/>
  <c r="BT426" i="29"/>
  <c r="BS426" i="29"/>
  <c r="BR426" i="29"/>
  <c r="BQ426" i="29"/>
  <c r="BP426" i="29"/>
  <c r="BO426" i="29"/>
  <c r="BN426" i="29"/>
  <c r="BM426" i="29"/>
  <c r="BL426" i="29"/>
  <c r="BK426" i="29"/>
  <c r="BJ426" i="29"/>
  <c r="BI426" i="29"/>
  <c r="BH426" i="29"/>
  <c r="BG426" i="29"/>
  <c r="BF426" i="29"/>
  <c r="BE426" i="29"/>
  <c r="BD426" i="29"/>
  <c r="BC426" i="29"/>
  <c r="BB426" i="29"/>
  <c r="BA426" i="29"/>
  <c r="AZ426" i="29"/>
  <c r="AY426" i="29"/>
  <c r="AX426" i="29"/>
  <c r="AW426" i="29"/>
  <c r="AV426" i="29"/>
  <c r="AU426" i="29"/>
  <c r="AT426" i="29"/>
  <c r="AS426" i="29"/>
  <c r="AR426" i="29"/>
  <c r="AQ426" i="29"/>
  <c r="AP426" i="29"/>
  <c r="AO426" i="29"/>
  <c r="AN426" i="29"/>
  <c r="AM426" i="29"/>
  <c r="AL426" i="29"/>
  <c r="AK426" i="29"/>
  <c r="AJ426" i="29"/>
  <c r="AI426" i="29"/>
  <c r="AH426" i="29"/>
  <c r="AG426" i="29"/>
  <c r="AF426" i="29"/>
  <c r="AE426" i="29"/>
  <c r="AD426" i="29"/>
  <c r="AC426" i="29"/>
  <c r="AB426" i="29"/>
  <c r="AA426" i="29"/>
  <c r="Z426" i="29"/>
  <c r="Y426" i="29"/>
  <c r="X426" i="29"/>
  <c r="W426" i="29"/>
  <c r="V426" i="29"/>
  <c r="U426" i="29"/>
  <c r="T426" i="29"/>
  <c r="S426" i="29"/>
  <c r="R426" i="29"/>
  <c r="Q426" i="29"/>
  <c r="P426" i="29"/>
  <c r="O426" i="29"/>
  <c r="N426" i="29"/>
  <c r="M426" i="29"/>
  <c r="L426" i="29"/>
  <c r="K426" i="29"/>
  <c r="J426" i="29"/>
  <c r="I426" i="29"/>
  <c r="H426" i="29"/>
  <c r="G426" i="29"/>
  <c r="F426" i="29"/>
  <c r="E426" i="29"/>
  <c r="D426" i="29"/>
  <c r="C426" i="29"/>
  <c r="EA425" i="29"/>
  <c r="DZ425" i="29"/>
  <c r="DY425" i="29"/>
  <c r="DX425" i="29"/>
  <c r="DW425" i="29"/>
  <c r="DV425" i="29"/>
  <c r="DU425" i="29"/>
  <c r="DT425" i="29"/>
  <c r="DS425" i="29"/>
  <c r="DR425" i="29"/>
  <c r="DQ425" i="29"/>
  <c r="DP425" i="29"/>
  <c r="DO425" i="29"/>
  <c r="DN425" i="29"/>
  <c r="DM425" i="29"/>
  <c r="DL425" i="29"/>
  <c r="DK425" i="29"/>
  <c r="DJ425" i="29"/>
  <c r="DI425" i="29"/>
  <c r="DH425" i="29"/>
  <c r="DG425" i="29"/>
  <c r="DF425" i="29"/>
  <c r="DE425" i="29"/>
  <c r="DD425" i="29"/>
  <c r="DC425" i="29"/>
  <c r="DB425" i="29"/>
  <c r="DA425" i="29"/>
  <c r="CZ425" i="29"/>
  <c r="CY425" i="29"/>
  <c r="CX425" i="29"/>
  <c r="CW425" i="29"/>
  <c r="CV425" i="29"/>
  <c r="CU425" i="29"/>
  <c r="CT425" i="29"/>
  <c r="CS425" i="29"/>
  <c r="CR425" i="29"/>
  <c r="CQ425" i="29"/>
  <c r="CP425" i="29"/>
  <c r="CO425" i="29"/>
  <c r="CN425" i="29"/>
  <c r="CM425" i="29"/>
  <c r="CL425" i="29"/>
  <c r="CK425" i="29"/>
  <c r="CJ425" i="29"/>
  <c r="CI425" i="29"/>
  <c r="CH425" i="29"/>
  <c r="CG425" i="29"/>
  <c r="CF425" i="29"/>
  <c r="CE425" i="29"/>
  <c r="CD425" i="29"/>
  <c r="CC425" i="29"/>
  <c r="CB425" i="29"/>
  <c r="CA425" i="29"/>
  <c r="BZ425" i="29"/>
  <c r="BY425" i="29"/>
  <c r="BX425" i="29"/>
  <c r="BW425" i="29"/>
  <c r="BV425" i="29"/>
  <c r="BU425" i="29"/>
  <c r="BT425" i="29"/>
  <c r="BS425" i="29"/>
  <c r="BR425" i="29"/>
  <c r="BQ425" i="29"/>
  <c r="BP425" i="29"/>
  <c r="BO425" i="29"/>
  <c r="BN425" i="29"/>
  <c r="BM425" i="29"/>
  <c r="BL425" i="29"/>
  <c r="BK425" i="29"/>
  <c r="BJ425" i="29"/>
  <c r="BI425" i="29"/>
  <c r="BH425" i="29"/>
  <c r="BG425" i="29"/>
  <c r="BF425" i="29"/>
  <c r="BE425" i="29"/>
  <c r="BD425" i="29"/>
  <c r="BC425" i="29"/>
  <c r="BB425" i="29"/>
  <c r="BA425" i="29"/>
  <c r="AZ425" i="29"/>
  <c r="AY425" i="29"/>
  <c r="AX425" i="29"/>
  <c r="AW425" i="29"/>
  <c r="AV425" i="29"/>
  <c r="AU425" i="29"/>
  <c r="AT425" i="29"/>
  <c r="AS425" i="29"/>
  <c r="AR425" i="29"/>
  <c r="AQ425" i="29"/>
  <c r="AP425" i="29"/>
  <c r="AO425" i="29"/>
  <c r="AN425" i="29"/>
  <c r="AM425" i="29"/>
  <c r="AL425" i="29"/>
  <c r="AK425" i="29"/>
  <c r="AJ425" i="29"/>
  <c r="AI425" i="29"/>
  <c r="AH425" i="29"/>
  <c r="AG425" i="29"/>
  <c r="AF425" i="29"/>
  <c r="AE425" i="29"/>
  <c r="AD425" i="29"/>
  <c r="AC425" i="29"/>
  <c r="AB425" i="29"/>
  <c r="AA425" i="29"/>
  <c r="Z425" i="29"/>
  <c r="Y425" i="29"/>
  <c r="X425" i="29"/>
  <c r="W425" i="29"/>
  <c r="V425" i="29"/>
  <c r="U425" i="29"/>
  <c r="T425" i="29"/>
  <c r="S425" i="29"/>
  <c r="R425" i="29"/>
  <c r="Q425" i="29"/>
  <c r="P425" i="29"/>
  <c r="O425" i="29"/>
  <c r="N425" i="29"/>
  <c r="M425" i="29"/>
  <c r="L425" i="29"/>
  <c r="K425" i="29"/>
  <c r="J425" i="29"/>
  <c r="I425" i="29"/>
  <c r="H425" i="29"/>
  <c r="G425" i="29"/>
  <c r="F425" i="29"/>
  <c r="E425" i="29"/>
  <c r="D425" i="29"/>
  <c r="C425" i="29"/>
  <c r="EA424" i="29"/>
  <c r="DZ424" i="29"/>
  <c r="DY424" i="29"/>
  <c r="DX424" i="29"/>
  <c r="DW424" i="29"/>
  <c r="DV424" i="29"/>
  <c r="DU424" i="29"/>
  <c r="DT424" i="29"/>
  <c r="DS424" i="29"/>
  <c r="DR424" i="29"/>
  <c r="DQ424" i="29"/>
  <c r="DP424" i="29"/>
  <c r="DO424" i="29"/>
  <c r="DN424" i="29"/>
  <c r="DM424" i="29"/>
  <c r="DL424" i="29"/>
  <c r="DK424" i="29"/>
  <c r="DJ424" i="29"/>
  <c r="DI424" i="29"/>
  <c r="DH424" i="29"/>
  <c r="DG424" i="29"/>
  <c r="DF424" i="29"/>
  <c r="DE424" i="29"/>
  <c r="DD424" i="29"/>
  <c r="DC424" i="29"/>
  <c r="DB424" i="29"/>
  <c r="DA424" i="29"/>
  <c r="CZ424" i="29"/>
  <c r="CY424" i="29"/>
  <c r="CX424" i="29"/>
  <c r="CW424" i="29"/>
  <c r="CV424" i="29"/>
  <c r="CU424" i="29"/>
  <c r="CT424" i="29"/>
  <c r="CS424" i="29"/>
  <c r="CR424" i="29"/>
  <c r="CQ424" i="29"/>
  <c r="CP424" i="29"/>
  <c r="CO424" i="29"/>
  <c r="CN424" i="29"/>
  <c r="CM424" i="29"/>
  <c r="CL424" i="29"/>
  <c r="CK424" i="29"/>
  <c r="CJ424" i="29"/>
  <c r="CI424" i="29"/>
  <c r="CH424" i="29"/>
  <c r="CG424" i="29"/>
  <c r="CF424" i="29"/>
  <c r="CE424" i="29"/>
  <c r="CD424" i="29"/>
  <c r="CC424" i="29"/>
  <c r="CB424" i="29"/>
  <c r="CA424" i="29"/>
  <c r="BZ424" i="29"/>
  <c r="BY424" i="29"/>
  <c r="BX424" i="29"/>
  <c r="BW424" i="29"/>
  <c r="BV424" i="29"/>
  <c r="BU424" i="29"/>
  <c r="BT424" i="29"/>
  <c r="BS424" i="29"/>
  <c r="BR424" i="29"/>
  <c r="BQ424" i="29"/>
  <c r="BP424" i="29"/>
  <c r="BO424" i="29"/>
  <c r="BN424" i="29"/>
  <c r="BM424" i="29"/>
  <c r="BL424" i="29"/>
  <c r="BK424" i="29"/>
  <c r="BJ424" i="29"/>
  <c r="BI424" i="29"/>
  <c r="BH424" i="29"/>
  <c r="BG424" i="29"/>
  <c r="BF424" i="29"/>
  <c r="BE424" i="29"/>
  <c r="BD424" i="29"/>
  <c r="BC424" i="29"/>
  <c r="BB424" i="29"/>
  <c r="BA424" i="29"/>
  <c r="AZ424" i="29"/>
  <c r="AY424" i="29"/>
  <c r="AX424" i="29"/>
  <c r="AW424" i="29"/>
  <c r="AV424" i="29"/>
  <c r="AU424" i="29"/>
  <c r="AT424" i="29"/>
  <c r="AS424" i="29"/>
  <c r="AR424" i="29"/>
  <c r="AQ424" i="29"/>
  <c r="AP424" i="29"/>
  <c r="AO424" i="29"/>
  <c r="AN424" i="29"/>
  <c r="AM424" i="29"/>
  <c r="AL424" i="29"/>
  <c r="AK424" i="29"/>
  <c r="AJ424" i="29"/>
  <c r="AI424" i="29"/>
  <c r="AH424" i="29"/>
  <c r="AG424" i="29"/>
  <c r="AF424" i="29"/>
  <c r="AE424" i="29"/>
  <c r="AD424" i="29"/>
  <c r="AC424" i="29"/>
  <c r="AB424" i="29"/>
  <c r="AA424" i="29"/>
  <c r="Z424" i="29"/>
  <c r="Y424" i="29"/>
  <c r="X424" i="29"/>
  <c r="W424" i="29"/>
  <c r="V424" i="29"/>
  <c r="U424" i="29"/>
  <c r="T424" i="29"/>
  <c r="S424" i="29"/>
  <c r="R424" i="29"/>
  <c r="Q424" i="29"/>
  <c r="P424" i="29"/>
  <c r="O424" i="29"/>
  <c r="N424" i="29"/>
  <c r="M424" i="29"/>
  <c r="L424" i="29"/>
  <c r="K424" i="29"/>
  <c r="J424" i="29"/>
  <c r="I424" i="29"/>
  <c r="H424" i="29"/>
  <c r="G424" i="29"/>
  <c r="F424" i="29"/>
  <c r="E424" i="29"/>
  <c r="D424" i="29"/>
  <c r="C424" i="29"/>
  <c r="EA423" i="29"/>
  <c r="DZ423" i="29"/>
  <c r="DY423" i="29"/>
  <c r="DX423" i="29"/>
  <c r="DW423" i="29"/>
  <c r="DV423" i="29"/>
  <c r="DU423" i="29"/>
  <c r="DT423" i="29"/>
  <c r="DS423" i="29"/>
  <c r="DR423" i="29"/>
  <c r="DQ423" i="29"/>
  <c r="DP423" i="29"/>
  <c r="DO423" i="29"/>
  <c r="DN423" i="29"/>
  <c r="DM423" i="29"/>
  <c r="DL423" i="29"/>
  <c r="DK423" i="29"/>
  <c r="DJ423" i="29"/>
  <c r="DI423" i="29"/>
  <c r="DH423" i="29"/>
  <c r="DG423" i="29"/>
  <c r="DF423" i="29"/>
  <c r="DE423" i="29"/>
  <c r="DD423" i="29"/>
  <c r="DC423" i="29"/>
  <c r="DB423" i="29"/>
  <c r="DA423" i="29"/>
  <c r="CZ423" i="29"/>
  <c r="CY423" i="29"/>
  <c r="CX423" i="29"/>
  <c r="CW423" i="29"/>
  <c r="CV423" i="29"/>
  <c r="CU423" i="29"/>
  <c r="CT423" i="29"/>
  <c r="CS423" i="29"/>
  <c r="CR423" i="29"/>
  <c r="CQ423" i="29"/>
  <c r="CP423" i="29"/>
  <c r="CO423" i="29"/>
  <c r="CN423" i="29"/>
  <c r="CM423" i="29"/>
  <c r="CL423" i="29"/>
  <c r="CK423" i="29"/>
  <c r="CJ423" i="29"/>
  <c r="CI423" i="29"/>
  <c r="CH423" i="29"/>
  <c r="CG423" i="29"/>
  <c r="CF423" i="29"/>
  <c r="CE423" i="29"/>
  <c r="CD423" i="29"/>
  <c r="CC423" i="29"/>
  <c r="CB423" i="29"/>
  <c r="CA423" i="29"/>
  <c r="BZ423" i="29"/>
  <c r="BY423" i="29"/>
  <c r="BX423" i="29"/>
  <c r="BW423" i="29"/>
  <c r="BV423" i="29"/>
  <c r="BU423" i="29"/>
  <c r="BT423" i="29"/>
  <c r="BS423" i="29"/>
  <c r="BR423" i="29"/>
  <c r="BQ423" i="29"/>
  <c r="BP423" i="29"/>
  <c r="BO423" i="29"/>
  <c r="BN423" i="29"/>
  <c r="BM423" i="29"/>
  <c r="BL423" i="29"/>
  <c r="BK423" i="29"/>
  <c r="BJ423" i="29"/>
  <c r="BI423" i="29"/>
  <c r="BH423" i="29"/>
  <c r="BG423" i="29"/>
  <c r="BF423" i="29"/>
  <c r="BE423" i="29"/>
  <c r="BD423" i="29"/>
  <c r="BC423" i="29"/>
  <c r="BB423" i="29"/>
  <c r="BA423" i="29"/>
  <c r="AZ423" i="29"/>
  <c r="AY423" i="29"/>
  <c r="AX423" i="29"/>
  <c r="AW423" i="29"/>
  <c r="AV423" i="29"/>
  <c r="AU423" i="29"/>
  <c r="AT423" i="29"/>
  <c r="AS423" i="29"/>
  <c r="AR423" i="29"/>
  <c r="AQ423" i="29"/>
  <c r="AP423" i="29"/>
  <c r="AO423" i="29"/>
  <c r="AN423" i="29"/>
  <c r="AM423" i="29"/>
  <c r="AL423" i="29"/>
  <c r="AK423" i="29"/>
  <c r="AJ423" i="29"/>
  <c r="AI423" i="29"/>
  <c r="AH423" i="29"/>
  <c r="AG423" i="29"/>
  <c r="AF423" i="29"/>
  <c r="AE423" i="29"/>
  <c r="AD423" i="29"/>
  <c r="AC423" i="29"/>
  <c r="AB423" i="29"/>
  <c r="AA423" i="29"/>
  <c r="Z423" i="29"/>
  <c r="Y423" i="29"/>
  <c r="X423" i="29"/>
  <c r="W423" i="29"/>
  <c r="V423" i="29"/>
  <c r="U423" i="29"/>
  <c r="T423" i="29"/>
  <c r="S423" i="29"/>
  <c r="R423" i="29"/>
  <c r="Q423" i="29"/>
  <c r="P423" i="29"/>
  <c r="O423" i="29"/>
  <c r="N423" i="29"/>
  <c r="M423" i="29"/>
  <c r="L423" i="29"/>
  <c r="K423" i="29"/>
  <c r="J423" i="29"/>
  <c r="I423" i="29"/>
  <c r="H423" i="29"/>
  <c r="G423" i="29"/>
  <c r="F423" i="29"/>
  <c r="E423" i="29"/>
  <c r="D423" i="29"/>
  <c r="C423" i="29"/>
  <c r="EA422" i="29"/>
  <c r="DZ422" i="29"/>
  <c r="DY422" i="29"/>
  <c r="DX422" i="29"/>
  <c r="DW422" i="29"/>
  <c r="DV422" i="29"/>
  <c r="DU422" i="29"/>
  <c r="DT422" i="29"/>
  <c r="DS422" i="29"/>
  <c r="DR422" i="29"/>
  <c r="DQ422" i="29"/>
  <c r="DP422" i="29"/>
  <c r="DO422" i="29"/>
  <c r="DN422" i="29"/>
  <c r="DM422" i="29"/>
  <c r="DL422" i="29"/>
  <c r="DK422" i="29"/>
  <c r="DJ422" i="29"/>
  <c r="DI422" i="29"/>
  <c r="DH422" i="29"/>
  <c r="DG422" i="29"/>
  <c r="DF422" i="29"/>
  <c r="DE422" i="29"/>
  <c r="DD422" i="29"/>
  <c r="DC422" i="29"/>
  <c r="DB422" i="29"/>
  <c r="DA422" i="29"/>
  <c r="CZ422" i="29"/>
  <c r="CY422" i="29"/>
  <c r="CX422" i="29"/>
  <c r="CW422" i="29"/>
  <c r="CV422" i="29"/>
  <c r="CU422" i="29"/>
  <c r="CT422" i="29"/>
  <c r="CS422" i="29"/>
  <c r="CR422" i="29"/>
  <c r="CQ422" i="29"/>
  <c r="CP422" i="29"/>
  <c r="CO422" i="29"/>
  <c r="CN422" i="29"/>
  <c r="CM422" i="29"/>
  <c r="CL422" i="29"/>
  <c r="CK422" i="29"/>
  <c r="CJ422" i="29"/>
  <c r="CI422" i="29"/>
  <c r="CH422" i="29"/>
  <c r="CG422" i="29"/>
  <c r="CF422" i="29"/>
  <c r="CE422" i="29"/>
  <c r="CD422" i="29"/>
  <c r="CC422" i="29"/>
  <c r="CB422" i="29"/>
  <c r="CA422" i="29"/>
  <c r="BZ422" i="29"/>
  <c r="BY422" i="29"/>
  <c r="BX422" i="29"/>
  <c r="BW422" i="29"/>
  <c r="BV422" i="29"/>
  <c r="BU422" i="29"/>
  <c r="BT422" i="29"/>
  <c r="BS422" i="29"/>
  <c r="BR422" i="29"/>
  <c r="BQ422" i="29"/>
  <c r="BP422" i="29"/>
  <c r="BO422" i="29"/>
  <c r="BN422" i="29"/>
  <c r="BM422" i="29"/>
  <c r="BL422" i="29"/>
  <c r="BK422" i="29"/>
  <c r="BJ422" i="29"/>
  <c r="BI422" i="29"/>
  <c r="BH422" i="29"/>
  <c r="BG422" i="29"/>
  <c r="BF422" i="29"/>
  <c r="BE422" i="29"/>
  <c r="BD422" i="29"/>
  <c r="BC422" i="29"/>
  <c r="BB422" i="29"/>
  <c r="BA422" i="29"/>
  <c r="AZ422" i="29"/>
  <c r="AY422" i="29"/>
  <c r="AX422" i="29"/>
  <c r="AW422" i="29"/>
  <c r="AV422" i="29"/>
  <c r="AU422" i="29"/>
  <c r="AT422" i="29"/>
  <c r="AS422" i="29"/>
  <c r="AR422" i="29"/>
  <c r="AQ422" i="29"/>
  <c r="AP422" i="29"/>
  <c r="AO422" i="29"/>
  <c r="AN422" i="29"/>
  <c r="AM422" i="29"/>
  <c r="AL422" i="29"/>
  <c r="AK422" i="29"/>
  <c r="AJ422" i="29"/>
  <c r="AI422" i="29"/>
  <c r="AH422" i="29"/>
  <c r="AG422" i="29"/>
  <c r="AF422" i="29"/>
  <c r="AE422" i="29"/>
  <c r="AD422" i="29"/>
  <c r="AC422" i="29"/>
  <c r="AB422" i="29"/>
  <c r="AA422" i="29"/>
  <c r="Z422" i="29"/>
  <c r="Y422" i="29"/>
  <c r="X422" i="29"/>
  <c r="W422" i="29"/>
  <c r="V422" i="29"/>
  <c r="U422" i="29"/>
  <c r="T422" i="29"/>
  <c r="S422" i="29"/>
  <c r="R422" i="29"/>
  <c r="Q422" i="29"/>
  <c r="P422" i="29"/>
  <c r="O422" i="29"/>
  <c r="N422" i="29"/>
  <c r="M422" i="29"/>
  <c r="L422" i="29"/>
  <c r="K422" i="29"/>
  <c r="J422" i="29"/>
  <c r="I422" i="29"/>
  <c r="H422" i="29"/>
  <c r="G422" i="29"/>
  <c r="F422" i="29"/>
  <c r="E422" i="29"/>
  <c r="D422" i="29"/>
  <c r="C422" i="29"/>
  <c r="EA421" i="29"/>
  <c r="DZ421" i="29"/>
  <c r="DY421" i="29"/>
  <c r="DX421" i="29"/>
  <c r="DW421" i="29"/>
  <c r="DV421" i="29"/>
  <c r="DU421" i="29"/>
  <c r="DT421" i="29"/>
  <c r="DS421" i="29"/>
  <c r="DR421" i="29"/>
  <c r="DQ421" i="29"/>
  <c r="DP421" i="29"/>
  <c r="DO421" i="29"/>
  <c r="DN421" i="29"/>
  <c r="DM421" i="29"/>
  <c r="DL421" i="29"/>
  <c r="DK421" i="29"/>
  <c r="DJ421" i="29"/>
  <c r="DI421" i="29"/>
  <c r="DH421" i="29"/>
  <c r="DG421" i="29"/>
  <c r="DF421" i="29"/>
  <c r="DE421" i="29"/>
  <c r="DD421" i="29"/>
  <c r="DC421" i="29"/>
  <c r="DB421" i="29"/>
  <c r="DA421" i="29"/>
  <c r="CZ421" i="29"/>
  <c r="CY421" i="29"/>
  <c r="CX421" i="29"/>
  <c r="CW421" i="29"/>
  <c r="CV421" i="29"/>
  <c r="CU421" i="29"/>
  <c r="CT421" i="29"/>
  <c r="CS421" i="29"/>
  <c r="CR421" i="29"/>
  <c r="CQ421" i="29"/>
  <c r="CP421" i="29"/>
  <c r="CO421" i="29"/>
  <c r="CN421" i="29"/>
  <c r="CM421" i="29"/>
  <c r="CL421" i="29"/>
  <c r="CK421" i="29"/>
  <c r="CJ421" i="29"/>
  <c r="CI421" i="29"/>
  <c r="CH421" i="29"/>
  <c r="CG421" i="29"/>
  <c r="CF421" i="29"/>
  <c r="CE421" i="29"/>
  <c r="CD421" i="29"/>
  <c r="CC421" i="29"/>
  <c r="CB421" i="29"/>
  <c r="CA421" i="29"/>
  <c r="BZ421" i="29"/>
  <c r="BY421" i="29"/>
  <c r="BX421" i="29"/>
  <c r="BW421" i="29"/>
  <c r="BV421" i="29"/>
  <c r="BU421" i="29"/>
  <c r="BT421" i="29"/>
  <c r="BS421" i="29"/>
  <c r="BR421" i="29"/>
  <c r="BQ421" i="29"/>
  <c r="BP421" i="29"/>
  <c r="BO421" i="29"/>
  <c r="BN421" i="29"/>
  <c r="BM421" i="29"/>
  <c r="BL421" i="29"/>
  <c r="BK421" i="29"/>
  <c r="BJ421" i="29"/>
  <c r="BI421" i="29"/>
  <c r="BH421" i="29"/>
  <c r="BG421" i="29"/>
  <c r="BF421" i="29"/>
  <c r="BE421" i="29"/>
  <c r="BD421" i="29"/>
  <c r="BC421" i="29"/>
  <c r="BB421" i="29"/>
  <c r="BA421" i="29"/>
  <c r="AZ421" i="29"/>
  <c r="AY421" i="29"/>
  <c r="AX421" i="29"/>
  <c r="AW421" i="29"/>
  <c r="AV421" i="29"/>
  <c r="AU421" i="29"/>
  <c r="AT421" i="29"/>
  <c r="AS421" i="29"/>
  <c r="AR421" i="29"/>
  <c r="AQ421" i="29"/>
  <c r="AP421" i="29"/>
  <c r="AO421" i="29"/>
  <c r="AN421" i="29"/>
  <c r="AM421" i="29"/>
  <c r="AL421" i="29"/>
  <c r="AK421" i="29"/>
  <c r="AJ421" i="29"/>
  <c r="AI421" i="29"/>
  <c r="AH421" i="29"/>
  <c r="AG421" i="29"/>
  <c r="AF421" i="29"/>
  <c r="AE421" i="29"/>
  <c r="AD421" i="29"/>
  <c r="AC421" i="29"/>
  <c r="AB421" i="29"/>
  <c r="AA421" i="29"/>
  <c r="Z421" i="29"/>
  <c r="Y421" i="29"/>
  <c r="X421" i="29"/>
  <c r="W421" i="29"/>
  <c r="V421" i="29"/>
  <c r="U421" i="29"/>
  <c r="T421" i="29"/>
  <c r="S421" i="29"/>
  <c r="R421" i="29"/>
  <c r="Q421" i="29"/>
  <c r="P421" i="29"/>
  <c r="O421" i="29"/>
  <c r="N421" i="29"/>
  <c r="M421" i="29"/>
  <c r="L421" i="29"/>
  <c r="K421" i="29"/>
  <c r="J421" i="29"/>
  <c r="I421" i="29"/>
  <c r="H421" i="29"/>
  <c r="G421" i="29"/>
  <c r="F421" i="29"/>
  <c r="E421" i="29"/>
  <c r="D421" i="29"/>
  <c r="C421" i="29"/>
  <c r="EA420" i="29"/>
  <c r="DZ420" i="29"/>
  <c r="DY420" i="29"/>
  <c r="DX420" i="29"/>
  <c r="DW420" i="29"/>
  <c r="DV420" i="29"/>
  <c r="DU420" i="29"/>
  <c r="DT420" i="29"/>
  <c r="DS420" i="29"/>
  <c r="DR420" i="29"/>
  <c r="DQ420" i="29"/>
  <c r="DP420" i="29"/>
  <c r="DO420" i="29"/>
  <c r="DN420" i="29"/>
  <c r="DM420" i="29"/>
  <c r="DL420" i="29"/>
  <c r="DK420" i="29"/>
  <c r="DJ420" i="29"/>
  <c r="DI420" i="29"/>
  <c r="DH420" i="29"/>
  <c r="DG420" i="29"/>
  <c r="DF420" i="29"/>
  <c r="DE420" i="29"/>
  <c r="DD420" i="29"/>
  <c r="DC420" i="29"/>
  <c r="DB420" i="29"/>
  <c r="DA420" i="29"/>
  <c r="CZ420" i="29"/>
  <c r="CY420" i="29"/>
  <c r="CX420" i="29"/>
  <c r="CW420" i="29"/>
  <c r="CV420" i="29"/>
  <c r="CU420" i="29"/>
  <c r="CT420" i="29"/>
  <c r="CS420" i="29"/>
  <c r="CR420" i="29"/>
  <c r="CQ420" i="29"/>
  <c r="CP420" i="29"/>
  <c r="CO420" i="29"/>
  <c r="CN420" i="29"/>
  <c r="CM420" i="29"/>
  <c r="CL420" i="29"/>
  <c r="CK420" i="29"/>
  <c r="CJ420" i="29"/>
  <c r="CI420" i="29"/>
  <c r="CH420" i="29"/>
  <c r="CG420" i="29"/>
  <c r="CF420" i="29"/>
  <c r="CE420" i="29"/>
  <c r="CD420" i="29"/>
  <c r="CC420" i="29"/>
  <c r="CB420" i="29"/>
  <c r="CA420" i="29"/>
  <c r="BZ420" i="29"/>
  <c r="BY420" i="29"/>
  <c r="BX420" i="29"/>
  <c r="BW420" i="29"/>
  <c r="BV420" i="29"/>
  <c r="BU420" i="29"/>
  <c r="BT420" i="29"/>
  <c r="BS420" i="29"/>
  <c r="BR420" i="29"/>
  <c r="BQ420" i="29"/>
  <c r="BP420" i="29"/>
  <c r="BO420" i="29"/>
  <c r="BN420" i="29"/>
  <c r="BM420" i="29"/>
  <c r="BL420" i="29"/>
  <c r="BK420" i="29"/>
  <c r="BJ420" i="29"/>
  <c r="BI420" i="29"/>
  <c r="BH420" i="29"/>
  <c r="BG420" i="29"/>
  <c r="BF420" i="29"/>
  <c r="BE420" i="29"/>
  <c r="BD420" i="29"/>
  <c r="BC420" i="29"/>
  <c r="BB420" i="29"/>
  <c r="BA420" i="29"/>
  <c r="AZ420" i="29"/>
  <c r="AY420" i="29"/>
  <c r="AX420" i="29"/>
  <c r="AW420" i="29"/>
  <c r="AV420" i="29"/>
  <c r="AU420" i="29"/>
  <c r="AT420" i="29"/>
  <c r="AS420" i="29"/>
  <c r="AR420" i="29"/>
  <c r="AQ420" i="29"/>
  <c r="AP420" i="29"/>
  <c r="AO420" i="29"/>
  <c r="AN420" i="29"/>
  <c r="AM420" i="29"/>
  <c r="AL420" i="29"/>
  <c r="AK420" i="29"/>
  <c r="AJ420" i="29"/>
  <c r="AI420" i="29"/>
  <c r="AH420" i="29"/>
  <c r="AG420" i="29"/>
  <c r="AF420" i="29"/>
  <c r="AE420" i="29"/>
  <c r="AD420" i="29"/>
  <c r="AC420" i="29"/>
  <c r="AB420" i="29"/>
  <c r="AA420" i="29"/>
  <c r="Z420" i="29"/>
  <c r="Y420" i="29"/>
  <c r="X420" i="29"/>
  <c r="W420" i="29"/>
  <c r="V420" i="29"/>
  <c r="U420" i="29"/>
  <c r="T420" i="29"/>
  <c r="S420" i="29"/>
  <c r="R420" i="29"/>
  <c r="Q420" i="29"/>
  <c r="P420" i="29"/>
  <c r="O420" i="29"/>
  <c r="N420" i="29"/>
  <c r="M420" i="29"/>
  <c r="L420" i="29"/>
  <c r="K420" i="29"/>
  <c r="J420" i="29"/>
  <c r="I420" i="29"/>
  <c r="H420" i="29"/>
  <c r="G420" i="29"/>
  <c r="F420" i="29"/>
  <c r="E420" i="29"/>
  <c r="D420" i="29"/>
  <c r="C420" i="29"/>
  <c r="EA419" i="29"/>
  <c r="DZ419" i="29"/>
  <c r="DY419" i="29"/>
  <c r="DX419" i="29"/>
  <c r="DW419" i="29"/>
  <c r="DV419" i="29"/>
  <c r="DU419" i="29"/>
  <c r="DT419" i="29"/>
  <c r="DS419" i="29"/>
  <c r="DR419" i="29"/>
  <c r="DQ419" i="29"/>
  <c r="DP419" i="29"/>
  <c r="DO419" i="29"/>
  <c r="DN419" i="29"/>
  <c r="DM419" i="29"/>
  <c r="DL419" i="29"/>
  <c r="DK419" i="29"/>
  <c r="DJ419" i="29"/>
  <c r="DI419" i="29"/>
  <c r="DH419" i="29"/>
  <c r="DG419" i="29"/>
  <c r="DF419" i="29"/>
  <c r="DE419" i="29"/>
  <c r="DD419" i="29"/>
  <c r="DC419" i="29"/>
  <c r="DB419" i="29"/>
  <c r="DA419" i="29"/>
  <c r="CZ419" i="29"/>
  <c r="CY419" i="29"/>
  <c r="CX419" i="29"/>
  <c r="CW419" i="29"/>
  <c r="CV419" i="29"/>
  <c r="CU419" i="29"/>
  <c r="CT419" i="29"/>
  <c r="CS419" i="29"/>
  <c r="CR419" i="29"/>
  <c r="CQ419" i="29"/>
  <c r="CP419" i="29"/>
  <c r="CO419" i="29"/>
  <c r="CN419" i="29"/>
  <c r="CM419" i="29"/>
  <c r="CL419" i="29"/>
  <c r="CK419" i="29"/>
  <c r="CJ419" i="29"/>
  <c r="CI419" i="29"/>
  <c r="CH419" i="29"/>
  <c r="CG419" i="29"/>
  <c r="CF419" i="29"/>
  <c r="CE419" i="29"/>
  <c r="CD419" i="29"/>
  <c r="CC419" i="29"/>
  <c r="CB419" i="29"/>
  <c r="CA419" i="29"/>
  <c r="BZ419" i="29"/>
  <c r="BY419" i="29"/>
  <c r="BX419" i="29"/>
  <c r="BW419" i="29"/>
  <c r="BV419" i="29"/>
  <c r="BU419" i="29"/>
  <c r="BT419" i="29"/>
  <c r="BS419" i="29"/>
  <c r="BR419" i="29"/>
  <c r="BQ419" i="29"/>
  <c r="BP419" i="29"/>
  <c r="BO419" i="29"/>
  <c r="BN419" i="29"/>
  <c r="BM419" i="29"/>
  <c r="BL419" i="29"/>
  <c r="BK419" i="29"/>
  <c r="BJ419" i="29"/>
  <c r="BI419" i="29"/>
  <c r="BH419" i="29"/>
  <c r="BG419" i="29"/>
  <c r="BF419" i="29"/>
  <c r="BE419" i="29"/>
  <c r="BD419" i="29"/>
  <c r="BC419" i="29"/>
  <c r="BB419" i="29"/>
  <c r="BA419" i="29"/>
  <c r="AZ419" i="29"/>
  <c r="AY419" i="29"/>
  <c r="AX419" i="29"/>
  <c r="AW419" i="29"/>
  <c r="AV419" i="29"/>
  <c r="AU419" i="29"/>
  <c r="AT419" i="29"/>
  <c r="AS419" i="29"/>
  <c r="AR419" i="29"/>
  <c r="AQ419" i="29"/>
  <c r="AP419" i="29"/>
  <c r="AO419" i="29"/>
  <c r="AN419" i="29"/>
  <c r="AM419" i="29"/>
  <c r="AL419" i="29"/>
  <c r="AK419" i="29"/>
  <c r="AJ419" i="29"/>
  <c r="AI419" i="29"/>
  <c r="AH419" i="29"/>
  <c r="AG419" i="29"/>
  <c r="AF419" i="29"/>
  <c r="AE419" i="29"/>
  <c r="AD419" i="29"/>
  <c r="AC419" i="29"/>
  <c r="AB419" i="29"/>
  <c r="AA419" i="29"/>
  <c r="Z419" i="29"/>
  <c r="Y419" i="29"/>
  <c r="X419" i="29"/>
  <c r="W419" i="29"/>
  <c r="V419" i="29"/>
  <c r="U419" i="29"/>
  <c r="T419" i="29"/>
  <c r="S419" i="29"/>
  <c r="R419" i="29"/>
  <c r="Q419" i="29"/>
  <c r="P419" i="29"/>
  <c r="O419" i="29"/>
  <c r="N419" i="29"/>
  <c r="M419" i="29"/>
  <c r="L419" i="29"/>
  <c r="K419" i="29"/>
  <c r="J419" i="29"/>
  <c r="I419" i="29"/>
  <c r="H419" i="29"/>
  <c r="G419" i="29"/>
  <c r="F419" i="29"/>
  <c r="E419" i="29"/>
  <c r="D419" i="29"/>
  <c r="C419" i="29"/>
  <c r="EA418" i="29"/>
  <c r="DZ418" i="29"/>
  <c r="DY418" i="29"/>
  <c r="DX418" i="29"/>
  <c r="DW418" i="29"/>
  <c r="DV418" i="29"/>
  <c r="DU418" i="29"/>
  <c r="DT418" i="29"/>
  <c r="DS418" i="29"/>
  <c r="DR418" i="29"/>
  <c r="DQ418" i="29"/>
  <c r="DP418" i="29"/>
  <c r="DO418" i="29"/>
  <c r="DN418" i="29"/>
  <c r="DM418" i="29"/>
  <c r="DL418" i="29"/>
  <c r="DK418" i="29"/>
  <c r="DJ418" i="29"/>
  <c r="DI418" i="29"/>
  <c r="DH418" i="29"/>
  <c r="DG418" i="29"/>
  <c r="DF418" i="29"/>
  <c r="DE418" i="29"/>
  <c r="DD418" i="29"/>
  <c r="DC418" i="29"/>
  <c r="DB418" i="29"/>
  <c r="DA418" i="29"/>
  <c r="CZ418" i="29"/>
  <c r="CY418" i="29"/>
  <c r="CX418" i="29"/>
  <c r="CW418" i="29"/>
  <c r="CV418" i="29"/>
  <c r="CU418" i="29"/>
  <c r="CT418" i="29"/>
  <c r="CS418" i="29"/>
  <c r="CR418" i="29"/>
  <c r="CQ418" i="29"/>
  <c r="CP418" i="29"/>
  <c r="CO418" i="29"/>
  <c r="CN418" i="29"/>
  <c r="CM418" i="29"/>
  <c r="CL418" i="29"/>
  <c r="CK418" i="29"/>
  <c r="CJ418" i="29"/>
  <c r="CI418" i="29"/>
  <c r="CH418" i="29"/>
  <c r="CG418" i="29"/>
  <c r="CF418" i="29"/>
  <c r="CE418" i="29"/>
  <c r="CD418" i="29"/>
  <c r="CC418" i="29"/>
  <c r="CB418" i="29"/>
  <c r="CA418" i="29"/>
  <c r="BZ418" i="29"/>
  <c r="BY418" i="29"/>
  <c r="BX418" i="29"/>
  <c r="BW418" i="29"/>
  <c r="BV418" i="29"/>
  <c r="BU418" i="29"/>
  <c r="BT418" i="29"/>
  <c r="BS418" i="29"/>
  <c r="BR418" i="29"/>
  <c r="BQ418" i="29"/>
  <c r="BP418" i="29"/>
  <c r="BO418" i="29"/>
  <c r="BN418" i="29"/>
  <c r="BM418" i="29"/>
  <c r="BL418" i="29"/>
  <c r="BK418" i="29"/>
  <c r="BJ418" i="29"/>
  <c r="BI418" i="29"/>
  <c r="BH418" i="29"/>
  <c r="BG418" i="29"/>
  <c r="BF418" i="29"/>
  <c r="BE418" i="29"/>
  <c r="BD418" i="29"/>
  <c r="BC418" i="29"/>
  <c r="BB418" i="29"/>
  <c r="BA418" i="29"/>
  <c r="AZ418" i="29"/>
  <c r="AY418" i="29"/>
  <c r="AX418" i="29"/>
  <c r="AW418" i="29"/>
  <c r="AV418" i="29"/>
  <c r="AU418" i="29"/>
  <c r="AT418" i="29"/>
  <c r="AS418" i="29"/>
  <c r="AR418" i="29"/>
  <c r="AQ418" i="29"/>
  <c r="AP418" i="29"/>
  <c r="AO418" i="29"/>
  <c r="AN418" i="29"/>
  <c r="AM418" i="29"/>
  <c r="AL418" i="29"/>
  <c r="AK418" i="29"/>
  <c r="AJ418" i="29"/>
  <c r="AI418" i="29"/>
  <c r="AH418" i="29"/>
  <c r="AG418" i="29"/>
  <c r="AF418" i="29"/>
  <c r="AE418" i="29"/>
  <c r="AD418" i="29"/>
  <c r="AC418" i="29"/>
  <c r="AB418" i="29"/>
  <c r="AA418" i="29"/>
  <c r="Z418" i="29"/>
  <c r="Y418" i="29"/>
  <c r="X418" i="29"/>
  <c r="W418" i="29"/>
  <c r="V418" i="29"/>
  <c r="U418" i="29"/>
  <c r="T418" i="29"/>
  <c r="S418" i="29"/>
  <c r="R418" i="29"/>
  <c r="Q418" i="29"/>
  <c r="P418" i="29"/>
  <c r="O418" i="29"/>
  <c r="N418" i="29"/>
  <c r="M418" i="29"/>
  <c r="L418" i="29"/>
  <c r="K418" i="29"/>
  <c r="J418" i="29"/>
  <c r="I418" i="29"/>
  <c r="H418" i="29"/>
  <c r="G418" i="29"/>
  <c r="F418" i="29"/>
  <c r="E418" i="29"/>
  <c r="D418" i="29"/>
  <c r="C418" i="29"/>
  <c r="EA417" i="29"/>
  <c r="DZ417" i="29"/>
  <c r="DY417" i="29"/>
  <c r="DX417" i="29"/>
  <c r="DW417" i="29"/>
  <c r="DV417" i="29"/>
  <c r="DU417" i="29"/>
  <c r="DT417" i="29"/>
  <c r="DS417" i="29"/>
  <c r="DR417" i="29"/>
  <c r="DQ417" i="29"/>
  <c r="DP417" i="29"/>
  <c r="DO417" i="29"/>
  <c r="DN417" i="29"/>
  <c r="DM417" i="29"/>
  <c r="DL417" i="29"/>
  <c r="DK417" i="29"/>
  <c r="DJ417" i="29"/>
  <c r="DI417" i="29"/>
  <c r="DH417" i="29"/>
  <c r="DG417" i="29"/>
  <c r="DF417" i="29"/>
  <c r="DE417" i="29"/>
  <c r="DD417" i="29"/>
  <c r="DC417" i="29"/>
  <c r="DB417" i="29"/>
  <c r="DA417" i="29"/>
  <c r="CZ417" i="29"/>
  <c r="CY417" i="29"/>
  <c r="CX417" i="29"/>
  <c r="CW417" i="29"/>
  <c r="CV417" i="29"/>
  <c r="CU417" i="29"/>
  <c r="CT417" i="29"/>
  <c r="CS417" i="29"/>
  <c r="CR417" i="29"/>
  <c r="CQ417" i="29"/>
  <c r="CP417" i="29"/>
  <c r="CO417" i="29"/>
  <c r="CN417" i="29"/>
  <c r="CM417" i="29"/>
  <c r="CL417" i="29"/>
  <c r="CK417" i="29"/>
  <c r="CJ417" i="29"/>
  <c r="CI417" i="29"/>
  <c r="CH417" i="29"/>
  <c r="CG417" i="29"/>
  <c r="CF417" i="29"/>
  <c r="CE417" i="29"/>
  <c r="CD417" i="29"/>
  <c r="CC417" i="29"/>
  <c r="CB417" i="29"/>
  <c r="CA417" i="29"/>
  <c r="BZ417" i="29"/>
  <c r="BY417" i="29"/>
  <c r="BX417" i="29"/>
  <c r="BW417" i="29"/>
  <c r="BV417" i="29"/>
  <c r="BU417" i="29"/>
  <c r="BT417" i="29"/>
  <c r="BS417" i="29"/>
  <c r="BR417" i="29"/>
  <c r="BQ417" i="29"/>
  <c r="BP417" i="29"/>
  <c r="BO417" i="29"/>
  <c r="BN417" i="29"/>
  <c r="BM417" i="29"/>
  <c r="BL417" i="29"/>
  <c r="BK417" i="29"/>
  <c r="BJ417" i="29"/>
  <c r="BI417" i="29"/>
  <c r="BH417" i="29"/>
  <c r="BG417" i="29"/>
  <c r="BF417" i="29"/>
  <c r="BE417" i="29"/>
  <c r="BD417" i="29"/>
  <c r="BC417" i="29"/>
  <c r="BB417" i="29"/>
  <c r="BA417" i="29"/>
  <c r="AZ417" i="29"/>
  <c r="AY417" i="29"/>
  <c r="AX417" i="29"/>
  <c r="AW417" i="29"/>
  <c r="AV417" i="29"/>
  <c r="AU417" i="29"/>
  <c r="AT417" i="29"/>
  <c r="AS417" i="29"/>
  <c r="AR417" i="29"/>
  <c r="AQ417" i="29"/>
  <c r="AP417" i="29"/>
  <c r="AO417" i="29"/>
  <c r="AN417" i="29"/>
  <c r="AM417" i="29"/>
  <c r="AL417" i="29"/>
  <c r="AK417" i="29"/>
  <c r="AJ417" i="29"/>
  <c r="AI417" i="29"/>
  <c r="AH417" i="29"/>
  <c r="AG417" i="29"/>
  <c r="AF417" i="29"/>
  <c r="AE417" i="29"/>
  <c r="AD417" i="29"/>
  <c r="AC417" i="29"/>
  <c r="AB417" i="29"/>
  <c r="AA417" i="29"/>
  <c r="Z417" i="29"/>
  <c r="Y417" i="29"/>
  <c r="X417" i="29"/>
  <c r="W417" i="29"/>
  <c r="V417" i="29"/>
  <c r="U417" i="29"/>
  <c r="T417" i="29"/>
  <c r="S417" i="29"/>
  <c r="R417" i="29"/>
  <c r="Q417" i="29"/>
  <c r="P417" i="29"/>
  <c r="O417" i="29"/>
  <c r="N417" i="29"/>
  <c r="M417" i="29"/>
  <c r="L417" i="29"/>
  <c r="K417" i="29"/>
  <c r="J417" i="29"/>
  <c r="I417" i="29"/>
  <c r="H417" i="29"/>
  <c r="G417" i="29"/>
  <c r="F417" i="29"/>
  <c r="E417" i="29"/>
  <c r="D417" i="29"/>
  <c r="C417" i="29"/>
  <c r="EA416" i="29"/>
  <c r="DZ416" i="29"/>
  <c r="DY416" i="29"/>
  <c r="DX416" i="29"/>
  <c r="DW416" i="29"/>
  <c r="DV416" i="29"/>
  <c r="DU416" i="29"/>
  <c r="DT416" i="29"/>
  <c r="DS416" i="29"/>
  <c r="DR416" i="29"/>
  <c r="DQ416" i="29"/>
  <c r="DP416" i="29"/>
  <c r="DO416" i="29"/>
  <c r="DN416" i="29"/>
  <c r="DM416" i="29"/>
  <c r="DL416" i="29"/>
  <c r="DK416" i="29"/>
  <c r="DJ416" i="29"/>
  <c r="DI416" i="29"/>
  <c r="DH416" i="29"/>
  <c r="DG416" i="29"/>
  <c r="DF416" i="29"/>
  <c r="DE416" i="29"/>
  <c r="DD416" i="29"/>
  <c r="DC416" i="29"/>
  <c r="DB416" i="29"/>
  <c r="DA416" i="29"/>
  <c r="CZ416" i="29"/>
  <c r="CY416" i="29"/>
  <c r="CX416" i="29"/>
  <c r="CW416" i="29"/>
  <c r="CV416" i="29"/>
  <c r="CU416" i="29"/>
  <c r="CT416" i="29"/>
  <c r="CS416" i="29"/>
  <c r="CR416" i="29"/>
  <c r="CQ416" i="29"/>
  <c r="CP416" i="29"/>
  <c r="CO416" i="29"/>
  <c r="CN416" i="29"/>
  <c r="CM416" i="29"/>
  <c r="CL416" i="29"/>
  <c r="CK416" i="29"/>
  <c r="CJ416" i="29"/>
  <c r="CI416" i="29"/>
  <c r="CH416" i="29"/>
  <c r="CG416" i="29"/>
  <c r="CF416" i="29"/>
  <c r="CE416" i="29"/>
  <c r="CD416" i="29"/>
  <c r="CC416" i="29"/>
  <c r="CB416" i="29"/>
  <c r="CA416" i="29"/>
  <c r="BZ416" i="29"/>
  <c r="BY416" i="29"/>
  <c r="BX416" i="29"/>
  <c r="BW416" i="29"/>
  <c r="BV416" i="29"/>
  <c r="BU416" i="29"/>
  <c r="BT416" i="29"/>
  <c r="BS416" i="29"/>
  <c r="BR416" i="29"/>
  <c r="BQ416" i="29"/>
  <c r="BP416" i="29"/>
  <c r="BO416" i="29"/>
  <c r="BN416" i="29"/>
  <c r="BM416" i="29"/>
  <c r="BL416" i="29"/>
  <c r="BK416" i="29"/>
  <c r="BJ416" i="29"/>
  <c r="BI416" i="29"/>
  <c r="BH416" i="29"/>
  <c r="BG416" i="29"/>
  <c r="BF416" i="29"/>
  <c r="BE416" i="29"/>
  <c r="BD416" i="29"/>
  <c r="BC416" i="29"/>
  <c r="BB416" i="29"/>
  <c r="BA416" i="29"/>
  <c r="AZ416" i="29"/>
  <c r="AY416" i="29"/>
  <c r="AX416" i="29"/>
  <c r="AW416" i="29"/>
  <c r="AV416" i="29"/>
  <c r="AU416" i="29"/>
  <c r="AT416" i="29"/>
  <c r="AS416" i="29"/>
  <c r="AR416" i="29"/>
  <c r="AQ416" i="29"/>
  <c r="AP416" i="29"/>
  <c r="AO416" i="29"/>
  <c r="AN416" i="29"/>
  <c r="AM416" i="29"/>
  <c r="AL416" i="29"/>
  <c r="AK416" i="29"/>
  <c r="AJ416" i="29"/>
  <c r="AI416" i="29"/>
  <c r="AH416" i="29"/>
  <c r="AG416" i="29"/>
  <c r="AF416" i="29"/>
  <c r="AE416" i="29"/>
  <c r="AD416" i="29"/>
  <c r="AC416" i="29"/>
  <c r="AB416" i="29"/>
  <c r="AA416" i="29"/>
  <c r="Z416" i="29"/>
  <c r="Y416" i="29"/>
  <c r="X416" i="29"/>
  <c r="W416" i="29"/>
  <c r="V416" i="29"/>
  <c r="U416" i="29"/>
  <c r="T416" i="29"/>
  <c r="S416" i="29"/>
  <c r="R416" i="29"/>
  <c r="Q416" i="29"/>
  <c r="P416" i="29"/>
  <c r="O416" i="29"/>
  <c r="N416" i="29"/>
  <c r="M416" i="29"/>
  <c r="L416" i="29"/>
  <c r="K416" i="29"/>
  <c r="J416" i="29"/>
  <c r="I416" i="29"/>
  <c r="H416" i="29"/>
  <c r="G416" i="29"/>
  <c r="F416" i="29"/>
  <c r="E416" i="29"/>
  <c r="D416" i="29"/>
  <c r="C416" i="29"/>
  <c r="EA415" i="29"/>
  <c r="DZ415" i="29"/>
  <c r="DY415" i="29"/>
  <c r="DX415" i="29"/>
  <c r="DW415" i="29"/>
  <c r="DV415" i="29"/>
  <c r="DU415" i="29"/>
  <c r="DT415" i="29"/>
  <c r="DS415" i="29"/>
  <c r="DR415" i="29"/>
  <c r="DQ415" i="29"/>
  <c r="DP415" i="29"/>
  <c r="DO415" i="29"/>
  <c r="DN415" i="29"/>
  <c r="DM415" i="29"/>
  <c r="DL415" i="29"/>
  <c r="DK415" i="29"/>
  <c r="DJ415" i="29"/>
  <c r="DI415" i="29"/>
  <c r="DH415" i="29"/>
  <c r="DG415" i="29"/>
  <c r="DF415" i="29"/>
  <c r="DE415" i="29"/>
  <c r="DD415" i="29"/>
  <c r="DC415" i="29"/>
  <c r="DB415" i="29"/>
  <c r="DA415" i="29"/>
  <c r="CZ415" i="29"/>
  <c r="CY415" i="29"/>
  <c r="CX415" i="29"/>
  <c r="CW415" i="29"/>
  <c r="CV415" i="29"/>
  <c r="CU415" i="29"/>
  <c r="CT415" i="29"/>
  <c r="CS415" i="29"/>
  <c r="CR415" i="29"/>
  <c r="CQ415" i="29"/>
  <c r="CP415" i="29"/>
  <c r="CO415" i="29"/>
  <c r="CN415" i="29"/>
  <c r="CM415" i="29"/>
  <c r="CL415" i="29"/>
  <c r="CK415" i="29"/>
  <c r="CJ415" i="29"/>
  <c r="CI415" i="29"/>
  <c r="CH415" i="29"/>
  <c r="CG415" i="29"/>
  <c r="CF415" i="29"/>
  <c r="CE415" i="29"/>
  <c r="CD415" i="29"/>
  <c r="CC415" i="29"/>
  <c r="CB415" i="29"/>
  <c r="CA415" i="29"/>
  <c r="BZ415" i="29"/>
  <c r="BY415" i="29"/>
  <c r="BX415" i="29"/>
  <c r="BW415" i="29"/>
  <c r="BV415" i="29"/>
  <c r="BU415" i="29"/>
  <c r="BT415" i="29"/>
  <c r="BS415" i="29"/>
  <c r="BR415" i="29"/>
  <c r="BQ415" i="29"/>
  <c r="BP415" i="29"/>
  <c r="BO415" i="29"/>
  <c r="BN415" i="29"/>
  <c r="BM415" i="29"/>
  <c r="BL415" i="29"/>
  <c r="BK415" i="29"/>
  <c r="BJ415" i="29"/>
  <c r="BI415" i="29"/>
  <c r="BH415" i="29"/>
  <c r="BG415" i="29"/>
  <c r="BF415" i="29"/>
  <c r="BE415" i="29"/>
  <c r="BD415" i="29"/>
  <c r="BC415" i="29"/>
  <c r="BB415" i="29"/>
  <c r="BA415" i="29"/>
  <c r="AZ415" i="29"/>
  <c r="AY415" i="29"/>
  <c r="AX415" i="29"/>
  <c r="AW415" i="29"/>
  <c r="AV415" i="29"/>
  <c r="AU415" i="29"/>
  <c r="AT415" i="29"/>
  <c r="AS415" i="29"/>
  <c r="AR415" i="29"/>
  <c r="AQ415" i="29"/>
  <c r="AP415" i="29"/>
  <c r="AO415" i="29"/>
  <c r="AN415" i="29"/>
  <c r="AM415" i="29"/>
  <c r="AL415" i="29"/>
  <c r="AK415" i="29"/>
  <c r="AJ415" i="29"/>
  <c r="AI415" i="29"/>
  <c r="AH415" i="29"/>
  <c r="AG415" i="29"/>
  <c r="AF415" i="29"/>
  <c r="AE415" i="29"/>
  <c r="AD415" i="29"/>
  <c r="AC415" i="29"/>
  <c r="AB415" i="29"/>
  <c r="AA415" i="29"/>
  <c r="Z415" i="29"/>
  <c r="Y415" i="29"/>
  <c r="X415" i="29"/>
  <c r="W415" i="29"/>
  <c r="V415" i="29"/>
  <c r="U415" i="29"/>
  <c r="T415" i="29"/>
  <c r="S415" i="29"/>
  <c r="R415" i="29"/>
  <c r="Q415" i="29"/>
  <c r="P415" i="29"/>
  <c r="O415" i="29"/>
  <c r="N415" i="29"/>
  <c r="M415" i="29"/>
  <c r="L415" i="29"/>
  <c r="K415" i="29"/>
  <c r="J415" i="29"/>
  <c r="I415" i="29"/>
  <c r="H415" i="29"/>
  <c r="G415" i="29"/>
  <c r="F415" i="29"/>
  <c r="E415" i="29"/>
  <c r="D415" i="29"/>
  <c r="C415" i="29"/>
  <c r="EA414" i="29"/>
  <c r="DZ414" i="29"/>
  <c r="DY414" i="29"/>
  <c r="DX414" i="29"/>
  <c r="DW414" i="29"/>
  <c r="DV414" i="29"/>
  <c r="DU414" i="29"/>
  <c r="DT414" i="29"/>
  <c r="DS414" i="29"/>
  <c r="DR414" i="29"/>
  <c r="DQ414" i="29"/>
  <c r="DP414" i="29"/>
  <c r="DO414" i="29"/>
  <c r="DN414" i="29"/>
  <c r="DM414" i="29"/>
  <c r="DL414" i="29"/>
  <c r="DK414" i="29"/>
  <c r="DJ414" i="29"/>
  <c r="DI414" i="29"/>
  <c r="DH414" i="29"/>
  <c r="DG414" i="29"/>
  <c r="DF414" i="29"/>
  <c r="DE414" i="29"/>
  <c r="DD414" i="29"/>
  <c r="DC414" i="29"/>
  <c r="DB414" i="29"/>
  <c r="DA414" i="29"/>
  <c r="CZ414" i="29"/>
  <c r="CY414" i="29"/>
  <c r="CX414" i="29"/>
  <c r="CW414" i="29"/>
  <c r="CV414" i="29"/>
  <c r="CU414" i="29"/>
  <c r="CT414" i="29"/>
  <c r="CS414" i="29"/>
  <c r="CR414" i="29"/>
  <c r="CQ414" i="29"/>
  <c r="CP414" i="29"/>
  <c r="CO414" i="29"/>
  <c r="CN414" i="29"/>
  <c r="CM414" i="29"/>
  <c r="CL414" i="29"/>
  <c r="CK414" i="29"/>
  <c r="CJ414" i="29"/>
  <c r="CI414" i="29"/>
  <c r="CH414" i="29"/>
  <c r="CG414" i="29"/>
  <c r="CF414" i="29"/>
  <c r="CE414" i="29"/>
  <c r="CD414" i="29"/>
  <c r="CC414" i="29"/>
  <c r="CB414" i="29"/>
  <c r="CA414" i="29"/>
  <c r="BZ414" i="29"/>
  <c r="BY414" i="29"/>
  <c r="BX414" i="29"/>
  <c r="BW414" i="29"/>
  <c r="BV414" i="29"/>
  <c r="BU414" i="29"/>
  <c r="BT414" i="29"/>
  <c r="BS414" i="29"/>
  <c r="BR414" i="29"/>
  <c r="BQ414" i="29"/>
  <c r="BP414" i="29"/>
  <c r="BO414" i="29"/>
  <c r="BN414" i="29"/>
  <c r="BM414" i="29"/>
  <c r="BL414" i="29"/>
  <c r="BK414" i="29"/>
  <c r="BJ414" i="29"/>
  <c r="BI414" i="29"/>
  <c r="BH414" i="29"/>
  <c r="BG414" i="29"/>
  <c r="BF414" i="29"/>
  <c r="BE414" i="29"/>
  <c r="BD414" i="29"/>
  <c r="BC414" i="29"/>
  <c r="BB414" i="29"/>
  <c r="BA414" i="29"/>
  <c r="AZ414" i="29"/>
  <c r="AY414" i="29"/>
  <c r="AX414" i="29"/>
  <c r="AW414" i="29"/>
  <c r="AV414" i="29"/>
  <c r="AU414" i="29"/>
  <c r="AT414" i="29"/>
  <c r="AS414" i="29"/>
  <c r="AR414" i="29"/>
  <c r="AQ414" i="29"/>
  <c r="AP414" i="29"/>
  <c r="AO414" i="29"/>
  <c r="AN414" i="29"/>
  <c r="AM414" i="29"/>
  <c r="AL414" i="29"/>
  <c r="AK414" i="29"/>
  <c r="AJ414" i="29"/>
  <c r="AI414" i="29"/>
  <c r="AH414" i="29"/>
  <c r="AG414" i="29"/>
  <c r="AF414" i="29"/>
  <c r="AE414" i="29"/>
  <c r="AD414" i="29"/>
  <c r="AC414" i="29"/>
  <c r="AB414" i="29"/>
  <c r="AA414" i="29"/>
  <c r="Z414" i="29"/>
  <c r="Y414" i="29"/>
  <c r="X414" i="29"/>
  <c r="W414" i="29"/>
  <c r="V414" i="29"/>
  <c r="U414" i="29"/>
  <c r="T414" i="29"/>
  <c r="S414" i="29"/>
  <c r="R414" i="29"/>
  <c r="Q414" i="29"/>
  <c r="P414" i="29"/>
  <c r="O414" i="29"/>
  <c r="N414" i="29"/>
  <c r="M414" i="29"/>
  <c r="L414" i="29"/>
  <c r="K414" i="29"/>
  <c r="J414" i="29"/>
  <c r="I414" i="29"/>
  <c r="H414" i="29"/>
  <c r="G414" i="29"/>
  <c r="F414" i="29"/>
  <c r="E414" i="29"/>
  <c r="D414" i="29"/>
  <c r="C414" i="29"/>
  <c r="EA413" i="29"/>
  <c r="DZ413" i="29"/>
  <c r="DY413" i="29"/>
  <c r="DX413" i="29"/>
  <c r="DW413" i="29"/>
  <c r="DV413" i="29"/>
  <c r="DU413" i="29"/>
  <c r="DT413" i="29"/>
  <c r="DS413" i="29"/>
  <c r="DR413" i="29"/>
  <c r="DQ413" i="29"/>
  <c r="DP413" i="29"/>
  <c r="DO413" i="29"/>
  <c r="DN413" i="29"/>
  <c r="DM413" i="29"/>
  <c r="DL413" i="29"/>
  <c r="DK413" i="29"/>
  <c r="DJ413" i="29"/>
  <c r="DI413" i="29"/>
  <c r="DH413" i="29"/>
  <c r="DG413" i="29"/>
  <c r="DF413" i="29"/>
  <c r="DE413" i="29"/>
  <c r="DD413" i="29"/>
  <c r="DC413" i="29"/>
  <c r="DB413" i="29"/>
  <c r="DA413" i="29"/>
  <c r="CZ413" i="29"/>
  <c r="CY413" i="29"/>
  <c r="CX413" i="29"/>
  <c r="CW413" i="29"/>
  <c r="CV413" i="29"/>
  <c r="CU413" i="29"/>
  <c r="CT413" i="29"/>
  <c r="CS413" i="29"/>
  <c r="CR413" i="29"/>
  <c r="CQ413" i="29"/>
  <c r="CP413" i="29"/>
  <c r="CO413" i="29"/>
  <c r="CN413" i="29"/>
  <c r="CM413" i="29"/>
  <c r="CL413" i="29"/>
  <c r="CK413" i="29"/>
  <c r="CJ413" i="29"/>
  <c r="CI413" i="29"/>
  <c r="CH413" i="29"/>
  <c r="CG413" i="29"/>
  <c r="CF413" i="29"/>
  <c r="CE413" i="29"/>
  <c r="CD413" i="29"/>
  <c r="CC413" i="29"/>
  <c r="CB413" i="29"/>
  <c r="CA413" i="29"/>
  <c r="BZ413" i="29"/>
  <c r="BY413" i="29"/>
  <c r="BX413" i="29"/>
  <c r="BW413" i="29"/>
  <c r="BV413" i="29"/>
  <c r="BU413" i="29"/>
  <c r="BT413" i="29"/>
  <c r="BS413" i="29"/>
  <c r="BR413" i="29"/>
  <c r="BQ413" i="29"/>
  <c r="BP413" i="29"/>
  <c r="BO413" i="29"/>
  <c r="BN413" i="29"/>
  <c r="BM413" i="29"/>
  <c r="BL413" i="29"/>
  <c r="BK413" i="29"/>
  <c r="BJ413" i="29"/>
  <c r="BI413" i="29"/>
  <c r="BH413" i="29"/>
  <c r="BG413" i="29"/>
  <c r="BF413" i="29"/>
  <c r="BE413" i="29"/>
  <c r="BD413" i="29"/>
  <c r="BC413" i="29"/>
  <c r="BB413" i="29"/>
  <c r="BA413" i="29"/>
  <c r="AZ413" i="29"/>
  <c r="AY413" i="29"/>
  <c r="AX413" i="29"/>
  <c r="AW413" i="29"/>
  <c r="AV413" i="29"/>
  <c r="AU413" i="29"/>
  <c r="AT413" i="29"/>
  <c r="AS413" i="29"/>
  <c r="AR413" i="29"/>
  <c r="AQ413" i="29"/>
  <c r="AP413" i="29"/>
  <c r="AO413" i="29"/>
  <c r="AN413" i="29"/>
  <c r="AM413" i="29"/>
  <c r="AL413" i="29"/>
  <c r="AK413" i="29"/>
  <c r="AJ413" i="29"/>
  <c r="AI413" i="29"/>
  <c r="AH413" i="29"/>
  <c r="AG413" i="29"/>
  <c r="AF413" i="29"/>
  <c r="AE413" i="29"/>
  <c r="AD413" i="29"/>
  <c r="AC413" i="29"/>
  <c r="AB413" i="29"/>
  <c r="AA413" i="29"/>
  <c r="Z413" i="29"/>
  <c r="Y413" i="29"/>
  <c r="X413" i="29"/>
  <c r="W413" i="29"/>
  <c r="V413" i="29"/>
  <c r="U413" i="29"/>
  <c r="T413" i="29"/>
  <c r="S413" i="29"/>
  <c r="R413" i="29"/>
  <c r="Q413" i="29"/>
  <c r="P413" i="29"/>
  <c r="O413" i="29"/>
  <c r="N413" i="29"/>
  <c r="M413" i="29"/>
  <c r="L413" i="29"/>
  <c r="K413" i="29"/>
  <c r="J413" i="29"/>
  <c r="I413" i="29"/>
  <c r="H413" i="29"/>
  <c r="G413" i="29"/>
  <c r="F413" i="29"/>
  <c r="E413" i="29"/>
  <c r="D413" i="29"/>
  <c r="C413" i="29"/>
  <c r="EA412" i="29"/>
  <c r="DZ412" i="29"/>
  <c r="DY412" i="29"/>
  <c r="DX412" i="29"/>
  <c r="DW412" i="29"/>
  <c r="DV412" i="29"/>
  <c r="DU412" i="29"/>
  <c r="DT412" i="29"/>
  <c r="DS412" i="29"/>
  <c r="DR412" i="29"/>
  <c r="DQ412" i="29"/>
  <c r="DP412" i="29"/>
  <c r="DO412" i="29"/>
  <c r="DN412" i="29"/>
  <c r="DM412" i="29"/>
  <c r="DL412" i="29"/>
  <c r="DK412" i="29"/>
  <c r="DJ412" i="29"/>
  <c r="DI412" i="29"/>
  <c r="DH412" i="29"/>
  <c r="DG412" i="29"/>
  <c r="DF412" i="29"/>
  <c r="DE412" i="29"/>
  <c r="DD412" i="29"/>
  <c r="DC412" i="29"/>
  <c r="DB412" i="29"/>
  <c r="DA412" i="29"/>
  <c r="CZ412" i="29"/>
  <c r="CY412" i="29"/>
  <c r="CX412" i="29"/>
  <c r="CW412" i="29"/>
  <c r="CV412" i="29"/>
  <c r="CU412" i="29"/>
  <c r="CT412" i="29"/>
  <c r="CS412" i="29"/>
  <c r="CR412" i="29"/>
  <c r="CQ412" i="29"/>
  <c r="CP412" i="29"/>
  <c r="CO412" i="29"/>
  <c r="CN412" i="29"/>
  <c r="CM412" i="29"/>
  <c r="CL412" i="29"/>
  <c r="CK412" i="29"/>
  <c r="CJ412" i="29"/>
  <c r="CI412" i="29"/>
  <c r="CH412" i="29"/>
  <c r="CG412" i="29"/>
  <c r="CF412" i="29"/>
  <c r="CE412" i="29"/>
  <c r="CD412" i="29"/>
  <c r="CC412" i="29"/>
  <c r="CB412" i="29"/>
  <c r="CA412" i="29"/>
  <c r="BZ412" i="29"/>
  <c r="BY412" i="29"/>
  <c r="BX412" i="29"/>
  <c r="BW412" i="29"/>
  <c r="BV412" i="29"/>
  <c r="BU412" i="29"/>
  <c r="BT412" i="29"/>
  <c r="BS412" i="29"/>
  <c r="BR412" i="29"/>
  <c r="BQ412" i="29"/>
  <c r="BP412" i="29"/>
  <c r="BO412" i="29"/>
  <c r="BN412" i="29"/>
  <c r="BM412" i="29"/>
  <c r="BL412" i="29"/>
  <c r="BK412" i="29"/>
  <c r="BJ412" i="29"/>
  <c r="BI412" i="29"/>
  <c r="BH412" i="29"/>
  <c r="BG412" i="29"/>
  <c r="BF412" i="29"/>
  <c r="BE412" i="29"/>
  <c r="BD412" i="29"/>
  <c r="BC412" i="29"/>
  <c r="BB412" i="29"/>
  <c r="BA412" i="29"/>
  <c r="AZ412" i="29"/>
  <c r="AY412" i="29"/>
  <c r="AX412" i="29"/>
  <c r="AW412" i="29"/>
  <c r="AV412" i="29"/>
  <c r="AU412" i="29"/>
  <c r="AT412" i="29"/>
  <c r="AS412" i="29"/>
  <c r="AR412" i="29"/>
  <c r="AQ412" i="29"/>
  <c r="AP412" i="29"/>
  <c r="AO412" i="29"/>
  <c r="AN412" i="29"/>
  <c r="AM412" i="29"/>
  <c r="AL412" i="29"/>
  <c r="AK412" i="29"/>
  <c r="AJ412" i="29"/>
  <c r="AI412" i="29"/>
  <c r="AH412" i="29"/>
  <c r="AG412" i="29"/>
  <c r="AF412" i="29"/>
  <c r="AE412" i="29"/>
  <c r="AD412" i="29"/>
  <c r="AC412" i="29"/>
  <c r="AB412" i="29"/>
  <c r="AA412" i="29"/>
  <c r="Z412" i="29"/>
  <c r="Y412" i="29"/>
  <c r="X412" i="29"/>
  <c r="W412" i="29"/>
  <c r="V412" i="29"/>
  <c r="U412" i="29"/>
  <c r="T412" i="29"/>
  <c r="S412" i="29"/>
  <c r="R412" i="29"/>
  <c r="Q412" i="29"/>
  <c r="P412" i="29"/>
  <c r="O412" i="29"/>
  <c r="N412" i="29"/>
  <c r="M412" i="29"/>
  <c r="L412" i="29"/>
  <c r="K412" i="29"/>
  <c r="J412" i="29"/>
  <c r="I412" i="29"/>
  <c r="H412" i="29"/>
  <c r="G412" i="29"/>
  <c r="F412" i="29"/>
  <c r="E412" i="29"/>
  <c r="D412" i="29"/>
  <c r="C412" i="29"/>
  <c r="EA411" i="29"/>
  <c r="DZ411" i="29"/>
  <c r="DY411" i="29"/>
  <c r="DX411" i="29"/>
  <c r="DW411" i="29"/>
  <c r="DV411" i="29"/>
  <c r="DU411" i="29"/>
  <c r="DT411" i="29"/>
  <c r="DS411" i="29"/>
  <c r="DR411" i="29"/>
  <c r="DQ411" i="29"/>
  <c r="DP411" i="29"/>
  <c r="DO411" i="29"/>
  <c r="DN411" i="29"/>
  <c r="DM411" i="29"/>
  <c r="DL411" i="29"/>
  <c r="DK411" i="29"/>
  <c r="DJ411" i="29"/>
  <c r="DI411" i="29"/>
  <c r="DH411" i="29"/>
  <c r="DG411" i="29"/>
  <c r="DF411" i="29"/>
  <c r="DE411" i="29"/>
  <c r="DD411" i="29"/>
  <c r="DC411" i="29"/>
  <c r="DB411" i="29"/>
  <c r="DA411" i="29"/>
  <c r="CZ411" i="29"/>
  <c r="CY411" i="29"/>
  <c r="CX411" i="29"/>
  <c r="CW411" i="29"/>
  <c r="CV411" i="29"/>
  <c r="CU411" i="29"/>
  <c r="CT411" i="29"/>
  <c r="CS411" i="29"/>
  <c r="CR411" i="29"/>
  <c r="CQ411" i="29"/>
  <c r="CP411" i="29"/>
  <c r="CO411" i="29"/>
  <c r="CN411" i="29"/>
  <c r="CM411" i="29"/>
  <c r="CL411" i="29"/>
  <c r="CK411" i="29"/>
  <c r="CJ411" i="29"/>
  <c r="CI411" i="29"/>
  <c r="CH411" i="29"/>
  <c r="CG411" i="29"/>
  <c r="CF411" i="29"/>
  <c r="CE411" i="29"/>
  <c r="CD411" i="29"/>
  <c r="CC411" i="29"/>
  <c r="CB411" i="29"/>
  <c r="CA411" i="29"/>
  <c r="BZ411" i="29"/>
  <c r="BY411" i="29"/>
  <c r="BX411" i="29"/>
  <c r="BW411" i="29"/>
  <c r="BV411" i="29"/>
  <c r="BU411" i="29"/>
  <c r="BT411" i="29"/>
  <c r="BS411" i="29"/>
  <c r="BR411" i="29"/>
  <c r="BQ411" i="29"/>
  <c r="BP411" i="29"/>
  <c r="BO411" i="29"/>
  <c r="BN411" i="29"/>
  <c r="BM411" i="29"/>
  <c r="BL411" i="29"/>
  <c r="BK411" i="29"/>
  <c r="BJ411" i="29"/>
  <c r="BI411" i="29"/>
  <c r="BH411" i="29"/>
  <c r="BG411" i="29"/>
  <c r="BF411" i="29"/>
  <c r="BE411" i="29"/>
  <c r="BD411" i="29"/>
  <c r="BC411" i="29"/>
  <c r="BB411" i="29"/>
  <c r="BA411" i="29"/>
  <c r="AZ411" i="29"/>
  <c r="AY411" i="29"/>
  <c r="AX411" i="29"/>
  <c r="AW411" i="29"/>
  <c r="AV411" i="29"/>
  <c r="AU411" i="29"/>
  <c r="AT411" i="29"/>
  <c r="AS411" i="29"/>
  <c r="AR411" i="29"/>
  <c r="AQ411" i="29"/>
  <c r="AP411" i="29"/>
  <c r="AO411" i="29"/>
  <c r="AN411" i="29"/>
  <c r="AM411" i="29"/>
  <c r="AL411" i="29"/>
  <c r="AK411" i="29"/>
  <c r="AJ411" i="29"/>
  <c r="AI411" i="29"/>
  <c r="AH411" i="29"/>
  <c r="AG411" i="29"/>
  <c r="AF411" i="29"/>
  <c r="AE411" i="29"/>
  <c r="AD411" i="29"/>
  <c r="AC411" i="29"/>
  <c r="AB411" i="29"/>
  <c r="AA411" i="29"/>
  <c r="Z411" i="29"/>
  <c r="Y411" i="29"/>
  <c r="X411" i="29"/>
  <c r="W411" i="29"/>
  <c r="V411" i="29"/>
  <c r="U411" i="29"/>
  <c r="T411" i="29"/>
  <c r="S411" i="29"/>
  <c r="R411" i="29"/>
  <c r="Q411" i="29"/>
  <c r="P411" i="29"/>
  <c r="O411" i="29"/>
  <c r="N411" i="29"/>
  <c r="M411" i="29"/>
  <c r="L411" i="29"/>
  <c r="K411" i="29"/>
  <c r="J411" i="29"/>
  <c r="I411" i="29"/>
  <c r="H411" i="29"/>
  <c r="G411" i="29"/>
  <c r="F411" i="29"/>
  <c r="E411" i="29"/>
  <c r="D411" i="29"/>
  <c r="C411" i="29"/>
  <c r="EA410" i="29"/>
  <c r="DZ410" i="29"/>
  <c r="DY410" i="29"/>
  <c r="DX410" i="29"/>
  <c r="DW410" i="29"/>
  <c r="DV410" i="29"/>
  <c r="DU410" i="29"/>
  <c r="DT410" i="29"/>
  <c r="DS410" i="29"/>
  <c r="DR410" i="29"/>
  <c r="DQ410" i="29"/>
  <c r="DP410" i="29"/>
  <c r="DO410" i="29"/>
  <c r="DN410" i="29"/>
  <c r="DM410" i="29"/>
  <c r="DL410" i="29"/>
  <c r="DK410" i="29"/>
  <c r="DJ410" i="29"/>
  <c r="DI410" i="29"/>
  <c r="DH410" i="29"/>
  <c r="DG410" i="29"/>
  <c r="DF410" i="29"/>
  <c r="DE410" i="29"/>
  <c r="DD410" i="29"/>
  <c r="DC410" i="29"/>
  <c r="DB410" i="29"/>
  <c r="DA410" i="29"/>
  <c r="CZ410" i="29"/>
  <c r="CY410" i="29"/>
  <c r="CX410" i="29"/>
  <c r="CW410" i="29"/>
  <c r="CV410" i="29"/>
  <c r="CU410" i="29"/>
  <c r="CT410" i="29"/>
  <c r="CS410" i="29"/>
  <c r="CR410" i="29"/>
  <c r="CQ410" i="29"/>
  <c r="CP410" i="29"/>
  <c r="CO410" i="29"/>
  <c r="CN410" i="29"/>
  <c r="CM410" i="29"/>
  <c r="CL410" i="29"/>
  <c r="CK410" i="29"/>
  <c r="CJ410" i="29"/>
  <c r="CI410" i="29"/>
  <c r="CH410" i="29"/>
  <c r="CG410" i="29"/>
  <c r="CF410" i="29"/>
  <c r="CE410" i="29"/>
  <c r="CD410" i="29"/>
  <c r="CC410" i="29"/>
  <c r="CB410" i="29"/>
  <c r="CA410" i="29"/>
  <c r="BZ410" i="29"/>
  <c r="BY410" i="29"/>
  <c r="BX410" i="29"/>
  <c r="BW410" i="29"/>
  <c r="BV410" i="29"/>
  <c r="BU410" i="29"/>
  <c r="BT410" i="29"/>
  <c r="BS410" i="29"/>
  <c r="BR410" i="29"/>
  <c r="BQ410" i="29"/>
  <c r="BP410" i="29"/>
  <c r="BO410" i="29"/>
  <c r="BN410" i="29"/>
  <c r="BM410" i="29"/>
  <c r="BL410" i="29"/>
  <c r="BK410" i="29"/>
  <c r="BJ410" i="29"/>
  <c r="BI410" i="29"/>
  <c r="BH410" i="29"/>
  <c r="BG410" i="29"/>
  <c r="BF410" i="29"/>
  <c r="BE410" i="29"/>
  <c r="BD410" i="29"/>
  <c r="BC410" i="29"/>
  <c r="BB410" i="29"/>
  <c r="BA410" i="29"/>
  <c r="AZ410" i="29"/>
  <c r="AY410" i="29"/>
  <c r="AX410" i="29"/>
  <c r="AW410" i="29"/>
  <c r="AV410" i="29"/>
  <c r="AU410" i="29"/>
  <c r="AT410" i="29"/>
  <c r="AS410" i="29"/>
  <c r="AR410" i="29"/>
  <c r="AQ410" i="29"/>
  <c r="AP410" i="29"/>
  <c r="AO410" i="29"/>
  <c r="AN410" i="29"/>
  <c r="AM410" i="29"/>
  <c r="AL410" i="29"/>
  <c r="AK410" i="29"/>
  <c r="AJ410" i="29"/>
  <c r="AI410" i="29"/>
  <c r="AH410" i="29"/>
  <c r="AG410" i="29"/>
  <c r="AF410" i="29"/>
  <c r="AE410" i="29"/>
  <c r="AD410" i="29"/>
  <c r="AC410" i="29"/>
  <c r="AB410" i="29"/>
  <c r="AA410" i="29"/>
  <c r="Z410" i="29"/>
  <c r="Y410" i="29"/>
  <c r="X410" i="29"/>
  <c r="W410" i="29"/>
  <c r="V410" i="29"/>
  <c r="U410" i="29"/>
  <c r="T410" i="29"/>
  <c r="S410" i="29"/>
  <c r="R410" i="29"/>
  <c r="Q410" i="29"/>
  <c r="P410" i="29"/>
  <c r="O410" i="29"/>
  <c r="N410" i="29"/>
  <c r="M410" i="29"/>
  <c r="L410" i="29"/>
  <c r="K410" i="29"/>
  <c r="J410" i="29"/>
  <c r="I410" i="29"/>
  <c r="H410" i="29"/>
  <c r="G410" i="29"/>
  <c r="F410" i="29"/>
  <c r="E410" i="29"/>
  <c r="D410" i="29"/>
  <c r="C410" i="29"/>
  <c r="EA409" i="29"/>
  <c r="DZ409" i="29"/>
  <c r="DY409" i="29"/>
  <c r="DX409" i="29"/>
  <c r="DW409" i="29"/>
  <c r="DV409" i="29"/>
  <c r="DU409" i="29"/>
  <c r="DT409" i="29"/>
  <c r="DS409" i="29"/>
  <c r="DR409" i="29"/>
  <c r="DQ409" i="29"/>
  <c r="DP409" i="29"/>
  <c r="DO409" i="29"/>
  <c r="DN409" i="29"/>
  <c r="DM409" i="29"/>
  <c r="DL409" i="29"/>
  <c r="DK409" i="29"/>
  <c r="DJ409" i="29"/>
  <c r="DI409" i="29"/>
  <c r="DH409" i="29"/>
  <c r="DG409" i="29"/>
  <c r="DF409" i="29"/>
  <c r="DE409" i="29"/>
  <c r="DD409" i="29"/>
  <c r="DC409" i="29"/>
  <c r="DB409" i="29"/>
  <c r="DA409" i="29"/>
  <c r="CZ409" i="29"/>
  <c r="CY409" i="29"/>
  <c r="CX409" i="29"/>
  <c r="CW409" i="29"/>
  <c r="CV409" i="29"/>
  <c r="CU409" i="29"/>
  <c r="CT409" i="29"/>
  <c r="CS409" i="29"/>
  <c r="CR409" i="29"/>
  <c r="CQ409" i="29"/>
  <c r="CP409" i="29"/>
  <c r="CO409" i="29"/>
  <c r="CN409" i="29"/>
  <c r="CM409" i="29"/>
  <c r="CL409" i="29"/>
  <c r="CK409" i="29"/>
  <c r="CJ409" i="29"/>
  <c r="CI409" i="29"/>
  <c r="CH409" i="29"/>
  <c r="CG409" i="29"/>
  <c r="CF409" i="29"/>
  <c r="CE409" i="29"/>
  <c r="CD409" i="29"/>
  <c r="CC409" i="29"/>
  <c r="CB409" i="29"/>
  <c r="CA409" i="29"/>
  <c r="BZ409" i="29"/>
  <c r="BY409" i="29"/>
  <c r="BX409" i="29"/>
  <c r="BW409" i="29"/>
  <c r="BV409" i="29"/>
  <c r="BU409" i="29"/>
  <c r="BT409" i="29"/>
  <c r="BS409" i="29"/>
  <c r="BR409" i="29"/>
  <c r="BQ409" i="29"/>
  <c r="BP409" i="29"/>
  <c r="BO409" i="29"/>
  <c r="BN409" i="29"/>
  <c r="BM409" i="29"/>
  <c r="BL409" i="29"/>
  <c r="BK409" i="29"/>
  <c r="BJ409" i="29"/>
  <c r="BI409" i="29"/>
  <c r="BH409" i="29"/>
  <c r="BG409" i="29"/>
  <c r="BF409" i="29"/>
  <c r="BE409" i="29"/>
  <c r="BD409" i="29"/>
  <c r="BC409" i="29"/>
  <c r="BB409" i="29"/>
  <c r="BA409" i="29"/>
  <c r="AZ409" i="29"/>
  <c r="AY409" i="29"/>
  <c r="AX409" i="29"/>
  <c r="AW409" i="29"/>
  <c r="AV409" i="29"/>
  <c r="AU409" i="29"/>
  <c r="AT409" i="29"/>
  <c r="AS409" i="29"/>
  <c r="AR409" i="29"/>
  <c r="AQ409" i="29"/>
  <c r="AP409" i="29"/>
  <c r="AO409" i="29"/>
  <c r="AN409" i="29"/>
  <c r="AM409" i="29"/>
  <c r="AL409" i="29"/>
  <c r="AK409" i="29"/>
  <c r="AJ409" i="29"/>
  <c r="AI409" i="29"/>
  <c r="AH409" i="29"/>
  <c r="AG409" i="29"/>
  <c r="AF409" i="29"/>
  <c r="AE409" i="29"/>
  <c r="AD409" i="29"/>
  <c r="AC409" i="29"/>
  <c r="AB409" i="29"/>
  <c r="AA409" i="29"/>
  <c r="Z409" i="29"/>
  <c r="Y409" i="29"/>
  <c r="X409" i="29"/>
  <c r="W409" i="29"/>
  <c r="V409" i="29"/>
  <c r="U409" i="29"/>
  <c r="T409" i="29"/>
  <c r="S409" i="29"/>
  <c r="R409" i="29"/>
  <c r="Q409" i="29"/>
  <c r="P409" i="29"/>
  <c r="O409" i="29"/>
  <c r="N409" i="29"/>
  <c r="M409" i="29"/>
  <c r="L409" i="29"/>
  <c r="K409" i="29"/>
  <c r="J409" i="29"/>
  <c r="I409" i="29"/>
  <c r="H409" i="29"/>
  <c r="G409" i="29"/>
  <c r="F409" i="29"/>
  <c r="E409" i="29"/>
  <c r="D409" i="29"/>
  <c r="C409" i="29"/>
  <c r="EA408" i="29"/>
  <c r="DZ408" i="29"/>
  <c r="DY408" i="29"/>
  <c r="DX408" i="29"/>
  <c r="DW408" i="29"/>
  <c r="DV408" i="29"/>
  <c r="DU408" i="29"/>
  <c r="DT408" i="29"/>
  <c r="DS408" i="29"/>
  <c r="DR408" i="29"/>
  <c r="DQ408" i="29"/>
  <c r="DP408" i="29"/>
  <c r="DO408" i="29"/>
  <c r="DN408" i="29"/>
  <c r="DM408" i="29"/>
  <c r="DL408" i="29"/>
  <c r="DK408" i="29"/>
  <c r="DJ408" i="29"/>
  <c r="DI408" i="29"/>
  <c r="DH408" i="29"/>
  <c r="DG408" i="29"/>
  <c r="DF408" i="29"/>
  <c r="DE408" i="29"/>
  <c r="DD408" i="29"/>
  <c r="DC408" i="29"/>
  <c r="DB408" i="29"/>
  <c r="DA408" i="29"/>
  <c r="CZ408" i="29"/>
  <c r="CY408" i="29"/>
  <c r="CX408" i="29"/>
  <c r="CW408" i="29"/>
  <c r="CV408" i="29"/>
  <c r="CU408" i="29"/>
  <c r="CT408" i="29"/>
  <c r="CS408" i="29"/>
  <c r="CR408" i="29"/>
  <c r="CQ408" i="29"/>
  <c r="CP408" i="29"/>
  <c r="CO408" i="29"/>
  <c r="CN408" i="29"/>
  <c r="CM408" i="29"/>
  <c r="CL408" i="29"/>
  <c r="CK408" i="29"/>
  <c r="CJ408" i="29"/>
  <c r="CI408" i="29"/>
  <c r="CH408" i="29"/>
  <c r="CG408" i="29"/>
  <c r="CF408" i="29"/>
  <c r="CE408" i="29"/>
  <c r="CD408" i="29"/>
  <c r="CC408" i="29"/>
  <c r="CB408" i="29"/>
  <c r="CA408" i="29"/>
  <c r="BZ408" i="29"/>
  <c r="BY408" i="29"/>
  <c r="BX408" i="29"/>
  <c r="BW408" i="29"/>
  <c r="BV408" i="29"/>
  <c r="BU408" i="29"/>
  <c r="BT408" i="29"/>
  <c r="BS408" i="29"/>
  <c r="BR408" i="29"/>
  <c r="BQ408" i="29"/>
  <c r="BP408" i="29"/>
  <c r="BO408" i="29"/>
  <c r="BN408" i="29"/>
  <c r="BM408" i="29"/>
  <c r="BL408" i="29"/>
  <c r="BK408" i="29"/>
  <c r="BJ408" i="29"/>
  <c r="BI408" i="29"/>
  <c r="BH408" i="29"/>
  <c r="BG408" i="29"/>
  <c r="BF408" i="29"/>
  <c r="BE408" i="29"/>
  <c r="BD408" i="29"/>
  <c r="BC408" i="29"/>
  <c r="BB408" i="29"/>
  <c r="BA408" i="29"/>
  <c r="AZ408" i="29"/>
  <c r="AY408" i="29"/>
  <c r="AX408" i="29"/>
  <c r="AW408" i="29"/>
  <c r="AV408" i="29"/>
  <c r="AU408" i="29"/>
  <c r="AT408" i="29"/>
  <c r="AS408" i="29"/>
  <c r="AR408" i="29"/>
  <c r="AQ408" i="29"/>
  <c r="AP408" i="29"/>
  <c r="AO408" i="29"/>
  <c r="AN408" i="29"/>
  <c r="AM408" i="29"/>
  <c r="AL408" i="29"/>
  <c r="AK408" i="29"/>
  <c r="AJ408" i="29"/>
  <c r="AI408" i="29"/>
  <c r="AH408" i="29"/>
  <c r="AG408" i="29"/>
  <c r="AF408" i="29"/>
  <c r="AE408" i="29"/>
  <c r="AD408" i="29"/>
  <c r="AC408" i="29"/>
  <c r="AB408" i="29"/>
  <c r="AA408" i="29"/>
  <c r="Z408" i="29"/>
  <c r="Y408" i="29"/>
  <c r="X408" i="29"/>
  <c r="W408" i="29"/>
  <c r="V408" i="29"/>
  <c r="U408" i="29"/>
  <c r="T408" i="29"/>
  <c r="S408" i="29"/>
  <c r="R408" i="29"/>
  <c r="Q408" i="29"/>
  <c r="P408" i="29"/>
  <c r="O408" i="29"/>
  <c r="N408" i="29"/>
  <c r="M408" i="29"/>
  <c r="L408" i="29"/>
  <c r="K408" i="29"/>
  <c r="J408" i="29"/>
  <c r="I408" i="29"/>
  <c r="H408" i="29"/>
  <c r="G408" i="29"/>
  <c r="F408" i="29"/>
  <c r="E408" i="29"/>
  <c r="D408" i="29"/>
  <c r="C408" i="29"/>
  <c r="EA407" i="29"/>
  <c r="DZ407" i="29"/>
  <c r="DY407" i="29"/>
  <c r="DX407" i="29"/>
  <c r="DW407" i="29"/>
  <c r="DV407" i="29"/>
  <c r="DU407" i="29"/>
  <c r="DT407" i="29"/>
  <c r="DS407" i="29"/>
  <c r="DR407" i="29"/>
  <c r="DQ407" i="29"/>
  <c r="DP407" i="29"/>
  <c r="DO407" i="29"/>
  <c r="DN407" i="29"/>
  <c r="DM407" i="29"/>
  <c r="DL407" i="29"/>
  <c r="DK407" i="29"/>
  <c r="DJ407" i="29"/>
  <c r="DI407" i="29"/>
  <c r="DH407" i="29"/>
  <c r="DG407" i="29"/>
  <c r="DF407" i="29"/>
  <c r="DE407" i="29"/>
  <c r="DD407" i="29"/>
  <c r="DC407" i="29"/>
  <c r="DB407" i="29"/>
  <c r="DA407" i="29"/>
  <c r="CZ407" i="29"/>
  <c r="CY407" i="29"/>
  <c r="CX407" i="29"/>
  <c r="CW407" i="29"/>
  <c r="CV407" i="29"/>
  <c r="CU407" i="29"/>
  <c r="CT407" i="29"/>
  <c r="CS407" i="29"/>
  <c r="CR407" i="29"/>
  <c r="CQ407" i="29"/>
  <c r="CP407" i="29"/>
  <c r="CO407" i="29"/>
  <c r="CN407" i="29"/>
  <c r="CM407" i="29"/>
  <c r="CL407" i="29"/>
  <c r="CK407" i="29"/>
  <c r="CJ407" i="29"/>
  <c r="CI407" i="29"/>
  <c r="CH407" i="29"/>
  <c r="CG407" i="29"/>
  <c r="CF407" i="29"/>
  <c r="CE407" i="29"/>
  <c r="CD407" i="29"/>
  <c r="CC407" i="29"/>
  <c r="CB407" i="29"/>
  <c r="CA407" i="29"/>
  <c r="BZ407" i="29"/>
  <c r="BY407" i="29"/>
  <c r="BX407" i="29"/>
  <c r="BW407" i="29"/>
  <c r="BV407" i="29"/>
  <c r="BU407" i="29"/>
  <c r="BT407" i="29"/>
  <c r="BS407" i="29"/>
  <c r="BR407" i="29"/>
  <c r="BQ407" i="29"/>
  <c r="BP407" i="29"/>
  <c r="BO407" i="29"/>
  <c r="BN407" i="29"/>
  <c r="BM407" i="29"/>
  <c r="BL407" i="29"/>
  <c r="BK407" i="29"/>
  <c r="BJ407" i="29"/>
  <c r="BI407" i="29"/>
  <c r="BH407" i="29"/>
  <c r="BG407" i="29"/>
  <c r="BF407" i="29"/>
  <c r="BE407" i="29"/>
  <c r="BD407" i="29"/>
  <c r="BC407" i="29"/>
  <c r="BB407" i="29"/>
  <c r="BA407" i="29"/>
  <c r="AZ407" i="29"/>
  <c r="AY407" i="29"/>
  <c r="AX407" i="29"/>
  <c r="AW407" i="29"/>
  <c r="AV407" i="29"/>
  <c r="AU407" i="29"/>
  <c r="AT407" i="29"/>
  <c r="AS407" i="29"/>
  <c r="AR407" i="29"/>
  <c r="AQ407" i="29"/>
  <c r="AP407" i="29"/>
  <c r="AO407" i="29"/>
  <c r="AN407" i="29"/>
  <c r="AM407" i="29"/>
  <c r="AL407" i="29"/>
  <c r="AK407" i="29"/>
  <c r="AJ407" i="29"/>
  <c r="AI407" i="29"/>
  <c r="AH407" i="29"/>
  <c r="AG407" i="29"/>
  <c r="AF407" i="29"/>
  <c r="AE407" i="29"/>
  <c r="AD407" i="29"/>
  <c r="AC407" i="29"/>
  <c r="AB407" i="29"/>
  <c r="AA407" i="29"/>
  <c r="Z407" i="29"/>
  <c r="Y407" i="29"/>
  <c r="X407" i="29"/>
  <c r="W407" i="29"/>
  <c r="V407" i="29"/>
  <c r="U407" i="29"/>
  <c r="T407" i="29"/>
  <c r="S407" i="29"/>
  <c r="R407" i="29"/>
  <c r="Q407" i="29"/>
  <c r="P407" i="29"/>
  <c r="O407" i="29"/>
  <c r="N407" i="29"/>
  <c r="M407" i="29"/>
  <c r="L407" i="29"/>
  <c r="K407" i="29"/>
  <c r="J407" i="29"/>
  <c r="I407" i="29"/>
  <c r="H407" i="29"/>
  <c r="G407" i="29"/>
  <c r="F407" i="29"/>
  <c r="E407" i="29"/>
  <c r="D407" i="29"/>
  <c r="C407" i="29"/>
  <c r="EA406" i="29"/>
  <c r="DZ406" i="29"/>
  <c r="DY406" i="29"/>
  <c r="DX406" i="29"/>
  <c r="DW406" i="29"/>
  <c r="DV406" i="29"/>
  <c r="DU406" i="29"/>
  <c r="DT406" i="29"/>
  <c r="DS406" i="29"/>
  <c r="DR406" i="29"/>
  <c r="DQ406" i="29"/>
  <c r="DP406" i="29"/>
  <c r="DO406" i="29"/>
  <c r="DN406" i="29"/>
  <c r="DM406" i="29"/>
  <c r="DL406" i="29"/>
  <c r="DK406" i="29"/>
  <c r="DJ406" i="29"/>
  <c r="DI406" i="29"/>
  <c r="DH406" i="29"/>
  <c r="DG406" i="29"/>
  <c r="DF406" i="29"/>
  <c r="DE406" i="29"/>
  <c r="DD406" i="29"/>
  <c r="DC406" i="29"/>
  <c r="DB406" i="29"/>
  <c r="DA406" i="29"/>
  <c r="CZ406" i="29"/>
  <c r="CY406" i="29"/>
  <c r="CX406" i="29"/>
  <c r="CW406" i="29"/>
  <c r="CV406" i="29"/>
  <c r="CU406" i="29"/>
  <c r="CT406" i="29"/>
  <c r="CS406" i="29"/>
  <c r="CR406" i="29"/>
  <c r="CQ406" i="29"/>
  <c r="CP406" i="29"/>
  <c r="CO406" i="29"/>
  <c r="CN406" i="29"/>
  <c r="CM406" i="29"/>
  <c r="CL406" i="29"/>
  <c r="CK406" i="29"/>
  <c r="CJ406" i="29"/>
  <c r="CI406" i="29"/>
  <c r="CH406" i="29"/>
  <c r="CG406" i="29"/>
  <c r="CF406" i="29"/>
  <c r="CE406" i="29"/>
  <c r="CD406" i="29"/>
  <c r="CC406" i="29"/>
  <c r="CB406" i="29"/>
  <c r="CA406" i="29"/>
  <c r="BZ406" i="29"/>
  <c r="BY406" i="29"/>
  <c r="BX406" i="29"/>
  <c r="BW406" i="29"/>
  <c r="BV406" i="29"/>
  <c r="BU406" i="29"/>
  <c r="BT406" i="29"/>
  <c r="BS406" i="29"/>
  <c r="BR406" i="29"/>
  <c r="BQ406" i="29"/>
  <c r="BP406" i="29"/>
  <c r="BO406" i="29"/>
  <c r="BN406" i="29"/>
  <c r="BM406" i="29"/>
  <c r="BL406" i="29"/>
  <c r="BK406" i="29"/>
  <c r="BJ406" i="29"/>
  <c r="BI406" i="29"/>
  <c r="BH406" i="29"/>
  <c r="BG406" i="29"/>
  <c r="BF406" i="29"/>
  <c r="BE406" i="29"/>
  <c r="BD406" i="29"/>
  <c r="BC406" i="29"/>
  <c r="BB406" i="29"/>
  <c r="BA406" i="29"/>
  <c r="AZ406" i="29"/>
  <c r="AY406" i="29"/>
  <c r="AX406" i="29"/>
  <c r="AW406" i="29"/>
  <c r="AV406" i="29"/>
  <c r="AU406" i="29"/>
  <c r="AT406" i="29"/>
  <c r="AS406" i="29"/>
  <c r="AR406" i="29"/>
  <c r="AQ406" i="29"/>
  <c r="AP406" i="29"/>
  <c r="AO406" i="29"/>
  <c r="AN406" i="29"/>
  <c r="AM406" i="29"/>
  <c r="AL406" i="29"/>
  <c r="AK406" i="29"/>
  <c r="AJ406" i="29"/>
  <c r="AI406" i="29"/>
  <c r="AH406" i="29"/>
  <c r="AG406" i="29"/>
  <c r="AF406" i="29"/>
  <c r="AE406" i="29"/>
  <c r="AD406" i="29"/>
  <c r="AC406" i="29"/>
  <c r="AB406" i="29"/>
  <c r="AA406" i="29"/>
  <c r="Z406" i="29"/>
  <c r="Y406" i="29"/>
  <c r="X406" i="29"/>
  <c r="W406" i="29"/>
  <c r="V406" i="29"/>
  <c r="U406" i="29"/>
  <c r="T406" i="29"/>
  <c r="S406" i="29"/>
  <c r="R406" i="29"/>
  <c r="Q406" i="29"/>
  <c r="P406" i="29"/>
  <c r="O406" i="29"/>
  <c r="N406" i="29"/>
  <c r="M406" i="29"/>
  <c r="L406" i="29"/>
  <c r="K406" i="29"/>
  <c r="J406" i="29"/>
  <c r="I406" i="29"/>
  <c r="H406" i="29"/>
  <c r="G406" i="29"/>
  <c r="F406" i="29"/>
  <c r="E406" i="29"/>
  <c r="D406" i="29"/>
  <c r="C406" i="29"/>
  <c r="EA405" i="29"/>
  <c r="DZ405" i="29"/>
  <c r="DY405" i="29"/>
  <c r="DX405" i="29"/>
  <c r="DW405" i="29"/>
  <c r="DV405" i="29"/>
  <c r="DU405" i="29"/>
  <c r="DT405" i="29"/>
  <c r="DS405" i="29"/>
  <c r="DR405" i="29"/>
  <c r="DQ405" i="29"/>
  <c r="DP405" i="29"/>
  <c r="DO405" i="29"/>
  <c r="DN405" i="29"/>
  <c r="DM405" i="29"/>
  <c r="DL405" i="29"/>
  <c r="DK405" i="29"/>
  <c r="DJ405" i="29"/>
  <c r="DI405" i="29"/>
  <c r="DH405" i="29"/>
  <c r="DG405" i="29"/>
  <c r="DF405" i="29"/>
  <c r="DE405" i="29"/>
  <c r="DD405" i="29"/>
  <c r="DC405" i="29"/>
  <c r="DB405" i="29"/>
  <c r="DA405" i="29"/>
  <c r="CZ405" i="29"/>
  <c r="CY405" i="29"/>
  <c r="CX405" i="29"/>
  <c r="CW405" i="29"/>
  <c r="CV405" i="29"/>
  <c r="CU405" i="29"/>
  <c r="CT405" i="29"/>
  <c r="CS405" i="29"/>
  <c r="CR405" i="29"/>
  <c r="CQ405" i="29"/>
  <c r="CP405" i="29"/>
  <c r="CO405" i="29"/>
  <c r="CN405" i="29"/>
  <c r="CM405" i="29"/>
  <c r="CL405" i="29"/>
  <c r="CK405" i="29"/>
  <c r="CJ405" i="29"/>
  <c r="CI405" i="29"/>
  <c r="CH405" i="29"/>
  <c r="CG405" i="29"/>
  <c r="CF405" i="29"/>
  <c r="CE405" i="29"/>
  <c r="CD405" i="29"/>
  <c r="CC405" i="29"/>
  <c r="CB405" i="29"/>
  <c r="CA405" i="29"/>
  <c r="BZ405" i="29"/>
  <c r="BY405" i="29"/>
  <c r="BX405" i="29"/>
  <c r="BW405" i="29"/>
  <c r="BV405" i="29"/>
  <c r="BU405" i="29"/>
  <c r="BT405" i="29"/>
  <c r="BS405" i="29"/>
  <c r="BR405" i="29"/>
  <c r="BQ405" i="29"/>
  <c r="BP405" i="29"/>
  <c r="BO405" i="29"/>
  <c r="BN405" i="29"/>
  <c r="BM405" i="29"/>
  <c r="BL405" i="29"/>
  <c r="BK405" i="29"/>
  <c r="BJ405" i="29"/>
  <c r="BI405" i="29"/>
  <c r="BH405" i="29"/>
  <c r="BG405" i="29"/>
  <c r="BF405" i="29"/>
  <c r="BE405" i="29"/>
  <c r="BD405" i="29"/>
  <c r="BC405" i="29"/>
  <c r="BB405" i="29"/>
  <c r="BA405" i="29"/>
  <c r="AZ405" i="29"/>
  <c r="AY405" i="29"/>
  <c r="AX405" i="29"/>
  <c r="AW405" i="29"/>
  <c r="AV405" i="29"/>
  <c r="AU405" i="29"/>
  <c r="AT405" i="29"/>
  <c r="AS405" i="29"/>
  <c r="AR405" i="29"/>
  <c r="AQ405" i="29"/>
  <c r="AP405" i="29"/>
  <c r="AO405" i="29"/>
  <c r="AN405" i="29"/>
  <c r="AM405" i="29"/>
  <c r="AL405" i="29"/>
  <c r="AK405" i="29"/>
  <c r="AJ405" i="29"/>
  <c r="AI405" i="29"/>
  <c r="AH405" i="29"/>
  <c r="AG405" i="29"/>
  <c r="AF405" i="29"/>
  <c r="AE405" i="29"/>
  <c r="AD405" i="29"/>
  <c r="AC405" i="29"/>
  <c r="AB405" i="29"/>
  <c r="AA405" i="29"/>
  <c r="Z405" i="29"/>
  <c r="Y405" i="29"/>
  <c r="X405" i="29"/>
  <c r="W405" i="29"/>
  <c r="V405" i="29"/>
  <c r="U405" i="29"/>
  <c r="T405" i="29"/>
  <c r="S405" i="29"/>
  <c r="R405" i="29"/>
  <c r="Q405" i="29"/>
  <c r="P405" i="29"/>
  <c r="O405" i="29"/>
  <c r="N405" i="29"/>
  <c r="M405" i="29"/>
  <c r="L405" i="29"/>
  <c r="K405" i="29"/>
  <c r="J405" i="29"/>
  <c r="I405" i="29"/>
  <c r="H405" i="29"/>
  <c r="G405" i="29"/>
  <c r="F405" i="29"/>
  <c r="E405" i="29"/>
  <c r="D405" i="29"/>
  <c r="C405" i="29"/>
  <c r="EA404" i="29"/>
  <c r="DZ404" i="29"/>
  <c r="DY404" i="29"/>
  <c r="DX404" i="29"/>
  <c r="DW404" i="29"/>
  <c r="DV404" i="29"/>
  <c r="DU404" i="29"/>
  <c r="DT404" i="29"/>
  <c r="DS404" i="29"/>
  <c r="DR404" i="29"/>
  <c r="DQ404" i="29"/>
  <c r="DP404" i="29"/>
  <c r="DO404" i="29"/>
  <c r="DN404" i="29"/>
  <c r="DM404" i="29"/>
  <c r="DL404" i="29"/>
  <c r="DK404" i="29"/>
  <c r="DJ404" i="29"/>
  <c r="DI404" i="29"/>
  <c r="DH404" i="29"/>
  <c r="DG404" i="29"/>
  <c r="DF404" i="29"/>
  <c r="DE404" i="29"/>
  <c r="DD404" i="29"/>
  <c r="DC404" i="29"/>
  <c r="DB404" i="29"/>
  <c r="DA404" i="29"/>
  <c r="CZ404" i="29"/>
  <c r="CY404" i="29"/>
  <c r="CX404" i="29"/>
  <c r="CW404" i="29"/>
  <c r="CV404" i="29"/>
  <c r="CU404" i="29"/>
  <c r="CT404" i="29"/>
  <c r="CS404" i="29"/>
  <c r="CR404" i="29"/>
  <c r="CQ404" i="29"/>
  <c r="CP404" i="29"/>
  <c r="CO404" i="29"/>
  <c r="CN404" i="29"/>
  <c r="CM404" i="29"/>
  <c r="CL404" i="29"/>
  <c r="CK404" i="29"/>
  <c r="CJ404" i="29"/>
  <c r="CI404" i="29"/>
  <c r="CH404" i="29"/>
  <c r="CG404" i="29"/>
  <c r="CF404" i="29"/>
  <c r="CE404" i="29"/>
  <c r="CD404" i="29"/>
  <c r="CC404" i="29"/>
  <c r="CB404" i="29"/>
  <c r="CA404" i="29"/>
  <c r="BZ404" i="29"/>
  <c r="BY404" i="29"/>
  <c r="BX404" i="29"/>
  <c r="BW404" i="29"/>
  <c r="BV404" i="29"/>
  <c r="BU404" i="29"/>
  <c r="BT404" i="29"/>
  <c r="BS404" i="29"/>
  <c r="BR404" i="29"/>
  <c r="BQ404" i="29"/>
  <c r="BP404" i="29"/>
  <c r="BO404" i="29"/>
  <c r="BN404" i="29"/>
  <c r="BM404" i="29"/>
  <c r="BL404" i="29"/>
  <c r="BK404" i="29"/>
  <c r="BJ404" i="29"/>
  <c r="BI404" i="29"/>
  <c r="BH404" i="29"/>
  <c r="BG404" i="29"/>
  <c r="BF404" i="29"/>
  <c r="BE404" i="29"/>
  <c r="BD404" i="29"/>
  <c r="BC404" i="29"/>
  <c r="BB404" i="29"/>
  <c r="BA404" i="29"/>
  <c r="AZ404" i="29"/>
  <c r="AY404" i="29"/>
  <c r="AX404" i="29"/>
  <c r="AW404" i="29"/>
  <c r="AV404" i="29"/>
  <c r="AU404" i="29"/>
  <c r="AT404" i="29"/>
  <c r="AS404" i="29"/>
  <c r="AR404" i="29"/>
  <c r="AQ404" i="29"/>
  <c r="AP404" i="29"/>
  <c r="AO404" i="29"/>
  <c r="AN404" i="29"/>
  <c r="AM404" i="29"/>
  <c r="AL404" i="29"/>
  <c r="AK404" i="29"/>
  <c r="AJ404" i="29"/>
  <c r="AI404" i="29"/>
  <c r="AH404" i="29"/>
  <c r="AG404" i="29"/>
  <c r="AF404" i="29"/>
  <c r="AE404" i="29"/>
  <c r="AD404" i="29"/>
  <c r="AC404" i="29"/>
  <c r="AB404" i="29"/>
  <c r="AA404" i="29"/>
  <c r="Z404" i="29"/>
  <c r="Y404" i="29"/>
  <c r="X404" i="29"/>
  <c r="W404" i="29"/>
  <c r="V404" i="29"/>
  <c r="U404" i="29"/>
  <c r="T404" i="29"/>
  <c r="S404" i="29"/>
  <c r="R404" i="29"/>
  <c r="Q404" i="29"/>
  <c r="P404" i="29"/>
  <c r="O404" i="29"/>
  <c r="N404" i="29"/>
  <c r="M404" i="29"/>
  <c r="L404" i="29"/>
  <c r="K404" i="29"/>
  <c r="J404" i="29"/>
  <c r="I404" i="29"/>
  <c r="H404" i="29"/>
  <c r="G404" i="29"/>
  <c r="F404" i="29"/>
  <c r="E404" i="29"/>
  <c r="D404" i="29"/>
  <c r="C404" i="29"/>
  <c r="EA403" i="29"/>
  <c r="DZ403" i="29"/>
  <c r="DY403" i="29"/>
  <c r="DX403" i="29"/>
  <c r="DW403" i="29"/>
  <c r="DV403" i="29"/>
  <c r="DU403" i="29"/>
  <c r="DT403" i="29"/>
  <c r="DS403" i="29"/>
  <c r="DR403" i="29"/>
  <c r="DQ403" i="29"/>
  <c r="DP403" i="29"/>
  <c r="DO403" i="29"/>
  <c r="DN403" i="29"/>
  <c r="DM403" i="29"/>
  <c r="DL403" i="29"/>
  <c r="DK403" i="29"/>
  <c r="DJ403" i="29"/>
  <c r="DI403" i="29"/>
  <c r="DH403" i="29"/>
  <c r="DG403" i="29"/>
  <c r="DF403" i="29"/>
  <c r="DE403" i="29"/>
  <c r="DD403" i="29"/>
  <c r="DC403" i="29"/>
  <c r="DB403" i="29"/>
  <c r="DA403" i="29"/>
  <c r="CZ403" i="29"/>
  <c r="CY403" i="29"/>
  <c r="CX403" i="29"/>
  <c r="CW403" i="29"/>
  <c r="CV403" i="29"/>
  <c r="CU403" i="29"/>
  <c r="CT403" i="29"/>
  <c r="CS403" i="29"/>
  <c r="CR403" i="29"/>
  <c r="CQ403" i="29"/>
  <c r="CP403" i="29"/>
  <c r="CO403" i="29"/>
  <c r="CN403" i="29"/>
  <c r="CM403" i="29"/>
  <c r="CL403" i="29"/>
  <c r="CK403" i="29"/>
  <c r="CJ403" i="29"/>
  <c r="CI403" i="29"/>
  <c r="CH403" i="29"/>
  <c r="CG403" i="29"/>
  <c r="CF403" i="29"/>
  <c r="CE403" i="29"/>
  <c r="CD403" i="29"/>
  <c r="CC403" i="29"/>
  <c r="CB403" i="29"/>
  <c r="CA403" i="29"/>
  <c r="BZ403" i="29"/>
  <c r="BY403" i="29"/>
  <c r="BX403" i="29"/>
  <c r="BW403" i="29"/>
  <c r="BV403" i="29"/>
  <c r="BU403" i="29"/>
  <c r="BT403" i="29"/>
  <c r="BS403" i="29"/>
  <c r="BR403" i="29"/>
  <c r="BQ403" i="29"/>
  <c r="BP403" i="29"/>
  <c r="BO403" i="29"/>
  <c r="BN403" i="29"/>
  <c r="BM403" i="29"/>
  <c r="BL403" i="29"/>
  <c r="BK403" i="29"/>
  <c r="BJ403" i="29"/>
  <c r="BI403" i="29"/>
  <c r="BH403" i="29"/>
  <c r="BG403" i="29"/>
  <c r="BF403" i="29"/>
  <c r="BE403" i="29"/>
  <c r="BD403" i="29"/>
  <c r="BC403" i="29"/>
  <c r="BB403" i="29"/>
  <c r="BA403" i="29"/>
  <c r="AZ403" i="29"/>
  <c r="AY403" i="29"/>
  <c r="AX403" i="29"/>
  <c r="AW403" i="29"/>
  <c r="AV403" i="29"/>
  <c r="AU403" i="29"/>
  <c r="AT403" i="29"/>
  <c r="AS403" i="29"/>
  <c r="AR403" i="29"/>
  <c r="AQ403" i="29"/>
  <c r="AP403" i="29"/>
  <c r="AO403" i="29"/>
  <c r="AN403" i="29"/>
  <c r="AM403" i="29"/>
  <c r="AL403" i="29"/>
  <c r="AK403" i="29"/>
  <c r="AJ403" i="29"/>
  <c r="AI403" i="29"/>
  <c r="AH403" i="29"/>
  <c r="AG403" i="29"/>
  <c r="AF403" i="29"/>
  <c r="AE403" i="29"/>
  <c r="AD403" i="29"/>
  <c r="AC403" i="29"/>
  <c r="AB403" i="29"/>
  <c r="AA403" i="29"/>
  <c r="Z403" i="29"/>
  <c r="Y403" i="29"/>
  <c r="X403" i="29"/>
  <c r="W403" i="29"/>
  <c r="V403" i="29"/>
  <c r="U403" i="29"/>
  <c r="T403" i="29"/>
  <c r="S403" i="29"/>
  <c r="R403" i="29"/>
  <c r="Q403" i="29"/>
  <c r="P403" i="29"/>
  <c r="O403" i="29"/>
  <c r="N403" i="29"/>
  <c r="M403" i="29"/>
  <c r="L403" i="29"/>
  <c r="K403" i="29"/>
  <c r="J403" i="29"/>
  <c r="I403" i="29"/>
  <c r="H403" i="29"/>
  <c r="G403" i="29"/>
  <c r="F403" i="29"/>
  <c r="E403" i="29"/>
  <c r="D403" i="29"/>
  <c r="C403" i="29"/>
  <c r="EA402" i="29"/>
  <c r="DZ402" i="29"/>
  <c r="DY402" i="29"/>
  <c r="DX402" i="29"/>
  <c r="DW402" i="29"/>
  <c r="DV402" i="29"/>
  <c r="DU402" i="29"/>
  <c r="DT402" i="29"/>
  <c r="DS402" i="29"/>
  <c r="DR402" i="29"/>
  <c r="DQ402" i="29"/>
  <c r="DP402" i="29"/>
  <c r="DO402" i="29"/>
  <c r="DN402" i="29"/>
  <c r="DM402" i="29"/>
  <c r="DL402" i="29"/>
  <c r="DK402" i="29"/>
  <c r="DJ402" i="29"/>
  <c r="DI402" i="29"/>
  <c r="DH402" i="29"/>
  <c r="DG402" i="29"/>
  <c r="DF402" i="29"/>
  <c r="DE402" i="29"/>
  <c r="DD402" i="29"/>
  <c r="DC402" i="29"/>
  <c r="DB402" i="29"/>
  <c r="DA402" i="29"/>
  <c r="CZ402" i="29"/>
  <c r="CY402" i="29"/>
  <c r="CX402" i="29"/>
  <c r="CW402" i="29"/>
  <c r="CV402" i="29"/>
  <c r="CU402" i="29"/>
  <c r="CT402" i="29"/>
  <c r="CS402" i="29"/>
  <c r="CR402" i="29"/>
  <c r="CQ402" i="29"/>
  <c r="CP402" i="29"/>
  <c r="CO402" i="29"/>
  <c r="CN402" i="29"/>
  <c r="CM402" i="29"/>
  <c r="CL402" i="29"/>
  <c r="CK402" i="29"/>
  <c r="CJ402" i="29"/>
  <c r="CI402" i="29"/>
  <c r="CH402" i="29"/>
  <c r="CG402" i="29"/>
  <c r="CF402" i="29"/>
  <c r="CE402" i="29"/>
  <c r="CD402" i="29"/>
  <c r="CC402" i="29"/>
  <c r="CB402" i="29"/>
  <c r="CA402" i="29"/>
  <c r="BZ402" i="29"/>
  <c r="BY402" i="29"/>
  <c r="BX402" i="29"/>
  <c r="BW402" i="29"/>
  <c r="BV402" i="29"/>
  <c r="BU402" i="29"/>
  <c r="BT402" i="29"/>
  <c r="BS402" i="29"/>
  <c r="BR402" i="29"/>
  <c r="BQ402" i="29"/>
  <c r="BP402" i="29"/>
  <c r="BO402" i="29"/>
  <c r="BN402" i="29"/>
  <c r="BM402" i="29"/>
  <c r="BL402" i="29"/>
  <c r="BK402" i="29"/>
  <c r="BJ402" i="29"/>
  <c r="BI402" i="29"/>
  <c r="BH402" i="29"/>
  <c r="BG402" i="29"/>
  <c r="BF402" i="29"/>
  <c r="BE402" i="29"/>
  <c r="BD402" i="29"/>
  <c r="BC402" i="29"/>
  <c r="BB402" i="29"/>
  <c r="BA402" i="29"/>
  <c r="AZ402" i="29"/>
  <c r="AY402" i="29"/>
  <c r="AX402" i="29"/>
  <c r="AW402" i="29"/>
  <c r="AV402" i="29"/>
  <c r="AU402" i="29"/>
  <c r="AT402" i="29"/>
  <c r="AS402" i="29"/>
  <c r="AR402" i="29"/>
  <c r="AQ402" i="29"/>
  <c r="AP402" i="29"/>
  <c r="AO402" i="29"/>
  <c r="AN402" i="29"/>
  <c r="AM402" i="29"/>
  <c r="AL402" i="29"/>
  <c r="AK402" i="29"/>
  <c r="AJ402" i="29"/>
  <c r="AI402" i="29"/>
  <c r="AH402" i="29"/>
  <c r="AG402" i="29"/>
  <c r="AF402" i="29"/>
  <c r="AE402" i="29"/>
  <c r="AD402" i="29"/>
  <c r="AC402" i="29"/>
  <c r="AB402" i="29"/>
  <c r="AA402" i="29"/>
  <c r="Z402" i="29"/>
  <c r="Y402" i="29"/>
  <c r="X402" i="29"/>
  <c r="W402" i="29"/>
  <c r="V402" i="29"/>
  <c r="U402" i="29"/>
  <c r="T402" i="29"/>
  <c r="S402" i="29"/>
  <c r="R402" i="29"/>
  <c r="Q402" i="29"/>
  <c r="P402" i="29"/>
  <c r="O402" i="29"/>
  <c r="N402" i="29"/>
  <c r="M402" i="29"/>
  <c r="L402" i="29"/>
  <c r="K402" i="29"/>
  <c r="J402" i="29"/>
  <c r="I402" i="29"/>
  <c r="H402" i="29"/>
  <c r="G402" i="29"/>
  <c r="F402" i="29"/>
  <c r="E402" i="29"/>
  <c r="D402" i="29"/>
  <c r="C402" i="29"/>
  <c r="EA401" i="29"/>
  <c r="DZ401" i="29"/>
  <c r="DY401" i="29"/>
  <c r="DX401" i="29"/>
  <c r="DW401" i="29"/>
  <c r="DV401" i="29"/>
  <c r="DU401" i="29"/>
  <c r="DT401" i="29"/>
  <c r="DS401" i="29"/>
  <c r="DR401" i="29"/>
  <c r="DQ401" i="29"/>
  <c r="DP401" i="29"/>
  <c r="DO401" i="29"/>
  <c r="DN401" i="29"/>
  <c r="DM401" i="29"/>
  <c r="DL401" i="29"/>
  <c r="DK401" i="29"/>
  <c r="DJ401" i="29"/>
  <c r="DI401" i="29"/>
  <c r="DH401" i="29"/>
  <c r="DG401" i="29"/>
  <c r="DF401" i="29"/>
  <c r="DE401" i="29"/>
  <c r="DD401" i="29"/>
  <c r="DC401" i="29"/>
  <c r="DB401" i="29"/>
  <c r="DA401" i="29"/>
  <c r="CZ401" i="29"/>
  <c r="CY401" i="29"/>
  <c r="CX401" i="29"/>
  <c r="CW401" i="29"/>
  <c r="CV401" i="29"/>
  <c r="CU401" i="29"/>
  <c r="CT401" i="29"/>
  <c r="CS401" i="29"/>
  <c r="CR401" i="29"/>
  <c r="CQ401" i="29"/>
  <c r="CP401" i="29"/>
  <c r="CO401" i="29"/>
  <c r="CN401" i="29"/>
  <c r="CM401" i="29"/>
  <c r="CL401" i="29"/>
  <c r="CK401" i="29"/>
  <c r="CJ401" i="29"/>
  <c r="CI401" i="29"/>
  <c r="CH401" i="29"/>
  <c r="CG401" i="29"/>
  <c r="CF401" i="29"/>
  <c r="CE401" i="29"/>
  <c r="CD401" i="29"/>
  <c r="CC401" i="29"/>
  <c r="CB401" i="29"/>
  <c r="CA401" i="29"/>
  <c r="BZ401" i="29"/>
  <c r="BY401" i="29"/>
  <c r="BX401" i="29"/>
  <c r="BW401" i="29"/>
  <c r="BV401" i="29"/>
  <c r="BU401" i="29"/>
  <c r="BT401" i="29"/>
  <c r="BS401" i="29"/>
  <c r="BR401" i="29"/>
  <c r="BQ401" i="29"/>
  <c r="BP401" i="29"/>
  <c r="BO401" i="29"/>
  <c r="BN401" i="29"/>
  <c r="BM401" i="29"/>
  <c r="BL401" i="29"/>
  <c r="BK401" i="29"/>
  <c r="BJ401" i="29"/>
  <c r="BI401" i="29"/>
  <c r="BH401" i="29"/>
  <c r="BG401" i="29"/>
  <c r="BF401" i="29"/>
  <c r="BE401" i="29"/>
  <c r="BD401" i="29"/>
  <c r="BC401" i="29"/>
  <c r="BB401" i="29"/>
  <c r="BA401" i="29"/>
  <c r="AZ401" i="29"/>
  <c r="AY401" i="29"/>
  <c r="AX401" i="29"/>
  <c r="AW401" i="29"/>
  <c r="AV401" i="29"/>
  <c r="AU401" i="29"/>
  <c r="AT401" i="29"/>
  <c r="AS401" i="29"/>
  <c r="AR401" i="29"/>
  <c r="AQ401" i="29"/>
  <c r="AP401" i="29"/>
  <c r="AO401" i="29"/>
  <c r="AN401" i="29"/>
  <c r="AM401" i="29"/>
  <c r="AL401" i="29"/>
  <c r="AK401" i="29"/>
  <c r="AJ401" i="29"/>
  <c r="AI401" i="29"/>
  <c r="AH401" i="29"/>
  <c r="AG401" i="29"/>
  <c r="AF401" i="29"/>
  <c r="AE401" i="29"/>
  <c r="AD401" i="29"/>
  <c r="AC401" i="29"/>
  <c r="AB401" i="29"/>
  <c r="AA401" i="29"/>
  <c r="Z401" i="29"/>
  <c r="Y401" i="29"/>
  <c r="X401" i="29"/>
  <c r="W401" i="29"/>
  <c r="V401" i="29"/>
  <c r="U401" i="29"/>
  <c r="T401" i="29"/>
  <c r="S401" i="29"/>
  <c r="R401" i="29"/>
  <c r="Q401" i="29"/>
  <c r="P401" i="29"/>
  <c r="O401" i="29"/>
  <c r="N401" i="29"/>
  <c r="M401" i="29"/>
  <c r="L401" i="29"/>
  <c r="K401" i="29"/>
  <c r="J401" i="29"/>
  <c r="I401" i="29"/>
  <c r="H401" i="29"/>
  <c r="G401" i="29"/>
  <c r="F401" i="29"/>
  <c r="E401" i="29"/>
  <c r="D401" i="29"/>
  <c r="C401" i="29"/>
  <c r="EA400" i="29"/>
  <c r="DZ400" i="29"/>
  <c r="DY400" i="29"/>
  <c r="DX400" i="29"/>
  <c r="DW400" i="29"/>
  <c r="DV400" i="29"/>
  <c r="DU400" i="29"/>
  <c r="DT400" i="29"/>
  <c r="DS400" i="29"/>
  <c r="DR400" i="29"/>
  <c r="DQ400" i="29"/>
  <c r="DP400" i="29"/>
  <c r="DO400" i="29"/>
  <c r="DN400" i="29"/>
  <c r="DM400" i="29"/>
  <c r="DL400" i="29"/>
  <c r="DK400" i="29"/>
  <c r="DJ400" i="29"/>
  <c r="DI400" i="29"/>
  <c r="DH400" i="29"/>
  <c r="DG400" i="29"/>
  <c r="DF400" i="29"/>
  <c r="DE400" i="29"/>
  <c r="DD400" i="29"/>
  <c r="DC400" i="29"/>
  <c r="DB400" i="29"/>
  <c r="DA400" i="29"/>
  <c r="CZ400" i="29"/>
  <c r="CY400" i="29"/>
  <c r="CX400" i="29"/>
  <c r="CW400" i="29"/>
  <c r="CV400" i="29"/>
  <c r="CU400" i="29"/>
  <c r="CT400" i="29"/>
  <c r="CS400" i="29"/>
  <c r="CR400" i="29"/>
  <c r="CQ400" i="29"/>
  <c r="CP400" i="29"/>
  <c r="CO400" i="29"/>
  <c r="CN400" i="29"/>
  <c r="CM400" i="29"/>
  <c r="CL400" i="29"/>
  <c r="CK400" i="29"/>
  <c r="CJ400" i="29"/>
  <c r="CI400" i="29"/>
  <c r="CH400" i="29"/>
  <c r="CG400" i="29"/>
  <c r="CF400" i="29"/>
  <c r="CE400" i="29"/>
  <c r="CD400" i="29"/>
  <c r="CC400" i="29"/>
  <c r="CB400" i="29"/>
  <c r="CA400" i="29"/>
  <c r="BZ400" i="29"/>
  <c r="BY400" i="29"/>
  <c r="BX400" i="29"/>
  <c r="BW400" i="29"/>
  <c r="BV400" i="29"/>
  <c r="BU400" i="29"/>
  <c r="BT400" i="29"/>
  <c r="BS400" i="29"/>
  <c r="BR400" i="29"/>
  <c r="BQ400" i="29"/>
  <c r="BP400" i="29"/>
  <c r="BO400" i="29"/>
  <c r="BN400" i="29"/>
  <c r="BM400" i="29"/>
  <c r="BL400" i="29"/>
  <c r="BK400" i="29"/>
  <c r="BJ400" i="29"/>
  <c r="BI400" i="29"/>
  <c r="BH400" i="29"/>
  <c r="BG400" i="29"/>
  <c r="BF400" i="29"/>
  <c r="BE400" i="29"/>
  <c r="BD400" i="29"/>
  <c r="BC400" i="29"/>
  <c r="BB400" i="29"/>
  <c r="BA400" i="29"/>
  <c r="AZ400" i="29"/>
  <c r="AY400" i="29"/>
  <c r="AX400" i="29"/>
  <c r="AW400" i="29"/>
  <c r="AV400" i="29"/>
  <c r="AU400" i="29"/>
  <c r="AT400" i="29"/>
  <c r="AS400" i="29"/>
  <c r="AR400" i="29"/>
  <c r="AQ400" i="29"/>
  <c r="AP400" i="29"/>
  <c r="AO400" i="29"/>
  <c r="AN400" i="29"/>
  <c r="AM400" i="29"/>
  <c r="AL400" i="29"/>
  <c r="AK400" i="29"/>
  <c r="AJ400" i="29"/>
  <c r="AI400" i="29"/>
  <c r="AH400" i="29"/>
  <c r="AG400" i="29"/>
  <c r="AF400" i="29"/>
  <c r="AE400" i="29"/>
  <c r="AD400" i="29"/>
  <c r="AC400" i="29"/>
  <c r="AB400" i="29"/>
  <c r="AA400" i="29"/>
  <c r="Z400" i="29"/>
  <c r="Y400" i="29"/>
  <c r="X400" i="29"/>
  <c r="W400" i="29"/>
  <c r="V400" i="29"/>
  <c r="U400" i="29"/>
  <c r="T400" i="29"/>
  <c r="S400" i="29"/>
  <c r="R400" i="29"/>
  <c r="Q400" i="29"/>
  <c r="P400" i="29"/>
  <c r="O400" i="29"/>
  <c r="N400" i="29"/>
  <c r="M400" i="29"/>
  <c r="L400" i="29"/>
  <c r="K400" i="29"/>
  <c r="J400" i="29"/>
  <c r="I400" i="29"/>
  <c r="H400" i="29"/>
  <c r="G400" i="29"/>
  <c r="F400" i="29"/>
  <c r="E400" i="29"/>
  <c r="D400" i="29"/>
  <c r="C400" i="29"/>
  <c r="EA399" i="29"/>
  <c r="DZ399" i="29"/>
  <c r="DY399" i="29"/>
  <c r="DX399" i="29"/>
  <c r="DW399" i="29"/>
  <c r="DV399" i="29"/>
  <c r="DU399" i="29"/>
  <c r="DT399" i="29"/>
  <c r="DS399" i="29"/>
  <c r="DR399" i="29"/>
  <c r="DQ399" i="29"/>
  <c r="DP399" i="29"/>
  <c r="DO399" i="29"/>
  <c r="DN399" i="29"/>
  <c r="DM399" i="29"/>
  <c r="DL399" i="29"/>
  <c r="DK399" i="29"/>
  <c r="DJ399" i="29"/>
  <c r="DI399" i="29"/>
  <c r="DH399" i="29"/>
  <c r="DG399" i="29"/>
  <c r="DF399" i="29"/>
  <c r="DE399" i="29"/>
  <c r="DD399" i="29"/>
  <c r="DC399" i="29"/>
  <c r="DB399" i="29"/>
  <c r="DA399" i="29"/>
  <c r="CZ399" i="29"/>
  <c r="CY399" i="29"/>
  <c r="CX399" i="29"/>
  <c r="CW399" i="29"/>
  <c r="CV399" i="29"/>
  <c r="CU399" i="29"/>
  <c r="CT399" i="29"/>
  <c r="CS399" i="29"/>
  <c r="CR399" i="29"/>
  <c r="CQ399" i="29"/>
  <c r="CP399" i="29"/>
  <c r="CO399" i="29"/>
  <c r="CN399" i="29"/>
  <c r="CM399" i="29"/>
  <c r="CL399" i="29"/>
  <c r="CK399" i="29"/>
  <c r="CJ399" i="29"/>
  <c r="CI399" i="29"/>
  <c r="CH399" i="29"/>
  <c r="CG399" i="29"/>
  <c r="CF399" i="29"/>
  <c r="CE399" i="29"/>
  <c r="CD399" i="29"/>
  <c r="CC399" i="29"/>
  <c r="CB399" i="29"/>
  <c r="CA399" i="29"/>
  <c r="BZ399" i="29"/>
  <c r="BY399" i="29"/>
  <c r="BX399" i="29"/>
  <c r="BW399" i="29"/>
  <c r="BV399" i="29"/>
  <c r="BU399" i="29"/>
  <c r="BT399" i="29"/>
  <c r="BS399" i="29"/>
  <c r="BR399" i="29"/>
  <c r="BQ399" i="29"/>
  <c r="BP399" i="29"/>
  <c r="BO399" i="29"/>
  <c r="BN399" i="29"/>
  <c r="BM399" i="29"/>
  <c r="BL399" i="29"/>
  <c r="BK399" i="29"/>
  <c r="BJ399" i="29"/>
  <c r="BI399" i="29"/>
  <c r="BH399" i="29"/>
  <c r="BG399" i="29"/>
  <c r="BF399" i="29"/>
  <c r="BE399" i="29"/>
  <c r="BD399" i="29"/>
  <c r="BC399" i="29"/>
  <c r="BB399" i="29"/>
  <c r="BA399" i="29"/>
  <c r="AZ399" i="29"/>
  <c r="AY399" i="29"/>
  <c r="AX399" i="29"/>
  <c r="AW399" i="29"/>
  <c r="AV399" i="29"/>
  <c r="AU399" i="29"/>
  <c r="AT399" i="29"/>
  <c r="AS399" i="29"/>
  <c r="AR399" i="29"/>
  <c r="AQ399" i="29"/>
  <c r="AP399" i="29"/>
  <c r="AO399" i="29"/>
  <c r="AN399" i="29"/>
  <c r="AM399" i="29"/>
  <c r="AL399" i="29"/>
  <c r="AK399" i="29"/>
  <c r="AJ399" i="29"/>
  <c r="AI399" i="29"/>
  <c r="AH399" i="29"/>
  <c r="AG399" i="29"/>
  <c r="AF399" i="29"/>
  <c r="AE399" i="29"/>
  <c r="AD399" i="29"/>
  <c r="AC399" i="29"/>
  <c r="AB399" i="29"/>
  <c r="AA399" i="29"/>
  <c r="Z399" i="29"/>
  <c r="Y399" i="29"/>
  <c r="X399" i="29"/>
  <c r="W399" i="29"/>
  <c r="V399" i="29"/>
  <c r="U399" i="29"/>
  <c r="T399" i="29"/>
  <c r="S399" i="29"/>
  <c r="R399" i="29"/>
  <c r="Q399" i="29"/>
  <c r="P399" i="29"/>
  <c r="O399" i="29"/>
  <c r="N399" i="29"/>
  <c r="M399" i="29"/>
  <c r="L399" i="29"/>
  <c r="K399" i="29"/>
  <c r="J399" i="29"/>
  <c r="I399" i="29"/>
  <c r="H399" i="29"/>
  <c r="G399" i="29"/>
  <c r="F399" i="29"/>
  <c r="E399" i="29"/>
  <c r="D399" i="29"/>
  <c r="C399" i="29"/>
  <c r="EA398" i="29"/>
  <c r="DZ398" i="29"/>
  <c r="DY398" i="29"/>
  <c r="DX398" i="29"/>
  <c r="DW398" i="29"/>
  <c r="DV398" i="29"/>
  <c r="DU398" i="29"/>
  <c r="DT398" i="29"/>
  <c r="DS398" i="29"/>
  <c r="DR398" i="29"/>
  <c r="DQ398" i="29"/>
  <c r="DP398" i="29"/>
  <c r="DO398" i="29"/>
  <c r="DN398" i="29"/>
  <c r="DM398" i="29"/>
  <c r="DL398" i="29"/>
  <c r="DK398" i="29"/>
  <c r="DJ398" i="29"/>
  <c r="DI398" i="29"/>
  <c r="DH398" i="29"/>
  <c r="DG398" i="29"/>
  <c r="DF398" i="29"/>
  <c r="DE398" i="29"/>
  <c r="DD398" i="29"/>
  <c r="DC398" i="29"/>
  <c r="DB398" i="29"/>
  <c r="DA398" i="29"/>
  <c r="CZ398" i="29"/>
  <c r="CY398" i="29"/>
  <c r="CX398" i="29"/>
  <c r="CW398" i="29"/>
  <c r="CV398" i="29"/>
  <c r="CU398" i="29"/>
  <c r="CT398" i="29"/>
  <c r="CS398" i="29"/>
  <c r="CR398" i="29"/>
  <c r="CQ398" i="29"/>
  <c r="CP398" i="29"/>
  <c r="CO398" i="29"/>
  <c r="CN398" i="29"/>
  <c r="CM398" i="29"/>
  <c r="CL398" i="29"/>
  <c r="CK398" i="29"/>
  <c r="CJ398" i="29"/>
  <c r="CI398" i="29"/>
  <c r="CH398" i="29"/>
  <c r="CG398" i="29"/>
  <c r="CF398" i="29"/>
  <c r="CE398" i="29"/>
  <c r="CD398" i="29"/>
  <c r="CC398" i="29"/>
  <c r="CB398" i="29"/>
  <c r="CA398" i="29"/>
  <c r="BZ398" i="29"/>
  <c r="BY398" i="29"/>
  <c r="BX398" i="29"/>
  <c r="BW398" i="29"/>
  <c r="BV398" i="29"/>
  <c r="BU398" i="29"/>
  <c r="BT398" i="29"/>
  <c r="BS398" i="29"/>
  <c r="BR398" i="29"/>
  <c r="BQ398" i="29"/>
  <c r="BP398" i="29"/>
  <c r="BO398" i="29"/>
  <c r="BN398" i="29"/>
  <c r="BM398" i="29"/>
  <c r="BL398" i="29"/>
  <c r="BK398" i="29"/>
  <c r="BJ398" i="29"/>
  <c r="BI398" i="29"/>
  <c r="BH398" i="29"/>
  <c r="BG398" i="29"/>
  <c r="BF398" i="29"/>
  <c r="BE398" i="29"/>
  <c r="BD398" i="29"/>
  <c r="BC398" i="29"/>
  <c r="BB398" i="29"/>
  <c r="BA398" i="29"/>
  <c r="AZ398" i="29"/>
  <c r="AY398" i="29"/>
  <c r="AX398" i="29"/>
  <c r="AW398" i="29"/>
  <c r="AV398" i="29"/>
  <c r="AU398" i="29"/>
  <c r="AT398" i="29"/>
  <c r="AS398" i="29"/>
  <c r="AR398" i="29"/>
  <c r="AQ398" i="29"/>
  <c r="AP398" i="29"/>
  <c r="AO398" i="29"/>
  <c r="AN398" i="29"/>
  <c r="AM398" i="29"/>
  <c r="AL398" i="29"/>
  <c r="AK398" i="29"/>
  <c r="AJ398" i="29"/>
  <c r="AI398" i="29"/>
  <c r="AH398" i="29"/>
  <c r="AG398" i="29"/>
  <c r="AF398" i="29"/>
  <c r="AE398" i="29"/>
  <c r="AD398" i="29"/>
  <c r="AC398" i="29"/>
  <c r="AB398" i="29"/>
  <c r="AA398" i="29"/>
  <c r="Z398" i="29"/>
  <c r="Y398" i="29"/>
  <c r="X398" i="29"/>
  <c r="W398" i="29"/>
  <c r="V398" i="29"/>
  <c r="U398" i="29"/>
  <c r="T398" i="29"/>
  <c r="S398" i="29"/>
  <c r="R398" i="29"/>
  <c r="Q398" i="29"/>
  <c r="P398" i="29"/>
  <c r="O398" i="29"/>
  <c r="N398" i="29"/>
  <c r="M398" i="29"/>
  <c r="L398" i="29"/>
  <c r="K398" i="29"/>
  <c r="J398" i="29"/>
  <c r="I398" i="29"/>
  <c r="H398" i="29"/>
  <c r="G398" i="29"/>
  <c r="F398" i="29"/>
  <c r="E398" i="29"/>
  <c r="D398" i="29"/>
  <c r="C398" i="29"/>
  <c r="EA397" i="29"/>
  <c r="DZ397" i="29"/>
  <c r="DY397" i="29"/>
  <c r="DX397" i="29"/>
  <c r="DW397" i="29"/>
  <c r="DV397" i="29"/>
  <c r="DU397" i="29"/>
  <c r="DT397" i="29"/>
  <c r="DS397" i="29"/>
  <c r="DR397" i="29"/>
  <c r="DQ397" i="29"/>
  <c r="DP397" i="29"/>
  <c r="DO397" i="29"/>
  <c r="DN397" i="29"/>
  <c r="DM397" i="29"/>
  <c r="DL397" i="29"/>
  <c r="DK397" i="29"/>
  <c r="DJ397" i="29"/>
  <c r="DI397" i="29"/>
  <c r="DH397" i="29"/>
  <c r="DG397" i="29"/>
  <c r="DF397" i="29"/>
  <c r="DE397" i="29"/>
  <c r="DD397" i="29"/>
  <c r="DC397" i="29"/>
  <c r="DB397" i="29"/>
  <c r="DA397" i="29"/>
  <c r="CZ397" i="29"/>
  <c r="CY397" i="29"/>
  <c r="CX397" i="29"/>
  <c r="CW397" i="29"/>
  <c r="CV397" i="29"/>
  <c r="CU397" i="29"/>
  <c r="CT397" i="29"/>
  <c r="CS397" i="29"/>
  <c r="CR397" i="29"/>
  <c r="CQ397" i="29"/>
  <c r="CP397" i="29"/>
  <c r="CO397" i="29"/>
  <c r="CN397" i="29"/>
  <c r="CM397" i="29"/>
  <c r="CL397" i="29"/>
  <c r="CK397" i="29"/>
  <c r="CJ397" i="29"/>
  <c r="CI397" i="29"/>
  <c r="CH397" i="29"/>
  <c r="CG397" i="29"/>
  <c r="CF397" i="29"/>
  <c r="CE397" i="29"/>
  <c r="CD397" i="29"/>
  <c r="CC397" i="29"/>
  <c r="CB397" i="29"/>
  <c r="CA397" i="29"/>
  <c r="BZ397" i="29"/>
  <c r="BY397" i="29"/>
  <c r="BX397" i="29"/>
  <c r="BW397" i="29"/>
  <c r="BV397" i="29"/>
  <c r="BU397" i="29"/>
  <c r="BT397" i="29"/>
  <c r="BS397" i="29"/>
  <c r="BR397" i="29"/>
  <c r="BQ397" i="29"/>
  <c r="BP397" i="29"/>
  <c r="BO397" i="29"/>
  <c r="BN397" i="29"/>
  <c r="BM397" i="29"/>
  <c r="BL397" i="29"/>
  <c r="BK397" i="29"/>
  <c r="BJ397" i="29"/>
  <c r="BI397" i="29"/>
  <c r="BH397" i="29"/>
  <c r="BG397" i="29"/>
  <c r="BF397" i="29"/>
  <c r="BE397" i="29"/>
  <c r="BD397" i="29"/>
  <c r="BC397" i="29"/>
  <c r="BB397" i="29"/>
  <c r="BA397" i="29"/>
  <c r="AZ397" i="29"/>
  <c r="AY397" i="29"/>
  <c r="AX397" i="29"/>
  <c r="AW397" i="29"/>
  <c r="AV397" i="29"/>
  <c r="AU397" i="29"/>
  <c r="AT397" i="29"/>
  <c r="AS397" i="29"/>
  <c r="AR397" i="29"/>
  <c r="AQ397" i="29"/>
  <c r="AP397" i="29"/>
  <c r="AO397" i="29"/>
  <c r="AN397" i="29"/>
  <c r="AM397" i="29"/>
  <c r="AL397" i="29"/>
  <c r="AK397" i="29"/>
  <c r="AJ397" i="29"/>
  <c r="AI397" i="29"/>
  <c r="AH397" i="29"/>
  <c r="AG397" i="29"/>
  <c r="AF397" i="29"/>
  <c r="AE397" i="29"/>
  <c r="AD397" i="29"/>
  <c r="AC397" i="29"/>
  <c r="AB397" i="29"/>
  <c r="AA397" i="29"/>
  <c r="Z397" i="29"/>
  <c r="Y397" i="29"/>
  <c r="X397" i="29"/>
  <c r="W397" i="29"/>
  <c r="V397" i="29"/>
  <c r="U397" i="29"/>
  <c r="T397" i="29"/>
  <c r="S397" i="29"/>
  <c r="R397" i="29"/>
  <c r="Q397" i="29"/>
  <c r="P397" i="29"/>
  <c r="O397" i="29"/>
  <c r="N397" i="29"/>
  <c r="M397" i="29"/>
  <c r="L397" i="29"/>
  <c r="K397" i="29"/>
  <c r="J397" i="29"/>
  <c r="I397" i="29"/>
  <c r="H397" i="29"/>
  <c r="G397" i="29"/>
  <c r="F397" i="29"/>
  <c r="E397" i="29"/>
  <c r="D397" i="29"/>
  <c r="C397" i="29"/>
  <c r="EA396" i="29"/>
  <c r="DZ396" i="29"/>
  <c r="DY396" i="29"/>
  <c r="DX396" i="29"/>
  <c r="DW396" i="29"/>
  <c r="DV396" i="29"/>
  <c r="DU396" i="29"/>
  <c r="DT396" i="29"/>
  <c r="DS396" i="29"/>
  <c r="DR396" i="29"/>
  <c r="DQ396" i="29"/>
  <c r="DP396" i="29"/>
  <c r="DO396" i="29"/>
  <c r="DN396" i="29"/>
  <c r="DM396" i="29"/>
  <c r="DL396" i="29"/>
  <c r="DK396" i="29"/>
  <c r="DJ396" i="29"/>
  <c r="DI396" i="29"/>
  <c r="DH396" i="29"/>
  <c r="DG396" i="29"/>
  <c r="DF396" i="29"/>
  <c r="DE396" i="29"/>
  <c r="DD396" i="29"/>
  <c r="DC396" i="29"/>
  <c r="DB396" i="29"/>
  <c r="DA396" i="29"/>
  <c r="CZ396" i="29"/>
  <c r="CY396" i="29"/>
  <c r="CX396" i="29"/>
  <c r="CW396" i="29"/>
  <c r="CV396" i="29"/>
  <c r="CU396" i="29"/>
  <c r="CT396" i="29"/>
  <c r="CS396" i="29"/>
  <c r="CR396" i="29"/>
  <c r="CQ396" i="29"/>
  <c r="CP396" i="29"/>
  <c r="CO396" i="29"/>
  <c r="CN396" i="29"/>
  <c r="CM396" i="29"/>
  <c r="CL396" i="29"/>
  <c r="CK396" i="29"/>
  <c r="CJ396" i="29"/>
  <c r="CI396" i="29"/>
  <c r="CH396" i="29"/>
  <c r="CG396" i="29"/>
  <c r="CF396" i="29"/>
  <c r="CE396" i="29"/>
  <c r="CD396" i="29"/>
  <c r="CC396" i="29"/>
  <c r="CB396" i="29"/>
  <c r="CA396" i="29"/>
  <c r="BZ396" i="29"/>
  <c r="BY396" i="29"/>
  <c r="BX396" i="29"/>
  <c r="BW396" i="29"/>
  <c r="BV396" i="29"/>
  <c r="BU396" i="29"/>
  <c r="BT396" i="29"/>
  <c r="BS396" i="29"/>
  <c r="BR396" i="29"/>
  <c r="BQ396" i="29"/>
  <c r="BP396" i="29"/>
  <c r="BO396" i="29"/>
  <c r="BN396" i="29"/>
  <c r="BM396" i="29"/>
  <c r="BL396" i="29"/>
  <c r="BK396" i="29"/>
  <c r="BJ396" i="29"/>
  <c r="BI396" i="29"/>
  <c r="BH396" i="29"/>
  <c r="BG396" i="29"/>
  <c r="BF396" i="29"/>
  <c r="BE396" i="29"/>
  <c r="BD396" i="29"/>
  <c r="BC396" i="29"/>
  <c r="BB396" i="29"/>
  <c r="BA396" i="29"/>
  <c r="AZ396" i="29"/>
  <c r="AY396" i="29"/>
  <c r="AX396" i="29"/>
  <c r="AW396" i="29"/>
  <c r="AV396" i="29"/>
  <c r="AU396" i="29"/>
  <c r="AT396" i="29"/>
  <c r="AS396" i="29"/>
  <c r="AR396" i="29"/>
  <c r="AQ396" i="29"/>
  <c r="AP396" i="29"/>
  <c r="AO396" i="29"/>
  <c r="AN396" i="29"/>
  <c r="AM396" i="29"/>
  <c r="AL396" i="29"/>
  <c r="AK396" i="29"/>
  <c r="AJ396" i="29"/>
  <c r="AI396" i="29"/>
  <c r="AH396" i="29"/>
  <c r="AG396" i="29"/>
  <c r="AF396" i="29"/>
  <c r="AE396" i="29"/>
  <c r="AD396" i="29"/>
  <c r="AC396" i="29"/>
  <c r="AB396" i="29"/>
  <c r="AA396" i="29"/>
  <c r="Z396" i="29"/>
  <c r="Y396" i="29"/>
  <c r="X396" i="29"/>
  <c r="W396" i="29"/>
  <c r="V396" i="29"/>
  <c r="U396" i="29"/>
  <c r="T396" i="29"/>
  <c r="S396" i="29"/>
  <c r="R396" i="29"/>
  <c r="Q396" i="29"/>
  <c r="P396" i="29"/>
  <c r="O396" i="29"/>
  <c r="N396" i="29"/>
  <c r="M396" i="29"/>
  <c r="L396" i="29"/>
  <c r="K396" i="29"/>
  <c r="J396" i="29"/>
  <c r="I396" i="29"/>
  <c r="H396" i="29"/>
  <c r="G396" i="29"/>
  <c r="F396" i="29"/>
  <c r="E396" i="29"/>
  <c r="D396" i="29"/>
  <c r="C396" i="29"/>
  <c r="EA395" i="29"/>
  <c r="DZ395" i="29"/>
  <c r="DY395" i="29"/>
  <c r="DX395" i="29"/>
  <c r="DW395" i="29"/>
  <c r="DV395" i="29"/>
  <c r="DU395" i="29"/>
  <c r="DT395" i="29"/>
  <c r="DS395" i="29"/>
  <c r="DR395" i="29"/>
  <c r="DQ395" i="29"/>
  <c r="DP395" i="29"/>
  <c r="DO395" i="29"/>
  <c r="DN395" i="29"/>
  <c r="DM395" i="29"/>
  <c r="DL395" i="29"/>
  <c r="DK395" i="29"/>
  <c r="DJ395" i="29"/>
  <c r="DI395" i="29"/>
  <c r="DH395" i="29"/>
  <c r="DG395" i="29"/>
  <c r="DF395" i="29"/>
  <c r="DE395" i="29"/>
  <c r="DD395" i="29"/>
  <c r="DC395" i="29"/>
  <c r="DB395" i="29"/>
  <c r="DA395" i="29"/>
  <c r="CZ395" i="29"/>
  <c r="CY395" i="29"/>
  <c r="CX395" i="29"/>
  <c r="CW395" i="29"/>
  <c r="CV395" i="29"/>
  <c r="CU395" i="29"/>
  <c r="CT395" i="29"/>
  <c r="CS395" i="29"/>
  <c r="CR395" i="29"/>
  <c r="CQ395" i="29"/>
  <c r="CP395" i="29"/>
  <c r="CO395" i="29"/>
  <c r="CN395" i="29"/>
  <c r="CM395" i="29"/>
  <c r="CL395" i="29"/>
  <c r="CK395" i="29"/>
  <c r="CJ395" i="29"/>
  <c r="CI395" i="29"/>
  <c r="CH395" i="29"/>
  <c r="CG395" i="29"/>
  <c r="CF395" i="29"/>
  <c r="CE395" i="29"/>
  <c r="CD395" i="29"/>
  <c r="CC395" i="29"/>
  <c r="CB395" i="29"/>
  <c r="CA395" i="29"/>
  <c r="BZ395" i="29"/>
  <c r="BY395" i="29"/>
  <c r="BX395" i="29"/>
  <c r="BW395" i="29"/>
  <c r="BV395" i="29"/>
  <c r="BU395" i="29"/>
  <c r="BT395" i="29"/>
  <c r="BS395" i="29"/>
  <c r="BR395" i="29"/>
  <c r="BQ395" i="29"/>
  <c r="BP395" i="29"/>
  <c r="BO395" i="29"/>
  <c r="BN395" i="29"/>
  <c r="BM395" i="29"/>
  <c r="BL395" i="29"/>
  <c r="BK395" i="29"/>
  <c r="BJ395" i="29"/>
  <c r="BI395" i="29"/>
  <c r="BH395" i="29"/>
  <c r="BG395" i="29"/>
  <c r="BF395" i="29"/>
  <c r="BE395" i="29"/>
  <c r="BD395" i="29"/>
  <c r="BC395" i="29"/>
  <c r="BB395" i="29"/>
  <c r="BA395" i="29"/>
  <c r="AZ395" i="29"/>
  <c r="AY395" i="29"/>
  <c r="AX395" i="29"/>
  <c r="AW395" i="29"/>
  <c r="AV395" i="29"/>
  <c r="AU395" i="29"/>
  <c r="AT395" i="29"/>
  <c r="AS395" i="29"/>
  <c r="AR395" i="29"/>
  <c r="AQ395" i="29"/>
  <c r="AP395" i="29"/>
  <c r="AO395" i="29"/>
  <c r="AN395" i="29"/>
  <c r="AM395" i="29"/>
  <c r="AL395" i="29"/>
  <c r="AK395" i="29"/>
  <c r="AJ395" i="29"/>
  <c r="AI395" i="29"/>
  <c r="AH395" i="29"/>
  <c r="AG395" i="29"/>
  <c r="AF395" i="29"/>
  <c r="AE395" i="29"/>
  <c r="AD395" i="29"/>
  <c r="AC395" i="29"/>
  <c r="AB395" i="29"/>
  <c r="AA395" i="29"/>
  <c r="Z395" i="29"/>
  <c r="Y395" i="29"/>
  <c r="X395" i="29"/>
  <c r="W395" i="29"/>
  <c r="V395" i="29"/>
  <c r="U395" i="29"/>
  <c r="T395" i="29"/>
  <c r="S395" i="29"/>
  <c r="R395" i="29"/>
  <c r="Q395" i="29"/>
  <c r="P395" i="29"/>
  <c r="O395" i="29"/>
  <c r="N395" i="29"/>
  <c r="M395" i="29"/>
  <c r="L395" i="29"/>
  <c r="K395" i="29"/>
  <c r="J395" i="29"/>
  <c r="I395" i="29"/>
  <c r="H395" i="29"/>
  <c r="G395" i="29"/>
  <c r="F395" i="29"/>
  <c r="E395" i="29"/>
  <c r="D395" i="29"/>
  <c r="C395" i="29"/>
  <c r="EA394" i="29"/>
  <c r="DZ394" i="29"/>
  <c r="DY394" i="29"/>
  <c r="DX394" i="29"/>
  <c r="DW394" i="29"/>
  <c r="DV394" i="29"/>
  <c r="DU394" i="29"/>
  <c r="DT394" i="29"/>
  <c r="DS394" i="29"/>
  <c r="DR394" i="29"/>
  <c r="DQ394" i="29"/>
  <c r="DP394" i="29"/>
  <c r="DO394" i="29"/>
  <c r="DN394" i="29"/>
  <c r="DM394" i="29"/>
  <c r="DL394" i="29"/>
  <c r="DK394" i="29"/>
  <c r="DJ394" i="29"/>
  <c r="DI394" i="29"/>
  <c r="DH394" i="29"/>
  <c r="DG394" i="29"/>
  <c r="DF394" i="29"/>
  <c r="DE394" i="29"/>
  <c r="DD394" i="29"/>
  <c r="DC394" i="29"/>
  <c r="DB394" i="29"/>
  <c r="DA394" i="29"/>
  <c r="CZ394" i="29"/>
  <c r="CY394" i="29"/>
  <c r="CX394" i="29"/>
  <c r="CW394" i="29"/>
  <c r="CV394" i="29"/>
  <c r="CU394" i="29"/>
  <c r="CT394" i="29"/>
  <c r="CS394" i="29"/>
  <c r="CR394" i="29"/>
  <c r="CQ394" i="29"/>
  <c r="CP394" i="29"/>
  <c r="CO394" i="29"/>
  <c r="CN394" i="29"/>
  <c r="CM394" i="29"/>
  <c r="CL394" i="29"/>
  <c r="CK394" i="29"/>
  <c r="CJ394" i="29"/>
  <c r="CI394" i="29"/>
  <c r="CH394" i="29"/>
  <c r="CG394" i="29"/>
  <c r="CF394" i="29"/>
  <c r="CE394" i="29"/>
  <c r="CD394" i="29"/>
  <c r="CC394" i="29"/>
  <c r="CB394" i="29"/>
  <c r="CA394" i="29"/>
  <c r="BZ394" i="29"/>
  <c r="BY394" i="29"/>
  <c r="BX394" i="29"/>
  <c r="BW394" i="29"/>
  <c r="BV394" i="29"/>
  <c r="BU394" i="29"/>
  <c r="BT394" i="29"/>
  <c r="BS394" i="29"/>
  <c r="BR394" i="29"/>
  <c r="BQ394" i="29"/>
  <c r="BP394" i="29"/>
  <c r="BO394" i="29"/>
  <c r="BN394" i="29"/>
  <c r="BM394" i="29"/>
  <c r="BL394" i="29"/>
  <c r="BK394" i="29"/>
  <c r="BJ394" i="29"/>
  <c r="BI394" i="29"/>
  <c r="BH394" i="29"/>
  <c r="BG394" i="29"/>
  <c r="BF394" i="29"/>
  <c r="BE394" i="29"/>
  <c r="BD394" i="29"/>
  <c r="BC394" i="29"/>
  <c r="BB394" i="29"/>
  <c r="BA394" i="29"/>
  <c r="AZ394" i="29"/>
  <c r="AY394" i="29"/>
  <c r="AX394" i="29"/>
  <c r="AW394" i="29"/>
  <c r="AV394" i="29"/>
  <c r="AU394" i="29"/>
  <c r="AT394" i="29"/>
  <c r="AS394" i="29"/>
  <c r="AR394" i="29"/>
  <c r="AQ394" i="29"/>
  <c r="AP394" i="29"/>
  <c r="AO394" i="29"/>
  <c r="AN394" i="29"/>
  <c r="AM394" i="29"/>
  <c r="AL394" i="29"/>
  <c r="AK394" i="29"/>
  <c r="AJ394" i="29"/>
  <c r="AI394" i="29"/>
  <c r="AH394" i="29"/>
  <c r="AG394" i="29"/>
  <c r="AF394" i="29"/>
  <c r="AE394" i="29"/>
  <c r="AD394" i="29"/>
  <c r="AC394" i="29"/>
  <c r="AB394" i="29"/>
  <c r="AA394" i="29"/>
  <c r="Z394" i="29"/>
  <c r="Y394" i="29"/>
  <c r="X394" i="29"/>
  <c r="W394" i="29"/>
  <c r="V394" i="29"/>
  <c r="U394" i="29"/>
  <c r="T394" i="29"/>
  <c r="S394" i="29"/>
  <c r="R394" i="29"/>
  <c r="Q394" i="29"/>
  <c r="P394" i="29"/>
  <c r="O394" i="29"/>
  <c r="N394" i="29"/>
  <c r="M394" i="29"/>
  <c r="L394" i="29"/>
  <c r="K394" i="29"/>
  <c r="J394" i="29"/>
  <c r="I394" i="29"/>
  <c r="H394" i="29"/>
  <c r="G394" i="29"/>
  <c r="F394" i="29"/>
  <c r="E394" i="29"/>
  <c r="D394" i="29"/>
  <c r="C394" i="29"/>
  <c r="EA393" i="29"/>
  <c r="DZ393" i="29"/>
  <c r="DY393" i="29"/>
  <c r="DX393" i="29"/>
  <c r="DW393" i="29"/>
  <c r="DV393" i="29"/>
  <c r="DU393" i="29"/>
  <c r="DT393" i="29"/>
  <c r="DS393" i="29"/>
  <c r="DR393" i="29"/>
  <c r="DQ393" i="29"/>
  <c r="DP393" i="29"/>
  <c r="DO393" i="29"/>
  <c r="DN393" i="29"/>
  <c r="DM393" i="29"/>
  <c r="DL393" i="29"/>
  <c r="DK393" i="29"/>
  <c r="DJ393" i="29"/>
  <c r="DI393" i="29"/>
  <c r="DH393" i="29"/>
  <c r="DG393" i="29"/>
  <c r="DF393" i="29"/>
  <c r="DE393" i="29"/>
  <c r="DD393" i="29"/>
  <c r="DC393" i="29"/>
  <c r="DB393" i="29"/>
  <c r="DA393" i="29"/>
  <c r="CZ393" i="29"/>
  <c r="CY393" i="29"/>
  <c r="CX393" i="29"/>
  <c r="CW393" i="29"/>
  <c r="CV393" i="29"/>
  <c r="CU393" i="29"/>
  <c r="CT393" i="29"/>
  <c r="CS393" i="29"/>
  <c r="CR393" i="29"/>
  <c r="CQ393" i="29"/>
  <c r="CP393" i="29"/>
  <c r="CO393" i="29"/>
  <c r="CN393" i="29"/>
  <c r="CM393" i="29"/>
  <c r="CL393" i="29"/>
  <c r="CK393" i="29"/>
  <c r="CJ393" i="29"/>
  <c r="CI393" i="29"/>
  <c r="CH393" i="29"/>
  <c r="CG393" i="29"/>
  <c r="CF393" i="29"/>
  <c r="CE393" i="29"/>
  <c r="CD393" i="29"/>
  <c r="CC393" i="29"/>
  <c r="CB393" i="29"/>
  <c r="CA393" i="29"/>
  <c r="BZ393" i="29"/>
  <c r="BY393" i="29"/>
  <c r="BX393" i="29"/>
  <c r="BW393" i="29"/>
  <c r="BV393" i="29"/>
  <c r="BU393" i="29"/>
  <c r="BT393" i="29"/>
  <c r="BS393" i="29"/>
  <c r="BR393" i="29"/>
  <c r="BQ393" i="29"/>
  <c r="BP393" i="29"/>
  <c r="BO393" i="29"/>
  <c r="BN393" i="29"/>
  <c r="BM393" i="29"/>
  <c r="BL393" i="29"/>
  <c r="BK393" i="29"/>
  <c r="BJ393" i="29"/>
  <c r="BI393" i="29"/>
  <c r="BH393" i="29"/>
  <c r="BG393" i="29"/>
  <c r="BF393" i="29"/>
  <c r="BE393" i="29"/>
  <c r="BD393" i="29"/>
  <c r="BC393" i="29"/>
  <c r="BB393" i="29"/>
  <c r="BA393" i="29"/>
  <c r="AZ393" i="29"/>
  <c r="AY393" i="29"/>
  <c r="AX393" i="29"/>
  <c r="AW393" i="29"/>
  <c r="AV393" i="29"/>
  <c r="AU393" i="29"/>
  <c r="AT393" i="29"/>
  <c r="AS393" i="29"/>
  <c r="AR393" i="29"/>
  <c r="AQ393" i="29"/>
  <c r="AP393" i="29"/>
  <c r="AO393" i="29"/>
  <c r="AN393" i="29"/>
  <c r="AM393" i="29"/>
  <c r="AL393" i="29"/>
  <c r="AK393" i="29"/>
  <c r="AJ393" i="29"/>
  <c r="AI393" i="29"/>
  <c r="AH393" i="29"/>
  <c r="AG393" i="29"/>
  <c r="AF393" i="29"/>
  <c r="AE393" i="29"/>
  <c r="AD393" i="29"/>
  <c r="AC393" i="29"/>
  <c r="AB393" i="29"/>
  <c r="AA393" i="29"/>
  <c r="Z393" i="29"/>
  <c r="Y393" i="29"/>
  <c r="X393" i="29"/>
  <c r="W393" i="29"/>
  <c r="V393" i="29"/>
  <c r="U393" i="29"/>
  <c r="T393" i="29"/>
  <c r="S393" i="29"/>
  <c r="R393" i="29"/>
  <c r="Q393" i="29"/>
  <c r="P393" i="29"/>
  <c r="O393" i="29"/>
  <c r="N393" i="29"/>
  <c r="M393" i="29"/>
  <c r="L393" i="29"/>
  <c r="K393" i="29"/>
  <c r="J393" i="29"/>
  <c r="I393" i="29"/>
  <c r="H393" i="29"/>
  <c r="G393" i="29"/>
  <c r="F393" i="29"/>
  <c r="E393" i="29"/>
  <c r="D393" i="29"/>
  <c r="C393" i="29"/>
  <c r="EA392" i="29"/>
  <c r="DZ392" i="29"/>
  <c r="DY392" i="29"/>
  <c r="DX392" i="29"/>
  <c r="DW392" i="29"/>
  <c r="DV392" i="29"/>
  <c r="DU392" i="29"/>
  <c r="DT392" i="29"/>
  <c r="DS392" i="29"/>
  <c r="DR392" i="29"/>
  <c r="DQ392" i="29"/>
  <c r="DP392" i="29"/>
  <c r="DO392" i="29"/>
  <c r="DN392" i="29"/>
  <c r="DM392" i="29"/>
  <c r="DL392" i="29"/>
  <c r="DK392" i="29"/>
  <c r="DJ392" i="29"/>
  <c r="DI392" i="29"/>
  <c r="DH392" i="29"/>
  <c r="DG392" i="29"/>
  <c r="DF392" i="29"/>
  <c r="DE392" i="29"/>
  <c r="DD392" i="29"/>
  <c r="DC392" i="29"/>
  <c r="DB392" i="29"/>
  <c r="DA392" i="29"/>
  <c r="CZ392" i="29"/>
  <c r="CY392" i="29"/>
  <c r="CX392" i="29"/>
  <c r="CW392" i="29"/>
  <c r="CV392" i="29"/>
  <c r="CU392" i="29"/>
  <c r="CT392" i="29"/>
  <c r="CS392" i="29"/>
  <c r="CR392" i="29"/>
  <c r="CQ392" i="29"/>
  <c r="CP392" i="29"/>
  <c r="CO392" i="29"/>
  <c r="CN392" i="29"/>
  <c r="CM392" i="29"/>
  <c r="CL392" i="29"/>
  <c r="CK392" i="29"/>
  <c r="CJ392" i="29"/>
  <c r="CI392" i="29"/>
  <c r="CH392" i="29"/>
  <c r="CG392" i="29"/>
  <c r="CF392" i="29"/>
  <c r="CE392" i="29"/>
  <c r="CD392" i="29"/>
  <c r="CC392" i="29"/>
  <c r="CB392" i="29"/>
  <c r="CA392" i="29"/>
  <c r="BZ392" i="29"/>
  <c r="BY392" i="29"/>
  <c r="BX392" i="29"/>
  <c r="BW392" i="29"/>
  <c r="BV392" i="29"/>
  <c r="BU392" i="29"/>
  <c r="BT392" i="29"/>
  <c r="BS392" i="29"/>
  <c r="BR392" i="29"/>
  <c r="BQ392" i="29"/>
  <c r="BP392" i="29"/>
  <c r="BO392" i="29"/>
  <c r="BN392" i="29"/>
  <c r="BM392" i="29"/>
  <c r="BL392" i="29"/>
  <c r="BK392" i="29"/>
  <c r="BJ392" i="29"/>
  <c r="BI392" i="29"/>
  <c r="BH392" i="29"/>
  <c r="BG392" i="29"/>
  <c r="BF392" i="29"/>
  <c r="BE392" i="29"/>
  <c r="BD392" i="29"/>
  <c r="BC392" i="29"/>
  <c r="BB392" i="29"/>
  <c r="BA392" i="29"/>
  <c r="AZ392" i="29"/>
  <c r="AY392" i="29"/>
  <c r="AX392" i="29"/>
  <c r="AW392" i="29"/>
  <c r="AV392" i="29"/>
  <c r="AU392" i="29"/>
  <c r="AT392" i="29"/>
  <c r="AS392" i="29"/>
  <c r="AR392" i="29"/>
  <c r="AQ392" i="29"/>
  <c r="AP392" i="29"/>
  <c r="AO392" i="29"/>
  <c r="AN392" i="29"/>
  <c r="AM392" i="29"/>
  <c r="AL392" i="29"/>
  <c r="AK392" i="29"/>
  <c r="AJ392" i="29"/>
  <c r="AI392" i="29"/>
  <c r="AH392" i="29"/>
  <c r="AG392" i="29"/>
  <c r="AF392" i="29"/>
  <c r="AE392" i="29"/>
  <c r="AD392" i="29"/>
  <c r="AC392" i="29"/>
  <c r="AB392" i="29"/>
  <c r="AA392" i="29"/>
  <c r="Z392" i="29"/>
  <c r="Y392" i="29"/>
  <c r="X392" i="29"/>
  <c r="W392" i="29"/>
  <c r="V392" i="29"/>
  <c r="U392" i="29"/>
  <c r="T392" i="29"/>
  <c r="S392" i="29"/>
  <c r="R392" i="29"/>
  <c r="Q392" i="29"/>
  <c r="P392" i="29"/>
  <c r="O392" i="29"/>
  <c r="N392" i="29"/>
  <c r="M392" i="29"/>
  <c r="L392" i="29"/>
  <c r="K392" i="29"/>
  <c r="J392" i="29"/>
  <c r="I392" i="29"/>
  <c r="H392" i="29"/>
  <c r="G392" i="29"/>
  <c r="F392" i="29"/>
  <c r="E392" i="29"/>
  <c r="D392" i="29"/>
  <c r="C392" i="29"/>
  <c r="B438" i="29"/>
  <c r="B421" i="29"/>
  <c r="B420" i="29"/>
  <c r="B419" i="29"/>
  <c r="B418" i="29"/>
  <c r="B417" i="29"/>
  <c r="B416" i="29"/>
  <c r="B415" i="29"/>
  <c r="B414" i="29"/>
  <c r="B397" i="29"/>
  <c r="B396" i="29"/>
  <c r="B395" i="29"/>
  <c r="B394" i="29"/>
  <c r="B393" i="29"/>
  <c r="B392" i="29"/>
  <c r="A392" i="29"/>
  <c r="DX343" i="29"/>
  <c r="DX344" i="29"/>
  <c r="DX345" i="29"/>
  <c r="DX346" i="29"/>
  <c r="DX347" i="29"/>
  <c r="DX348" i="29"/>
  <c r="DX349" i="29"/>
  <c r="DX350" i="29"/>
  <c r="DX351" i="29"/>
  <c r="DX352" i="29"/>
  <c r="DX353" i="29"/>
  <c r="DX354" i="29"/>
  <c r="DX355" i="29"/>
  <c r="DX356" i="29"/>
  <c r="DX357" i="29"/>
  <c r="DX358" i="29"/>
  <c r="DX359" i="29"/>
  <c r="DX360" i="29"/>
  <c r="DX361" i="29"/>
  <c r="DX362" i="29"/>
  <c r="DX363" i="29"/>
  <c r="DX364" i="29"/>
  <c r="DX365" i="29"/>
  <c r="DX366" i="29"/>
  <c r="DX367" i="29"/>
  <c r="DX368" i="29"/>
  <c r="DX369" i="29"/>
  <c r="DX370" i="29"/>
  <c r="DX371" i="29"/>
  <c r="DX372" i="29"/>
  <c r="DX373" i="29"/>
  <c r="DX374" i="29"/>
  <c r="DX375" i="29"/>
  <c r="DX376" i="29"/>
  <c r="DX377" i="29"/>
  <c r="DX378" i="29"/>
  <c r="DX379" i="29"/>
  <c r="DX380" i="29"/>
  <c r="DX381" i="29"/>
  <c r="DX382" i="29"/>
  <c r="DX383" i="29"/>
  <c r="DX384" i="29"/>
  <c r="DX385" i="29"/>
  <c r="DX386" i="29"/>
  <c r="DX387" i="29"/>
  <c r="CG343" i="29"/>
  <c r="CH343" i="29"/>
  <c r="CI343" i="29"/>
  <c r="CJ343" i="29"/>
  <c r="CK343" i="29"/>
  <c r="CL343" i="29"/>
  <c r="CM343" i="29"/>
  <c r="CN343" i="29"/>
  <c r="CO343" i="29"/>
  <c r="CP343" i="29"/>
  <c r="CQ343" i="29"/>
  <c r="CR343" i="29"/>
  <c r="CS343" i="29"/>
  <c r="CT343" i="29"/>
  <c r="CU343" i="29"/>
  <c r="CV343" i="29"/>
  <c r="CW343" i="29"/>
  <c r="CX343" i="29"/>
  <c r="CY343" i="29"/>
  <c r="CZ343" i="29"/>
  <c r="DA343" i="29"/>
  <c r="DB343" i="29"/>
  <c r="DC343" i="29"/>
  <c r="DD343" i="29"/>
  <c r="DE343" i="29"/>
  <c r="DF343" i="29"/>
  <c r="DG343" i="29"/>
  <c r="DH343" i="29"/>
  <c r="DI343" i="29"/>
  <c r="DJ343" i="29"/>
  <c r="DK343" i="29"/>
  <c r="DL343" i="29"/>
  <c r="DM343" i="29"/>
  <c r="DN343" i="29"/>
  <c r="DO343" i="29"/>
  <c r="DP343" i="29"/>
  <c r="DQ343" i="29"/>
  <c r="DR343" i="29"/>
  <c r="DS343" i="29"/>
  <c r="DT343" i="29"/>
  <c r="DU343" i="29"/>
  <c r="DV343" i="29"/>
  <c r="DW343" i="29"/>
  <c r="CG344" i="29"/>
  <c r="CH344" i="29"/>
  <c r="CI344" i="29"/>
  <c r="CJ344" i="29"/>
  <c r="CK344" i="29"/>
  <c r="CL344" i="29"/>
  <c r="CM344" i="29"/>
  <c r="CN344" i="29"/>
  <c r="CO344" i="29"/>
  <c r="CP344" i="29"/>
  <c r="CQ344" i="29"/>
  <c r="CR344" i="29"/>
  <c r="CS344" i="29"/>
  <c r="CT344" i="29"/>
  <c r="CU344" i="29"/>
  <c r="CV344" i="29"/>
  <c r="CW344" i="29"/>
  <c r="CX344" i="29"/>
  <c r="CY344" i="29"/>
  <c r="CZ344" i="29"/>
  <c r="DA344" i="29"/>
  <c r="DB344" i="29"/>
  <c r="DC344" i="29"/>
  <c r="DD344" i="29"/>
  <c r="DE344" i="29"/>
  <c r="DF344" i="29"/>
  <c r="DG344" i="29"/>
  <c r="DH344" i="29"/>
  <c r="DI344" i="29"/>
  <c r="DJ344" i="29"/>
  <c r="DK344" i="29"/>
  <c r="DL344" i="29"/>
  <c r="DM344" i="29"/>
  <c r="DN344" i="29"/>
  <c r="DO344" i="29"/>
  <c r="DP344" i="29"/>
  <c r="DQ344" i="29"/>
  <c r="DR344" i="29"/>
  <c r="DS344" i="29"/>
  <c r="DT344" i="29"/>
  <c r="DU344" i="29"/>
  <c r="DV344" i="29"/>
  <c r="DW344" i="29"/>
  <c r="CG345" i="29"/>
  <c r="CH345" i="29"/>
  <c r="CI345" i="29"/>
  <c r="CJ345" i="29"/>
  <c r="CK345" i="29"/>
  <c r="CL345" i="29"/>
  <c r="CM345" i="29"/>
  <c r="CN345" i="29"/>
  <c r="CO345" i="29"/>
  <c r="CP345" i="29"/>
  <c r="CQ345" i="29"/>
  <c r="CR345" i="29"/>
  <c r="CS345" i="29"/>
  <c r="CT345" i="29"/>
  <c r="CU345" i="29"/>
  <c r="CV345" i="29"/>
  <c r="CW345" i="29"/>
  <c r="CX345" i="29"/>
  <c r="CY345" i="29"/>
  <c r="CZ345" i="29"/>
  <c r="DA345" i="29"/>
  <c r="DB345" i="29"/>
  <c r="DC345" i="29"/>
  <c r="DD345" i="29"/>
  <c r="DE345" i="29"/>
  <c r="DF345" i="29"/>
  <c r="DG345" i="29"/>
  <c r="DH345" i="29"/>
  <c r="DI345" i="29"/>
  <c r="DJ345" i="29"/>
  <c r="DK345" i="29"/>
  <c r="DL345" i="29"/>
  <c r="DM345" i="29"/>
  <c r="DN345" i="29"/>
  <c r="DO345" i="29"/>
  <c r="DP345" i="29"/>
  <c r="DQ345" i="29"/>
  <c r="DR345" i="29"/>
  <c r="DS345" i="29"/>
  <c r="DT345" i="29"/>
  <c r="DU345" i="29"/>
  <c r="DV345" i="29"/>
  <c r="DW345" i="29"/>
  <c r="CG346" i="29"/>
  <c r="CH346" i="29"/>
  <c r="CI346" i="29"/>
  <c r="CJ346" i="29"/>
  <c r="CK346" i="29"/>
  <c r="CL346" i="29"/>
  <c r="CM346" i="29"/>
  <c r="CN346" i="29"/>
  <c r="CO346" i="29"/>
  <c r="CP346" i="29"/>
  <c r="CQ346" i="29"/>
  <c r="CR346" i="29"/>
  <c r="CS346" i="29"/>
  <c r="CT346" i="29"/>
  <c r="CU346" i="29"/>
  <c r="CV346" i="29"/>
  <c r="CW346" i="29"/>
  <c r="CX346" i="29"/>
  <c r="CY346" i="29"/>
  <c r="CZ346" i="29"/>
  <c r="DA346" i="29"/>
  <c r="DB346" i="29"/>
  <c r="DC346" i="29"/>
  <c r="DD346" i="29"/>
  <c r="DE346" i="29"/>
  <c r="DF346" i="29"/>
  <c r="DG346" i="29"/>
  <c r="DH346" i="29"/>
  <c r="DI346" i="29"/>
  <c r="DJ346" i="29"/>
  <c r="DK346" i="29"/>
  <c r="DL346" i="29"/>
  <c r="DM346" i="29"/>
  <c r="DN346" i="29"/>
  <c r="DO346" i="29"/>
  <c r="DP346" i="29"/>
  <c r="DQ346" i="29"/>
  <c r="DR346" i="29"/>
  <c r="DS346" i="29"/>
  <c r="DT346" i="29"/>
  <c r="DU346" i="29"/>
  <c r="DV346" i="29"/>
  <c r="DW346" i="29"/>
  <c r="CG347" i="29"/>
  <c r="CH347" i="29"/>
  <c r="CI347" i="29"/>
  <c r="CJ347" i="29"/>
  <c r="CK347" i="29"/>
  <c r="CL347" i="29"/>
  <c r="CM347" i="29"/>
  <c r="CN347" i="29"/>
  <c r="CO347" i="29"/>
  <c r="CP347" i="29"/>
  <c r="CQ347" i="29"/>
  <c r="CR347" i="29"/>
  <c r="CS347" i="29"/>
  <c r="CT347" i="29"/>
  <c r="CU347" i="29"/>
  <c r="CV347" i="29"/>
  <c r="CW347" i="29"/>
  <c r="CX347" i="29"/>
  <c r="CY347" i="29"/>
  <c r="CZ347" i="29"/>
  <c r="DA347" i="29"/>
  <c r="DB347" i="29"/>
  <c r="DC347" i="29"/>
  <c r="DD347" i="29"/>
  <c r="DE347" i="29"/>
  <c r="DF347" i="29"/>
  <c r="DG347" i="29"/>
  <c r="DH347" i="29"/>
  <c r="DI347" i="29"/>
  <c r="DJ347" i="29"/>
  <c r="DK347" i="29"/>
  <c r="DL347" i="29"/>
  <c r="DM347" i="29"/>
  <c r="DN347" i="29"/>
  <c r="DO347" i="29"/>
  <c r="DP347" i="29"/>
  <c r="DQ347" i="29"/>
  <c r="DR347" i="29"/>
  <c r="DS347" i="29"/>
  <c r="DT347" i="29"/>
  <c r="DU347" i="29"/>
  <c r="DV347" i="29"/>
  <c r="DW347" i="29"/>
  <c r="CG348" i="29"/>
  <c r="CH348" i="29"/>
  <c r="CI348" i="29"/>
  <c r="CJ348" i="29"/>
  <c r="CK348" i="29"/>
  <c r="CL348" i="29"/>
  <c r="CM348" i="29"/>
  <c r="CN348" i="29"/>
  <c r="CO348" i="29"/>
  <c r="CP348" i="29"/>
  <c r="CQ348" i="29"/>
  <c r="CR348" i="29"/>
  <c r="CS348" i="29"/>
  <c r="CT348" i="29"/>
  <c r="CU348" i="29"/>
  <c r="CV348" i="29"/>
  <c r="CW348" i="29"/>
  <c r="CX348" i="29"/>
  <c r="CY348" i="29"/>
  <c r="CZ348" i="29"/>
  <c r="DA348" i="29"/>
  <c r="DB348" i="29"/>
  <c r="DC348" i="29"/>
  <c r="DD348" i="29"/>
  <c r="DE348" i="29"/>
  <c r="DF348" i="29"/>
  <c r="DG348" i="29"/>
  <c r="DH348" i="29"/>
  <c r="DI348" i="29"/>
  <c r="DJ348" i="29"/>
  <c r="DK348" i="29"/>
  <c r="DL348" i="29"/>
  <c r="DM348" i="29"/>
  <c r="DN348" i="29"/>
  <c r="DO348" i="29"/>
  <c r="DP348" i="29"/>
  <c r="DQ348" i="29"/>
  <c r="DR348" i="29"/>
  <c r="DS348" i="29"/>
  <c r="DT348" i="29"/>
  <c r="DU348" i="29"/>
  <c r="DV348" i="29"/>
  <c r="DW348" i="29"/>
  <c r="CG349" i="29"/>
  <c r="CH349" i="29"/>
  <c r="CI349" i="29"/>
  <c r="CJ349" i="29"/>
  <c r="CK349" i="29"/>
  <c r="CL349" i="29"/>
  <c r="CM349" i="29"/>
  <c r="CN349" i="29"/>
  <c r="CO349" i="29"/>
  <c r="CP349" i="29"/>
  <c r="CQ349" i="29"/>
  <c r="CR349" i="29"/>
  <c r="CS349" i="29"/>
  <c r="CT349" i="29"/>
  <c r="CU349" i="29"/>
  <c r="CV349" i="29"/>
  <c r="CW349" i="29"/>
  <c r="CX349" i="29"/>
  <c r="CY349" i="29"/>
  <c r="CZ349" i="29"/>
  <c r="DA349" i="29"/>
  <c r="DB349" i="29"/>
  <c r="DC349" i="29"/>
  <c r="DD349" i="29"/>
  <c r="DE349" i="29"/>
  <c r="DF349" i="29"/>
  <c r="DG349" i="29"/>
  <c r="DH349" i="29"/>
  <c r="DI349" i="29"/>
  <c r="DJ349" i="29"/>
  <c r="DK349" i="29"/>
  <c r="DL349" i="29"/>
  <c r="DM349" i="29"/>
  <c r="DN349" i="29"/>
  <c r="DO349" i="29"/>
  <c r="DP349" i="29"/>
  <c r="DQ349" i="29"/>
  <c r="DR349" i="29"/>
  <c r="DS349" i="29"/>
  <c r="DT349" i="29"/>
  <c r="DU349" i="29"/>
  <c r="DV349" i="29"/>
  <c r="DW349" i="29"/>
  <c r="CG350" i="29"/>
  <c r="CH350" i="29"/>
  <c r="CI350" i="29"/>
  <c r="CJ350" i="29"/>
  <c r="CK350" i="29"/>
  <c r="CL350" i="29"/>
  <c r="CM350" i="29"/>
  <c r="CN350" i="29"/>
  <c r="CO350" i="29"/>
  <c r="CP350" i="29"/>
  <c r="CQ350" i="29"/>
  <c r="CR350" i="29"/>
  <c r="CS350" i="29"/>
  <c r="CT350" i="29"/>
  <c r="CU350" i="29"/>
  <c r="CV350" i="29"/>
  <c r="CW350" i="29"/>
  <c r="CX350" i="29"/>
  <c r="CY350" i="29"/>
  <c r="CZ350" i="29"/>
  <c r="DA350" i="29"/>
  <c r="DB350" i="29"/>
  <c r="DC350" i="29"/>
  <c r="DD350" i="29"/>
  <c r="DE350" i="29"/>
  <c r="DF350" i="29"/>
  <c r="DG350" i="29"/>
  <c r="DH350" i="29"/>
  <c r="DI350" i="29"/>
  <c r="DJ350" i="29"/>
  <c r="DK350" i="29"/>
  <c r="DL350" i="29"/>
  <c r="DM350" i="29"/>
  <c r="DN350" i="29"/>
  <c r="DO350" i="29"/>
  <c r="DP350" i="29"/>
  <c r="DQ350" i="29"/>
  <c r="DR350" i="29"/>
  <c r="DS350" i="29"/>
  <c r="DT350" i="29"/>
  <c r="DU350" i="29"/>
  <c r="DV350" i="29"/>
  <c r="DW350" i="29"/>
  <c r="CG351" i="29"/>
  <c r="CH351" i="29"/>
  <c r="CI351" i="29"/>
  <c r="CJ351" i="29"/>
  <c r="CK351" i="29"/>
  <c r="CL351" i="29"/>
  <c r="CM351" i="29"/>
  <c r="CN351" i="29"/>
  <c r="CO351" i="29"/>
  <c r="CP351" i="29"/>
  <c r="CQ351" i="29"/>
  <c r="CR351" i="29"/>
  <c r="CS351" i="29"/>
  <c r="CT351" i="29"/>
  <c r="CU351" i="29"/>
  <c r="CV351" i="29"/>
  <c r="CW351" i="29"/>
  <c r="CX351" i="29"/>
  <c r="CY351" i="29"/>
  <c r="CZ351" i="29"/>
  <c r="DA351" i="29"/>
  <c r="DB351" i="29"/>
  <c r="DC351" i="29"/>
  <c r="DD351" i="29"/>
  <c r="DE351" i="29"/>
  <c r="DF351" i="29"/>
  <c r="DG351" i="29"/>
  <c r="DH351" i="29"/>
  <c r="DI351" i="29"/>
  <c r="DJ351" i="29"/>
  <c r="DK351" i="29"/>
  <c r="DL351" i="29"/>
  <c r="DM351" i="29"/>
  <c r="DN351" i="29"/>
  <c r="DO351" i="29"/>
  <c r="DP351" i="29"/>
  <c r="DQ351" i="29"/>
  <c r="DR351" i="29"/>
  <c r="DS351" i="29"/>
  <c r="DT351" i="29"/>
  <c r="DU351" i="29"/>
  <c r="DV351" i="29"/>
  <c r="DW351" i="29"/>
  <c r="CG352" i="29"/>
  <c r="CH352" i="29"/>
  <c r="CI352" i="29"/>
  <c r="CJ352" i="29"/>
  <c r="CK352" i="29"/>
  <c r="CL352" i="29"/>
  <c r="CM352" i="29"/>
  <c r="CN352" i="29"/>
  <c r="CO352" i="29"/>
  <c r="CP352" i="29"/>
  <c r="CQ352" i="29"/>
  <c r="CR352" i="29"/>
  <c r="CS352" i="29"/>
  <c r="CT352" i="29"/>
  <c r="CU352" i="29"/>
  <c r="CV352" i="29"/>
  <c r="CW352" i="29"/>
  <c r="CX352" i="29"/>
  <c r="CY352" i="29"/>
  <c r="CZ352" i="29"/>
  <c r="DA352" i="29"/>
  <c r="DB352" i="29"/>
  <c r="DC352" i="29"/>
  <c r="DD352" i="29"/>
  <c r="DE352" i="29"/>
  <c r="DF352" i="29"/>
  <c r="DG352" i="29"/>
  <c r="DH352" i="29"/>
  <c r="DI352" i="29"/>
  <c r="DJ352" i="29"/>
  <c r="DK352" i="29"/>
  <c r="DL352" i="29"/>
  <c r="DM352" i="29"/>
  <c r="DN352" i="29"/>
  <c r="DO352" i="29"/>
  <c r="DP352" i="29"/>
  <c r="DQ352" i="29"/>
  <c r="DR352" i="29"/>
  <c r="DS352" i="29"/>
  <c r="DT352" i="29"/>
  <c r="DU352" i="29"/>
  <c r="DV352" i="29"/>
  <c r="DW352" i="29"/>
  <c r="CG353" i="29"/>
  <c r="CH353" i="29"/>
  <c r="CI353" i="29"/>
  <c r="CJ353" i="29"/>
  <c r="CK353" i="29"/>
  <c r="CL353" i="29"/>
  <c r="CM353" i="29"/>
  <c r="CN353" i="29"/>
  <c r="CO353" i="29"/>
  <c r="CP353" i="29"/>
  <c r="CQ353" i="29"/>
  <c r="CR353" i="29"/>
  <c r="CS353" i="29"/>
  <c r="CT353" i="29"/>
  <c r="CU353" i="29"/>
  <c r="CV353" i="29"/>
  <c r="CW353" i="29"/>
  <c r="CX353" i="29"/>
  <c r="CY353" i="29"/>
  <c r="CZ353" i="29"/>
  <c r="DA353" i="29"/>
  <c r="DB353" i="29"/>
  <c r="DC353" i="29"/>
  <c r="DD353" i="29"/>
  <c r="DE353" i="29"/>
  <c r="DF353" i="29"/>
  <c r="DG353" i="29"/>
  <c r="DH353" i="29"/>
  <c r="DI353" i="29"/>
  <c r="DJ353" i="29"/>
  <c r="DK353" i="29"/>
  <c r="DL353" i="29"/>
  <c r="DM353" i="29"/>
  <c r="DN353" i="29"/>
  <c r="DO353" i="29"/>
  <c r="DP353" i="29"/>
  <c r="DQ353" i="29"/>
  <c r="DR353" i="29"/>
  <c r="DS353" i="29"/>
  <c r="DT353" i="29"/>
  <c r="DU353" i="29"/>
  <c r="DV353" i="29"/>
  <c r="DW353" i="29"/>
  <c r="CG354" i="29"/>
  <c r="CH354" i="29"/>
  <c r="CI354" i="29"/>
  <c r="CJ354" i="29"/>
  <c r="CK354" i="29"/>
  <c r="CL354" i="29"/>
  <c r="CM354" i="29"/>
  <c r="CN354" i="29"/>
  <c r="CO354" i="29"/>
  <c r="CP354" i="29"/>
  <c r="CQ354" i="29"/>
  <c r="CR354" i="29"/>
  <c r="CS354" i="29"/>
  <c r="CT354" i="29"/>
  <c r="CU354" i="29"/>
  <c r="CV354" i="29"/>
  <c r="CW354" i="29"/>
  <c r="CX354" i="29"/>
  <c r="CY354" i="29"/>
  <c r="CZ354" i="29"/>
  <c r="DA354" i="29"/>
  <c r="DB354" i="29"/>
  <c r="DC354" i="29"/>
  <c r="DD354" i="29"/>
  <c r="DE354" i="29"/>
  <c r="DF354" i="29"/>
  <c r="DG354" i="29"/>
  <c r="DH354" i="29"/>
  <c r="DI354" i="29"/>
  <c r="DJ354" i="29"/>
  <c r="DK354" i="29"/>
  <c r="DL354" i="29"/>
  <c r="DM354" i="29"/>
  <c r="DN354" i="29"/>
  <c r="DO354" i="29"/>
  <c r="DP354" i="29"/>
  <c r="DQ354" i="29"/>
  <c r="DR354" i="29"/>
  <c r="DS354" i="29"/>
  <c r="DT354" i="29"/>
  <c r="DU354" i="29"/>
  <c r="DV354" i="29"/>
  <c r="DW354" i="29"/>
  <c r="CG355" i="29"/>
  <c r="CH355" i="29"/>
  <c r="CI355" i="29"/>
  <c r="CJ355" i="29"/>
  <c r="CK355" i="29"/>
  <c r="CL355" i="29"/>
  <c r="CM355" i="29"/>
  <c r="CN355" i="29"/>
  <c r="CO355" i="29"/>
  <c r="CP355" i="29"/>
  <c r="CQ355" i="29"/>
  <c r="CR355" i="29"/>
  <c r="CS355" i="29"/>
  <c r="CT355" i="29"/>
  <c r="CU355" i="29"/>
  <c r="CV355" i="29"/>
  <c r="CW355" i="29"/>
  <c r="CX355" i="29"/>
  <c r="CY355" i="29"/>
  <c r="CZ355" i="29"/>
  <c r="DA355" i="29"/>
  <c r="DB355" i="29"/>
  <c r="DC355" i="29"/>
  <c r="DD355" i="29"/>
  <c r="DE355" i="29"/>
  <c r="DF355" i="29"/>
  <c r="DG355" i="29"/>
  <c r="DH355" i="29"/>
  <c r="DI355" i="29"/>
  <c r="DJ355" i="29"/>
  <c r="DK355" i="29"/>
  <c r="DL355" i="29"/>
  <c r="DM355" i="29"/>
  <c r="DN355" i="29"/>
  <c r="DO355" i="29"/>
  <c r="DP355" i="29"/>
  <c r="DQ355" i="29"/>
  <c r="DR355" i="29"/>
  <c r="DS355" i="29"/>
  <c r="DT355" i="29"/>
  <c r="DU355" i="29"/>
  <c r="DV355" i="29"/>
  <c r="DW355" i="29"/>
  <c r="CG356" i="29"/>
  <c r="CH356" i="29"/>
  <c r="CI356" i="29"/>
  <c r="CJ356" i="29"/>
  <c r="CK356" i="29"/>
  <c r="CL356" i="29"/>
  <c r="CM356" i="29"/>
  <c r="CN356" i="29"/>
  <c r="CO356" i="29"/>
  <c r="CP356" i="29"/>
  <c r="CQ356" i="29"/>
  <c r="CR356" i="29"/>
  <c r="CS356" i="29"/>
  <c r="CT356" i="29"/>
  <c r="CU356" i="29"/>
  <c r="CV356" i="29"/>
  <c r="CW356" i="29"/>
  <c r="CX356" i="29"/>
  <c r="CY356" i="29"/>
  <c r="CZ356" i="29"/>
  <c r="DA356" i="29"/>
  <c r="DB356" i="29"/>
  <c r="DC356" i="29"/>
  <c r="DD356" i="29"/>
  <c r="DE356" i="29"/>
  <c r="DF356" i="29"/>
  <c r="DG356" i="29"/>
  <c r="DH356" i="29"/>
  <c r="DI356" i="29"/>
  <c r="DJ356" i="29"/>
  <c r="DK356" i="29"/>
  <c r="DL356" i="29"/>
  <c r="DM356" i="29"/>
  <c r="DN356" i="29"/>
  <c r="DO356" i="29"/>
  <c r="DP356" i="29"/>
  <c r="DQ356" i="29"/>
  <c r="DR356" i="29"/>
  <c r="DS356" i="29"/>
  <c r="DT356" i="29"/>
  <c r="DU356" i="29"/>
  <c r="DV356" i="29"/>
  <c r="DW356" i="29"/>
  <c r="CG357" i="29"/>
  <c r="CH357" i="29"/>
  <c r="CI357" i="29"/>
  <c r="CJ357" i="29"/>
  <c r="CK357" i="29"/>
  <c r="CL357" i="29"/>
  <c r="CM357" i="29"/>
  <c r="CN357" i="29"/>
  <c r="CO357" i="29"/>
  <c r="CP357" i="29"/>
  <c r="CQ357" i="29"/>
  <c r="CR357" i="29"/>
  <c r="CS357" i="29"/>
  <c r="CT357" i="29"/>
  <c r="CU357" i="29"/>
  <c r="CV357" i="29"/>
  <c r="CW357" i="29"/>
  <c r="CX357" i="29"/>
  <c r="CY357" i="29"/>
  <c r="CZ357" i="29"/>
  <c r="DA357" i="29"/>
  <c r="DB357" i="29"/>
  <c r="DC357" i="29"/>
  <c r="DD357" i="29"/>
  <c r="DE357" i="29"/>
  <c r="DF357" i="29"/>
  <c r="DG357" i="29"/>
  <c r="DH357" i="29"/>
  <c r="DI357" i="29"/>
  <c r="DJ357" i="29"/>
  <c r="DK357" i="29"/>
  <c r="DL357" i="29"/>
  <c r="DM357" i="29"/>
  <c r="DN357" i="29"/>
  <c r="DO357" i="29"/>
  <c r="DP357" i="29"/>
  <c r="DQ357" i="29"/>
  <c r="DR357" i="29"/>
  <c r="DS357" i="29"/>
  <c r="DT357" i="29"/>
  <c r="DU357" i="29"/>
  <c r="DV357" i="29"/>
  <c r="DW357" i="29"/>
  <c r="CG358" i="29"/>
  <c r="CH358" i="29"/>
  <c r="CI358" i="29"/>
  <c r="CJ358" i="29"/>
  <c r="CK358" i="29"/>
  <c r="CL358" i="29"/>
  <c r="CM358" i="29"/>
  <c r="CN358" i="29"/>
  <c r="CO358" i="29"/>
  <c r="CP358" i="29"/>
  <c r="CQ358" i="29"/>
  <c r="CR358" i="29"/>
  <c r="CS358" i="29"/>
  <c r="CT358" i="29"/>
  <c r="CU358" i="29"/>
  <c r="CV358" i="29"/>
  <c r="CW358" i="29"/>
  <c r="CX358" i="29"/>
  <c r="CY358" i="29"/>
  <c r="CZ358" i="29"/>
  <c r="DA358" i="29"/>
  <c r="DB358" i="29"/>
  <c r="DC358" i="29"/>
  <c r="DD358" i="29"/>
  <c r="DE358" i="29"/>
  <c r="DF358" i="29"/>
  <c r="DG358" i="29"/>
  <c r="DH358" i="29"/>
  <c r="DI358" i="29"/>
  <c r="DJ358" i="29"/>
  <c r="DK358" i="29"/>
  <c r="DL358" i="29"/>
  <c r="DM358" i="29"/>
  <c r="DN358" i="29"/>
  <c r="DO358" i="29"/>
  <c r="DP358" i="29"/>
  <c r="DQ358" i="29"/>
  <c r="DR358" i="29"/>
  <c r="DS358" i="29"/>
  <c r="DT358" i="29"/>
  <c r="DU358" i="29"/>
  <c r="DV358" i="29"/>
  <c r="DW358" i="29"/>
  <c r="CG359" i="29"/>
  <c r="CH359" i="29"/>
  <c r="CI359" i="29"/>
  <c r="CJ359" i="29"/>
  <c r="CK359" i="29"/>
  <c r="CL359" i="29"/>
  <c r="CM359" i="29"/>
  <c r="CN359" i="29"/>
  <c r="CO359" i="29"/>
  <c r="CP359" i="29"/>
  <c r="CQ359" i="29"/>
  <c r="CR359" i="29"/>
  <c r="CS359" i="29"/>
  <c r="CT359" i="29"/>
  <c r="CU359" i="29"/>
  <c r="CV359" i="29"/>
  <c r="CW359" i="29"/>
  <c r="CX359" i="29"/>
  <c r="CY359" i="29"/>
  <c r="CZ359" i="29"/>
  <c r="DA359" i="29"/>
  <c r="DB359" i="29"/>
  <c r="DC359" i="29"/>
  <c r="DD359" i="29"/>
  <c r="DE359" i="29"/>
  <c r="DF359" i="29"/>
  <c r="DG359" i="29"/>
  <c r="DH359" i="29"/>
  <c r="DI359" i="29"/>
  <c r="DJ359" i="29"/>
  <c r="DK359" i="29"/>
  <c r="DL359" i="29"/>
  <c r="DM359" i="29"/>
  <c r="DN359" i="29"/>
  <c r="DO359" i="29"/>
  <c r="DP359" i="29"/>
  <c r="DQ359" i="29"/>
  <c r="DR359" i="29"/>
  <c r="DS359" i="29"/>
  <c r="DT359" i="29"/>
  <c r="DU359" i="29"/>
  <c r="DV359" i="29"/>
  <c r="DW359" i="29"/>
  <c r="CG360" i="29"/>
  <c r="CH360" i="29"/>
  <c r="CI360" i="29"/>
  <c r="CJ360" i="29"/>
  <c r="CK360" i="29"/>
  <c r="CL360" i="29"/>
  <c r="CM360" i="29"/>
  <c r="CN360" i="29"/>
  <c r="CO360" i="29"/>
  <c r="CP360" i="29"/>
  <c r="CQ360" i="29"/>
  <c r="CR360" i="29"/>
  <c r="CS360" i="29"/>
  <c r="CT360" i="29"/>
  <c r="CU360" i="29"/>
  <c r="CV360" i="29"/>
  <c r="CW360" i="29"/>
  <c r="CX360" i="29"/>
  <c r="CY360" i="29"/>
  <c r="CZ360" i="29"/>
  <c r="DA360" i="29"/>
  <c r="DB360" i="29"/>
  <c r="DC360" i="29"/>
  <c r="DD360" i="29"/>
  <c r="DE360" i="29"/>
  <c r="DF360" i="29"/>
  <c r="DG360" i="29"/>
  <c r="DH360" i="29"/>
  <c r="DI360" i="29"/>
  <c r="DJ360" i="29"/>
  <c r="DK360" i="29"/>
  <c r="DL360" i="29"/>
  <c r="DM360" i="29"/>
  <c r="DN360" i="29"/>
  <c r="DO360" i="29"/>
  <c r="DP360" i="29"/>
  <c r="DQ360" i="29"/>
  <c r="DR360" i="29"/>
  <c r="DS360" i="29"/>
  <c r="DT360" i="29"/>
  <c r="DU360" i="29"/>
  <c r="DV360" i="29"/>
  <c r="DW360" i="29"/>
  <c r="CG361" i="29"/>
  <c r="CH361" i="29"/>
  <c r="CI361" i="29"/>
  <c r="CJ361" i="29"/>
  <c r="CK361" i="29"/>
  <c r="CL361" i="29"/>
  <c r="CM361" i="29"/>
  <c r="CN361" i="29"/>
  <c r="CO361" i="29"/>
  <c r="CP361" i="29"/>
  <c r="CQ361" i="29"/>
  <c r="CR361" i="29"/>
  <c r="CS361" i="29"/>
  <c r="CT361" i="29"/>
  <c r="CU361" i="29"/>
  <c r="CV361" i="29"/>
  <c r="CW361" i="29"/>
  <c r="CX361" i="29"/>
  <c r="CY361" i="29"/>
  <c r="CZ361" i="29"/>
  <c r="DA361" i="29"/>
  <c r="DB361" i="29"/>
  <c r="DC361" i="29"/>
  <c r="DD361" i="29"/>
  <c r="DE361" i="29"/>
  <c r="DF361" i="29"/>
  <c r="DG361" i="29"/>
  <c r="DH361" i="29"/>
  <c r="DI361" i="29"/>
  <c r="DJ361" i="29"/>
  <c r="DK361" i="29"/>
  <c r="DL361" i="29"/>
  <c r="DM361" i="29"/>
  <c r="DN361" i="29"/>
  <c r="DO361" i="29"/>
  <c r="DP361" i="29"/>
  <c r="DQ361" i="29"/>
  <c r="DR361" i="29"/>
  <c r="DS361" i="29"/>
  <c r="DT361" i="29"/>
  <c r="DU361" i="29"/>
  <c r="DV361" i="29"/>
  <c r="DW361" i="29"/>
  <c r="CG362" i="29"/>
  <c r="CH362" i="29"/>
  <c r="CI362" i="29"/>
  <c r="CJ362" i="29"/>
  <c r="CK362" i="29"/>
  <c r="CL362" i="29"/>
  <c r="CM362" i="29"/>
  <c r="CN362" i="29"/>
  <c r="CO362" i="29"/>
  <c r="CP362" i="29"/>
  <c r="CQ362" i="29"/>
  <c r="CR362" i="29"/>
  <c r="CS362" i="29"/>
  <c r="CT362" i="29"/>
  <c r="CU362" i="29"/>
  <c r="CV362" i="29"/>
  <c r="CW362" i="29"/>
  <c r="CX362" i="29"/>
  <c r="CY362" i="29"/>
  <c r="CZ362" i="29"/>
  <c r="DA362" i="29"/>
  <c r="DB362" i="29"/>
  <c r="DC362" i="29"/>
  <c r="DD362" i="29"/>
  <c r="DE362" i="29"/>
  <c r="DF362" i="29"/>
  <c r="DG362" i="29"/>
  <c r="DH362" i="29"/>
  <c r="DI362" i="29"/>
  <c r="DJ362" i="29"/>
  <c r="DK362" i="29"/>
  <c r="DL362" i="29"/>
  <c r="DM362" i="29"/>
  <c r="DN362" i="29"/>
  <c r="DO362" i="29"/>
  <c r="DP362" i="29"/>
  <c r="DQ362" i="29"/>
  <c r="DR362" i="29"/>
  <c r="DS362" i="29"/>
  <c r="DT362" i="29"/>
  <c r="DU362" i="29"/>
  <c r="DV362" i="29"/>
  <c r="DW362" i="29"/>
  <c r="CG363" i="29"/>
  <c r="CH363" i="29"/>
  <c r="CI363" i="29"/>
  <c r="CJ363" i="29"/>
  <c r="CK363" i="29"/>
  <c r="CL363" i="29"/>
  <c r="CM363" i="29"/>
  <c r="CN363" i="29"/>
  <c r="CO363" i="29"/>
  <c r="CP363" i="29"/>
  <c r="CQ363" i="29"/>
  <c r="CR363" i="29"/>
  <c r="CS363" i="29"/>
  <c r="CT363" i="29"/>
  <c r="CU363" i="29"/>
  <c r="CV363" i="29"/>
  <c r="CW363" i="29"/>
  <c r="CX363" i="29"/>
  <c r="CY363" i="29"/>
  <c r="CZ363" i="29"/>
  <c r="DA363" i="29"/>
  <c r="DB363" i="29"/>
  <c r="DC363" i="29"/>
  <c r="DD363" i="29"/>
  <c r="DE363" i="29"/>
  <c r="DF363" i="29"/>
  <c r="DG363" i="29"/>
  <c r="DH363" i="29"/>
  <c r="DI363" i="29"/>
  <c r="DJ363" i="29"/>
  <c r="DK363" i="29"/>
  <c r="DL363" i="29"/>
  <c r="DM363" i="29"/>
  <c r="DN363" i="29"/>
  <c r="DO363" i="29"/>
  <c r="DP363" i="29"/>
  <c r="DQ363" i="29"/>
  <c r="DR363" i="29"/>
  <c r="DS363" i="29"/>
  <c r="DT363" i="29"/>
  <c r="DU363" i="29"/>
  <c r="DV363" i="29"/>
  <c r="DW363" i="29"/>
  <c r="CG364" i="29"/>
  <c r="CH364" i="29"/>
  <c r="CI364" i="29"/>
  <c r="CJ364" i="29"/>
  <c r="CK364" i="29"/>
  <c r="CL364" i="29"/>
  <c r="CM364" i="29"/>
  <c r="CN364" i="29"/>
  <c r="CO364" i="29"/>
  <c r="CP364" i="29"/>
  <c r="CQ364" i="29"/>
  <c r="CR364" i="29"/>
  <c r="CS364" i="29"/>
  <c r="CT364" i="29"/>
  <c r="CU364" i="29"/>
  <c r="CV364" i="29"/>
  <c r="CW364" i="29"/>
  <c r="CX364" i="29"/>
  <c r="CY364" i="29"/>
  <c r="CZ364" i="29"/>
  <c r="DA364" i="29"/>
  <c r="DB364" i="29"/>
  <c r="DC364" i="29"/>
  <c r="DD364" i="29"/>
  <c r="DE364" i="29"/>
  <c r="DF364" i="29"/>
  <c r="DG364" i="29"/>
  <c r="DH364" i="29"/>
  <c r="DI364" i="29"/>
  <c r="DJ364" i="29"/>
  <c r="DK364" i="29"/>
  <c r="DL364" i="29"/>
  <c r="DM364" i="29"/>
  <c r="DN364" i="29"/>
  <c r="DO364" i="29"/>
  <c r="DP364" i="29"/>
  <c r="DQ364" i="29"/>
  <c r="DR364" i="29"/>
  <c r="DS364" i="29"/>
  <c r="DT364" i="29"/>
  <c r="DU364" i="29"/>
  <c r="DV364" i="29"/>
  <c r="DW364" i="29"/>
  <c r="CG365" i="29"/>
  <c r="CH365" i="29"/>
  <c r="CI365" i="29"/>
  <c r="CJ365" i="29"/>
  <c r="CK365" i="29"/>
  <c r="CL365" i="29"/>
  <c r="CM365" i="29"/>
  <c r="CN365" i="29"/>
  <c r="CO365" i="29"/>
  <c r="CP365" i="29"/>
  <c r="CQ365" i="29"/>
  <c r="CR365" i="29"/>
  <c r="CS365" i="29"/>
  <c r="CT365" i="29"/>
  <c r="CU365" i="29"/>
  <c r="CV365" i="29"/>
  <c r="CW365" i="29"/>
  <c r="CX365" i="29"/>
  <c r="CY365" i="29"/>
  <c r="CZ365" i="29"/>
  <c r="DA365" i="29"/>
  <c r="DB365" i="29"/>
  <c r="DC365" i="29"/>
  <c r="DD365" i="29"/>
  <c r="DE365" i="29"/>
  <c r="DF365" i="29"/>
  <c r="DG365" i="29"/>
  <c r="DH365" i="29"/>
  <c r="DI365" i="29"/>
  <c r="DJ365" i="29"/>
  <c r="DK365" i="29"/>
  <c r="DL365" i="29"/>
  <c r="DM365" i="29"/>
  <c r="DN365" i="29"/>
  <c r="DO365" i="29"/>
  <c r="DP365" i="29"/>
  <c r="DQ365" i="29"/>
  <c r="DR365" i="29"/>
  <c r="DS365" i="29"/>
  <c r="DT365" i="29"/>
  <c r="DU365" i="29"/>
  <c r="DV365" i="29"/>
  <c r="DW365" i="29"/>
  <c r="CG366" i="29"/>
  <c r="CH366" i="29"/>
  <c r="CI366" i="29"/>
  <c r="CJ366" i="29"/>
  <c r="CK366" i="29"/>
  <c r="CL366" i="29"/>
  <c r="CM366" i="29"/>
  <c r="CN366" i="29"/>
  <c r="CO366" i="29"/>
  <c r="CP366" i="29"/>
  <c r="CQ366" i="29"/>
  <c r="CR366" i="29"/>
  <c r="CS366" i="29"/>
  <c r="CT366" i="29"/>
  <c r="CU366" i="29"/>
  <c r="CV366" i="29"/>
  <c r="CW366" i="29"/>
  <c r="CX366" i="29"/>
  <c r="CY366" i="29"/>
  <c r="CZ366" i="29"/>
  <c r="DA366" i="29"/>
  <c r="DB366" i="29"/>
  <c r="DC366" i="29"/>
  <c r="DD366" i="29"/>
  <c r="DE366" i="29"/>
  <c r="DF366" i="29"/>
  <c r="DG366" i="29"/>
  <c r="DH366" i="29"/>
  <c r="DI366" i="29"/>
  <c r="DJ366" i="29"/>
  <c r="DK366" i="29"/>
  <c r="DL366" i="29"/>
  <c r="DM366" i="29"/>
  <c r="DN366" i="29"/>
  <c r="DO366" i="29"/>
  <c r="DP366" i="29"/>
  <c r="DQ366" i="29"/>
  <c r="DR366" i="29"/>
  <c r="DS366" i="29"/>
  <c r="DT366" i="29"/>
  <c r="DU366" i="29"/>
  <c r="DV366" i="29"/>
  <c r="DW366" i="29"/>
  <c r="CG367" i="29"/>
  <c r="CH367" i="29"/>
  <c r="CI367" i="29"/>
  <c r="CJ367" i="29"/>
  <c r="CK367" i="29"/>
  <c r="CL367" i="29"/>
  <c r="CM367" i="29"/>
  <c r="CN367" i="29"/>
  <c r="CO367" i="29"/>
  <c r="CP367" i="29"/>
  <c r="CQ367" i="29"/>
  <c r="CR367" i="29"/>
  <c r="CS367" i="29"/>
  <c r="CT367" i="29"/>
  <c r="CU367" i="29"/>
  <c r="CV367" i="29"/>
  <c r="CW367" i="29"/>
  <c r="CX367" i="29"/>
  <c r="CY367" i="29"/>
  <c r="CZ367" i="29"/>
  <c r="DA367" i="29"/>
  <c r="DB367" i="29"/>
  <c r="DC367" i="29"/>
  <c r="DD367" i="29"/>
  <c r="DE367" i="29"/>
  <c r="DF367" i="29"/>
  <c r="DG367" i="29"/>
  <c r="DH367" i="29"/>
  <c r="DI367" i="29"/>
  <c r="DJ367" i="29"/>
  <c r="DK367" i="29"/>
  <c r="DL367" i="29"/>
  <c r="DM367" i="29"/>
  <c r="DN367" i="29"/>
  <c r="DO367" i="29"/>
  <c r="DP367" i="29"/>
  <c r="DQ367" i="29"/>
  <c r="DR367" i="29"/>
  <c r="DS367" i="29"/>
  <c r="DT367" i="29"/>
  <c r="DU367" i="29"/>
  <c r="DV367" i="29"/>
  <c r="DW367" i="29"/>
  <c r="CG368" i="29"/>
  <c r="CH368" i="29"/>
  <c r="CI368" i="29"/>
  <c r="CJ368" i="29"/>
  <c r="CK368" i="29"/>
  <c r="CL368" i="29"/>
  <c r="CM368" i="29"/>
  <c r="CN368" i="29"/>
  <c r="CO368" i="29"/>
  <c r="CP368" i="29"/>
  <c r="CQ368" i="29"/>
  <c r="CR368" i="29"/>
  <c r="CS368" i="29"/>
  <c r="CT368" i="29"/>
  <c r="CU368" i="29"/>
  <c r="CV368" i="29"/>
  <c r="CW368" i="29"/>
  <c r="CX368" i="29"/>
  <c r="CY368" i="29"/>
  <c r="CZ368" i="29"/>
  <c r="DA368" i="29"/>
  <c r="DB368" i="29"/>
  <c r="DC368" i="29"/>
  <c r="DD368" i="29"/>
  <c r="DE368" i="29"/>
  <c r="DF368" i="29"/>
  <c r="DG368" i="29"/>
  <c r="DH368" i="29"/>
  <c r="DI368" i="29"/>
  <c r="DJ368" i="29"/>
  <c r="DK368" i="29"/>
  <c r="DL368" i="29"/>
  <c r="DM368" i="29"/>
  <c r="DN368" i="29"/>
  <c r="DO368" i="29"/>
  <c r="DP368" i="29"/>
  <c r="DQ368" i="29"/>
  <c r="DR368" i="29"/>
  <c r="DS368" i="29"/>
  <c r="DT368" i="29"/>
  <c r="DU368" i="29"/>
  <c r="DV368" i="29"/>
  <c r="DW368" i="29"/>
  <c r="CG369" i="29"/>
  <c r="CH369" i="29"/>
  <c r="CI369" i="29"/>
  <c r="CJ369" i="29"/>
  <c r="CK369" i="29"/>
  <c r="CL369" i="29"/>
  <c r="CM369" i="29"/>
  <c r="CN369" i="29"/>
  <c r="CO369" i="29"/>
  <c r="CP369" i="29"/>
  <c r="CQ369" i="29"/>
  <c r="CR369" i="29"/>
  <c r="CS369" i="29"/>
  <c r="CT369" i="29"/>
  <c r="CU369" i="29"/>
  <c r="CV369" i="29"/>
  <c r="CW369" i="29"/>
  <c r="CX369" i="29"/>
  <c r="CY369" i="29"/>
  <c r="CZ369" i="29"/>
  <c r="DA369" i="29"/>
  <c r="DB369" i="29"/>
  <c r="DC369" i="29"/>
  <c r="DD369" i="29"/>
  <c r="DE369" i="29"/>
  <c r="DF369" i="29"/>
  <c r="DG369" i="29"/>
  <c r="DH369" i="29"/>
  <c r="DI369" i="29"/>
  <c r="DJ369" i="29"/>
  <c r="DK369" i="29"/>
  <c r="DL369" i="29"/>
  <c r="DM369" i="29"/>
  <c r="DN369" i="29"/>
  <c r="DO369" i="29"/>
  <c r="DP369" i="29"/>
  <c r="DQ369" i="29"/>
  <c r="DR369" i="29"/>
  <c r="DS369" i="29"/>
  <c r="DT369" i="29"/>
  <c r="DU369" i="29"/>
  <c r="DV369" i="29"/>
  <c r="DW369" i="29"/>
  <c r="CG370" i="29"/>
  <c r="CH370" i="29"/>
  <c r="CI370" i="29"/>
  <c r="CJ370" i="29"/>
  <c r="CK370" i="29"/>
  <c r="CL370" i="29"/>
  <c r="CM370" i="29"/>
  <c r="CN370" i="29"/>
  <c r="CO370" i="29"/>
  <c r="CP370" i="29"/>
  <c r="CQ370" i="29"/>
  <c r="CR370" i="29"/>
  <c r="CS370" i="29"/>
  <c r="CT370" i="29"/>
  <c r="CU370" i="29"/>
  <c r="CV370" i="29"/>
  <c r="CW370" i="29"/>
  <c r="CX370" i="29"/>
  <c r="CY370" i="29"/>
  <c r="CZ370" i="29"/>
  <c r="DA370" i="29"/>
  <c r="DB370" i="29"/>
  <c r="DC370" i="29"/>
  <c r="DD370" i="29"/>
  <c r="DE370" i="29"/>
  <c r="DF370" i="29"/>
  <c r="DG370" i="29"/>
  <c r="DH370" i="29"/>
  <c r="DI370" i="29"/>
  <c r="DJ370" i="29"/>
  <c r="DK370" i="29"/>
  <c r="DL370" i="29"/>
  <c r="DM370" i="29"/>
  <c r="DN370" i="29"/>
  <c r="DO370" i="29"/>
  <c r="DP370" i="29"/>
  <c r="DQ370" i="29"/>
  <c r="DR370" i="29"/>
  <c r="DS370" i="29"/>
  <c r="DT370" i="29"/>
  <c r="DU370" i="29"/>
  <c r="DV370" i="29"/>
  <c r="DW370" i="29"/>
  <c r="CG371" i="29"/>
  <c r="CH371" i="29"/>
  <c r="CI371" i="29"/>
  <c r="CJ371" i="29"/>
  <c r="CK371" i="29"/>
  <c r="CL371" i="29"/>
  <c r="CM371" i="29"/>
  <c r="CN371" i="29"/>
  <c r="CO371" i="29"/>
  <c r="CP371" i="29"/>
  <c r="CQ371" i="29"/>
  <c r="CR371" i="29"/>
  <c r="CS371" i="29"/>
  <c r="CT371" i="29"/>
  <c r="CU371" i="29"/>
  <c r="CV371" i="29"/>
  <c r="CW371" i="29"/>
  <c r="CX371" i="29"/>
  <c r="CY371" i="29"/>
  <c r="CZ371" i="29"/>
  <c r="DA371" i="29"/>
  <c r="DB371" i="29"/>
  <c r="DC371" i="29"/>
  <c r="DD371" i="29"/>
  <c r="DE371" i="29"/>
  <c r="DF371" i="29"/>
  <c r="DG371" i="29"/>
  <c r="DH371" i="29"/>
  <c r="DI371" i="29"/>
  <c r="DJ371" i="29"/>
  <c r="DK371" i="29"/>
  <c r="DL371" i="29"/>
  <c r="DM371" i="29"/>
  <c r="DN371" i="29"/>
  <c r="DO371" i="29"/>
  <c r="DP371" i="29"/>
  <c r="DQ371" i="29"/>
  <c r="DR371" i="29"/>
  <c r="DS371" i="29"/>
  <c r="DT371" i="29"/>
  <c r="DU371" i="29"/>
  <c r="DV371" i="29"/>
  <c r="DW371" i="29"/>
  <c r="CG372" i="29"/>
  <c r="CH372" i="29"/>
  <c r="CI372" i="29"/>
  <c r="CJ372" i="29"/>
  <c r="CK372" i="29"/>
  <c r="CL372" i="29"/>
  <c r="CM372" i="29"/>
  <c r="CN372" i="29"/>
  <c r="CO372" i="29"/>
  <c r="CP372" i="29"/>
  <c r="CQ372" i="29"/>
  <c r="CR372" i="29"/>
  <c r="CS372" i="29"/>
  <c r="CT372" i="29"/>
  <c r="CU372" i="29"/>
  <c r="CV372" i="29"/>
  <c r="CW372" i="29"/>
  <c r="CX372" i="29"/>
  <c r="CY372" i="29"/>
  <c r="CZ372" i="29"/>
  <c r="DA372" i="29"/>
  <c r="DB372" i="29"/>
  <c r="DC372" i="29"/>
  <c r="DD372" i="29"/>
  <c r="DE372" i="29"/>
  <c r="DF372" i="29"/>
  <c r="DG372" i="29"/>
  <c r="DH372" i="29"/>
  <c r="DI372" i="29"/>
  <c r="DJ372" i="29"/>
  <c r="DK372" i="29"/>
  <c r="DL372" i="29"/>
  <c r="DM372" i="29"/>
  <c r="DN372" i="29"/>
  <c r="DO372" i="29"/>
  <c r="DP372" i="29"/>
  <c r="DQ372" i="29"/>
  <c r="DR372" i="29"/>
  <c r="DS372" i="29"/>
  <c r="DT372" i="29"/>
  <c r="DU372" i="29"/>
  <c r="DV372" i="29"/>
  <c r="DW372" i="29"/>
  <c r="CG373" i="29"/>
  <c r="CH373" i="29"/>
  <c r="CI373" i="29"/>
  <c r="CJ373" i="29"/>
  <c r="CK373" i="29"/>
  <c r="CL373" i="29"/>
  <c r="CM373" i="29"/>
  <c r="CN373" i="29"/>
  <c r="CO373" i="29"/>
  <c r="CP373" i="29"/>
  <c r="CQ373" i="29"/>
  <c r="CR373" i="29"/>
  <c r="CS373" i="29"/>
  <c r="CT373" i="29"/>
  <c r="CU373" i="29"/>
  <c r="CV373" i="29"/>
  <c r="CW373" i="29"/>
  <c r="CX373" i="29"/>
  <c r="CY373" i="29"/>
  <c r="CZ373" i="29"/>
  <c r="DA373" i="29"/>
  <c r="DB373" i="29"/>
  <c r="DC373" i="29"/>
  <c r="DD373" i="29"/>
  <c r="DE373" i="29"/>
  <c r="DF373" i="29"/>
  <c r="DG373" i="29"/>
  <c r="DH373" i="29"/>
  <c r="DI373" i="29"/>
  <c r="DJ373" i="29"/>
  <c r="DK373" i="29"/>
  <c r="DL373" i="29"/>
  <c r="DM373" i="29"/>
  <c r="DN373" i="29"/>
  <c r="DO373" i="29"/>
  <c r="DP373" i="29"/>
  <c r="DQ373" i="29"/>
  <c r="DR373" i="29"/>
  <c r="DS373" i="29"/>
  <c r="DT373" i="29"/>
  <c r="DU373" i="29"/>
  <c r="DV373" i="29"/>
  <c r="DW373" i="29"/>
  <c r="CG374" i="29"/>
  <c r="CH374" i="29"/>
  <c r="CI374" i="29"/>
  <c r="CJ374" i="29"/>
  <c r="CK374" i="29"/>
  <c r="CL374" i="29"/>
  <c r="CM374" i="29"/>
  <c r="CN374" i="29"/>
  <c r="CO374" i="29"/>
  <c r="CP374" i="29"/>
  <c r="CQ374" i="29"/>
  <c r="CR374" i="29"/>
  <c r="CS374" i="29"/>
  <c r="CT374" i="29"/>
  <c r="CU374" i="29"/>
  <c r="CV374" i="29"/>
  <c r="CW374" i="29"/>
  <c r="CX374" i="29"/>
  <c r="CY374" i="29"/>
  <c r="CZ374" i="29"/>
  <c r="DA374" i="29"/>
  <c r="DB374" i="29"/>
  <c r="DC374" i="29"/>
  <c r="DD374" i="29"/>
  <c r="DE374" i="29"/>
  <c r="DF374" i="29"/>
  <c r="DG374" i="29"/>
  <c r="DH374" i="29"/>
  <c r="DI374" i="29"/>
  <c r="DJ374" i="29"/>
  <c r="DK374" i="29"/>
  <c r="DL374" i="29"/>
  <c r="DM374" i="29"/>
  <c r="DN374" i="29"/>
  <c r="DO374" i="29"/>
  <c r="DP374" i="29"/>
  <c r="DQ374" i="29"/>
  <c r="DR374" i="29"/>
  <c r="DS374" i="29"/>
  <c r="DT374" i="29"/>
  <c r="DU374" i="29"/>
  <c r="DV374" i="29"/>
  <c r="DW374" i="29"/>
  <c r="CG375" i="29"/>
  <c r="CH375" i="29"/>
  <c r="CI375" i="29"/>
  <c r="CJ375" i="29"/>
  <c r="CK375" i="29"/>
  <c r="CL375" i="29"/>
  <c r="CM375" i="29"/>
  <c r="CN375" i="29"/>
  <c r="CO375" i="29"/>
  <c r="CP375" i="29"/>
  <c r="CQ375" i="29"/>
  <c r="CR375" i="29"/>
  <c r="CS375" i="29"/>
  <c r="CT375" i="29"/>
  <c r="CU375" i="29"/>
  <c r="CV375" i="29"/>
  <c r="CW375" i="29"/>
  <c r="CX375" i="29"/>
  <c r="CY375" i="29"/>
  <c r="CZ375" i="29"/>
  <c r="DA375" i="29"/>
  <c r="DB375" i="29"/>
  <c r="DC375" i="29"/>
  <c r="DD375" i="29"/>
  <c r="DE375" i="29"/>
  <c r="DF375" i="29"/>
  <c r="DG375" i="29"/>
  <c r="DH375" i="29"/>
  <c r="DI375" i="29"/>
  <c r="DJ375" i="29"/>
  <c r="DK375" i="29"/>
  <c r="DL375" i="29"/>
  <c r="DM375" i="29"/>
  <c r="DN375" i="29"/>
  <c r="DO375" i="29"/>
  <c r="DP375" i="29"/>
  <c r="DQ375" i="29"/>
  <c r="DR375" i="29"/>
  <c r="DS375" i="29"/>
  <c r="DT375" i="29"/>
  <c r="DU375" i="29"/>
  <c r="DV375" i="29"/>
  <c r="DW375" i="29"/>
  <c r="CG376" i="29"/>
  <c r="CH376" i="29"/>
  <c r="CI376" i="29"/>
  <c r="CJ376" i="29"/>
  <c r="CK376" i="29"/>
  <c r="CL376" i="29"/>
  <c r="CM376" i="29"/>
  <c r="CN376" i="29"/>
  <c r="CO376" i="29"/>
  <c r="CP376" i="29"/>
  <c r="CQ376" i="29"/>
  <c r="CR376" i="29"/>
  <c r="CS376" i="29"/>
  <c r="CT376" i="29"/>
  <c r="CU376" i="29"/>
  <c r="CV376" i="29"/>
  <c r="CW376" i="29"/>
  <c r="CX376" i="29"/>
  <c r="CY376" i="29"/>
  <c r="CZ376" i="29"/>
  <c r="DA376" i="29"/>
  <c r="DB376" i="29"/>
  <c r="DC376" i="29"/>
  <c r="DD376" i="29"/>
  <c r="DE376" i="29"/>
  <c r="DF376" i="29"/>
  <c r="DG376" i="29"/>
  <c r="DH376" i="29"/>
  <c r="DI376" i="29"/>
  <c r="DJ376" i="29"/>
  <c r="DK376" i="29"/>
  <c r="DL376" i="29"/>
  <c r="DM376" i="29"/>
  <c r="DN376" i="29"/>
  <c r="DO376" i="29"/>
  <c r="DP376" i="29"/>
  <c r="DQ376" i="29"/>
  <c r="DR376" i="29"/>
  <c r="DS376" i="29"/>
  <c r="DT376" i="29"/>
  <c r="DU376" i="29"/>
  <c r="DV376" i="29"/>
  <c r="DW376" i="29"/>
  <c r="CG377" i="29"/>
  <c r="CH377" i="29"/>
  <c r="CI377" i="29"/>
  <c r="CJ377" i="29"/>
  <c r="CK377" i="29"/>
  <c r="CL377" i="29"/>
  <c r="CM377" i="29"/>
  <c r="CN377" i="29"/>
  <c r="CO377" i="29"/>
  <c r="CP377" i="29"/>
  <c r="CQ377" i="29"/>
  <c r="CR377" i="29"/>
  <c r="CS377" i="29"/>
  <c r="CT377" i="29"/>
  <c r="CU377" i="29"/>
  <c r="CV377" i="29"/>
  <c r="CW377" i="29"/>
  <c r="CX377" i="29"/>
  <c r="CY377" i="29"/>
  <c r="CZ377" i="29"/>
  <c r="DA377" i="29"/>
  <c r="DB377" i="29"/>
  <c r="DC377" i="29"/>
  <c r="DD377" i="29"/>
  <c r="DE377" i="29"/>
  <c r="DF377" i="29"/>
  <c r="DG377" i="29"/>
  <c r="DH377" i="29"/>
  <c r="DI377" i="29"/>
  <c r="DJ377" i="29"/>
  <c r="DK377" i="29"/>
  <c r="DL377" i="29"/>
  <c r="DM377" i="29"/>
  <c r="DN377" i="29"/>
  <c r="DO377" i="29"/>
  <c r="DP377" i="29"/>
  <c r="DQ377" i="29"/>
  <c r="DR377" i="29"/>
  <c r="DS377" i="29"/>
  <c r="DT377" i="29"/>
  <c r="DU377" i="29"/>
  <c r="DV377" i="29"/>
  <c r="DW377" i="29"/>
  <c r="CG378" i="29"/>
  <c r="CH378" i="29"/>
  <c r="CI378" i="29"/>
  <c r="CJ378" i="29"/>
  <c r="CK378" i="29"/>
  <c r="CL378" i="29"/>
  <c r="CM378" i="29"/>
  <c r="CN378" i="29"/>
  <c r="CO378" i="29"/>
  <c r="CP378" i="29"/>
  <c r="CQ378" i="29"/>
  <c r="CR378" i="29"/>
  <c r="CS378" i="29"/>
  <c r="CT378" i="29"/>
  <c r="CU378" i="29"/>
  <c r="CV378" i="29"/>
  <c r="CW378" i="29"/>
  <c r="CX378" i="29"/>
  <c r="CY378" i="29"/>
  <c r="CZ378" i="29"/>
  <c r="DA378" i="29"/>
  <c r="DB378" i="29"/>
  <c r="DC378" i="29"/>
  <c r="DD378" i="29"/>
  <c r="DE378" i="29"/>
  <c r="DF378" i="29"/>
  <c r="DG378" i="29"/>
  <c r="DH378" i="29"/>
  <c r="DI378" i="29"/>
  <c r="DJ378" i="29"/>
  <c r="DK378" i="29"/>
  <c r="DL378" i="29"/>
  <c r="DM378" i="29"/>
  <c r="DN378" i="29"/>
  <c r="DO378" i="29"/>
  <c r="DP378" i="29"/>
  <c r="DQ378" i="29"/>
  <c r="DR378" i="29"/>
  <c r="DS378" i="29"/>
  <c r="DT378" i="29"/>
  <c r="DU378" i="29"/>
  <c r="DV378" i="29"/>
  <c r="DW378" i="29"/>
  <c r="CG379" i="29"/>
  <c r="CH379" i="29"/>
  <c r="CI379" i="29"/>
  <c r="CJ379" i="29"/>
  <c r="CK379" i="29"/>
  <c r="CL379" i="29"/>
  <c r="CM379" i="29"/>
  <c r="CN379" i="29"/>
  <c r="CO379" i="29"/>
  <c r="CP379" i="29"/>
  <c r="CQ379" i="29"/>
  <c r="CR379" i="29"/>
  <c r="CS379" i="29"/>
  <c r="CT379" i="29"/>
  <c r="CU379" i="29"/>
  <c r="CV379" i="29"/>
  <c r="CW379" i="29"/>
  <c r="CX379" i="29"/>
  <c r="CY379" i="29"/>
  <c r="CZ379" i="29"/>
  <c r="DA379" i="29"/>
  <c r="DB379" i="29"/>
  <c r="DC379" i="29"/>
  <c r="DD379" i="29"/>
  <c r="DE379" i="29"/>
  <c r="DF379" i="29"/>
  <c r="DG379" i="29"/>
  <c r="DH379" i="29"/>
  <c r="DI379" i="29"/>
  <c r="DJ379" i="29"/>
  <c r="DK379" i="29"/>
  <c r="DL379" i="29"/>
  <c r="DM379" i="29"/>
  <c r="DN379" i="29"/>
  <c r="DO379" i="29"/>
  <c r="DP379" i="29"/>
  <c r="DQ379" i="29"/>
  <c r="DR379" i="29"/>
  <c r="DS379" i="29"/>
  <c r="DT379" i="29"/>
  <c r="DU379" i="29"/>
  <c r="DV379" i="29"/>
  <c r="DW379" i="29"/>
  <c r="CG380" i="29"/>
  <c r="CH380" i="29"/>
  <c r="CI380" i="29"/>
  <c r="CJ380" i="29"/>
  <c r="CK380" i="29"/>
  <c r="CL380" i="29"/>
  <c r="CM380" i="29"/>
  <c r="CN380" i="29"/>
  <c r="CO380" i="29"/>
  <c r="CP380" i="29"/>
  <c r="CQ380" i="29"/>
  <c r="CR380" i="29"/>
  <c r="CS380" i="29"/>
  <c r="CT380" i="29"/>
  <c r="CU380" i="29"/>
  <c r="CV380" i="29"/>
  <c r="CW380" i="29"/>
  <c r="CX380" i="29"/>
  <c r="CY380" i="29"/>
  <c r="CZ380" i="29"/>
  <c r="DA380" i="29"/>
  <c r="DB380" i="29"/>
  <c r="DC380" i="29"/>
  <c r="DD380" i="29"/>
  <c r="DE380" i="29"/>
  <c r="DF380" i="29"/>
  <c r="DG380" i="29"/>
  <c r="DH380" i="29"/>
  <c r="DI380" i="29"/>
  <c r="DJ380" i="29"/>
  <c r="DK380" i="29"/>
  <c r="DL380" i="29"/>
  <c r="DM380" i="29"/>
  <c r="DN380" i="29"/>
  <c r="DO380" i="29"/>
  <c r="DP380" i="29"/>
  <c r="DQ380" i="29"/>
  <c r="DR380" i="29"/>
  <c r="DS380" i="29"/>
  <c r="DT380" i="29"/>
  <c r="DU380" i="29"/>
  <c r="DV380" i="29"/>
  <c r="DW380" i="29"/>
  <c r="CG381" i="29"/>
  <c r="CH381" i="29"/>
  <c r="CI381" i="29"/>
  <c r="CJ381" i="29"/>
  <c r="CK381" i="29"/>
  <c r="CL381" i="29"/>
  <c r="CM381" i="29"/>
  <c r="CN381" i="29"/>
  <c r="CO381" i="29"/>
  <c r="CP381" i="29"/>
  <c r="CQ381" i="29"/>
  <c r="CR381" i="29"/>
  <c r="CS381" i="29"/>
  <c r="CT381" i="29"/>
  <c r="CU381" i="29"/>
  <c r="CV381" i="29"/>
  <c r="CW381" i="29"/>
  <c r="CX381" i="29"/>
  <c r="CY381" i="29"/>
  <c r="CZ381" i="29"/>
  <c r="DA381" i="29"/>
  <c r="DB381" i="29"/>
  <c r="DC381" i="29"/>
  <c r="DD381" i="29"/>
  <c r="DE381" i="29"/>
  <c r="DF381" i="29"/>
  <c r="DG381" i="29"/>
  <c r="DH381" i="29"/>
  <c r="DI381" i="29"/>
  <c r="DJ381" i="29"/>
  <c r="DK381" i="29"/>
  <c r="DL381" i="29"/>
  <c r="DM381" i="29"/>
  <c r="DN381" i="29"/>
  <c r="DO381" i="29"/>
  <c r="DP381" i="29"/>
  <c r="DQ381" i="29"/>
  <c r="DR381" i="29"/>
  <c r="DS381" i="29"/>
  <c r="DT381" i="29"/>
  <c r="DU381" i="29"/>
  <c r="DV381" i="29"/>
  <c r="DW381" i="29"/>
  <c r="CG382" i="29"/>
  <c r="CH382" i="29"/>
  <c r="CI382" i="29"/>
  <c r="CJ382" i="29"/>
  <c r="CK382" i="29"/>
  <c r="CL382" i="29"/>
  <c r="CM382" i="29"/>
  <c r="CN382" i="29"/>
  <c r="CO382" i="29"/>
  <c r="CP382" i="29"/>
  <c r="CQ382" i="29"/>
  <c r="CR382" i="29"/>
  <c r="CS382" i="29"/>
  <c r="CT382" i="29"/>
  <c r="CU382" i="29"/>
  <c r="CV382" i="29"/>
  <c r="CW382" i="29"/>
  <c r="CX382" i="29"/>
  <c r="CY382" i="29"/>
  <c r="CZ382" i="29"/>
  <c r="DA382" i="29"/>
  <c r="DB382" i="29"/>
  <c r="DC382" i="29"/>
  <c r="DD382" i="29"/>
  <c r="DE382" i="29"/>
  <c r="DF382" i="29"/>
  <c r="DG382" i="29"/>
  <c r="DH382" i="29"/>
  <c r="DI382" i="29"/>
  <c r="DJ382" i="29"/>
  <c r="DK382" i="29"/>
  <c r="DL382" i="29"/>
  <c r="DM382" i="29"/>
  <c r="DN382" i="29"/>
  <c r="DO382" i="29"/>
  <c r="DP382" i="29"/>
  <c r="DQ382" i="29"/>
  <c r="DR382" i="29"/>
  <c r="DS382" i="29"/>
  <c r="DT382" i="29"/>
  <c r="DU382" i="29"/>
  <c r="DV382" i="29"/>
  <c r="DW382" i="29"/>
  <c r="CG383" i="29"/>
  <c r="CH383" i="29"/>
  <c r="CI383" i="29"/>
  <c r="CJ383" i="29"/>
  <c r="CK383" i="29"/>
  <c r="CL383" i="29"/>
  <c r="CM383" i="29"/>
  <c r="CN383" i="29"/>
  <c r="CO383" i="29"/>
  <c r="CP383" i="29"/>
  <c r="CQ383" i="29"/>
  <c r="CR383" i="29"/>
  <c r="CS383" i="29"/>
  <c r="CT383" i="29"/>
  <c r="CU383" i="29"/>
  <c r="CV383" i="29"/>
  <c r="CW383" i="29"/>
  <c r="CX383" i="29"/>
  <c r="CY383" i="29"/>
  <c r="CZ383" i="29"/>
  <c r="DA383" i="29"/>
  <c r="DB383" i="29"/>
  <c r="DC383" i="29"/>
  <c r="DD383" i="29"/>
  <c r="DE383" i="29"/>
  <c r="DF383" i="29"/>
  <c r="DG383" i="29"/>
  <c r="DH383" i="29"/>
  <c r="DI383" i="29"/>
  <c r="DJ383" i="29"/>
  <c r="DK383" i="29"/>
  <c r="DL383" i="29"/>
  <c r="DM383" i="29"/>
  <c r="DN383" i="29"/>
  <c r="DO383" i="29"/>
  <c r="DP383" i="29"/>
  <c r="DQ383" i="29"/>
  <c r="DR383" i="29"/>
  <c r="DS383" i="29"/>
  <c r="DT383" i="29"/>
  <c r="DU383" i="29"/>
  <c r="DV383" i="29"/>
  <c r="DW383" i="29"/>
  <c r="CG384" i="29"/>
  <c r="CH384" i="29"/>
  <c r="CI384" i="29"/>
  <c r="CJ384" i="29"/>
  <c r="CK384" i="29"/>
  <c r="CL384" i="29"/>
  <c r="CM384" i="29"/>
  <c r="CN384" i="29"/>
  <c r="CO384" i="29"/>
  <c r="CP384" i="29"/>
  <c r="CQ384" i="29"/>
  <c r="CR384" i="29"/>
  <c r="CS384" i="29"/>
  <c r="CT384" i="29"/>
  <c r="CU384" i="29"/>
  <c r="CV384" i="29"/>
  <c r="CW384" i="29"/>
  <c r="CX384" i="29"/>
  <c r="CY384" i="29"/>
  <c r="CZ384" i="29"/>
  <c r="DA384" i="29"/>
  <c r="DB384" i="29"/>
  <c r="DC384" i="29"/>
  <c r="DD384" i="29"/>
  <c r="DE384" i="29"/>
  <c r="DF384" i="29"/>
  <c r="DG384" i="29"/>
  <c r="DH384" i="29"/>
  <c r="DI384" i="29"/>
  <c r="DJ384" i="29"/>
  <c r="DK384" i="29"/>
  <c r="DL384" i="29"/>
  <c r="DM384" i="29"/>
  <c r="DN384" i="29"/>
  <c r="DO384" i="29"/>
  <c r="DP384" i="29"/>
  <c r="DQ384" i="29"/>
  <c r="DR384" i="29"/>
  <c r="DS384" i="29"/>
  <c r="DT384" i="29"/>
  <c r="DU384" i="29"/>
  <c r="DV384" i="29"/>
  <c r="DW384" i="29"/>
  <c r="CG385" i="29"/>
  <c r="CH385" i="29"/>
  <c r="CI385" i="29"/>
  <c r="CJ385" i="29"/>
  <c r="CK385" i="29"/>
  <c r="CL385" i="29"/>
  <c r="CM385" i="29"/>
  <c r="CN385" i="29"/>
  <c r="CO385" i="29"/>
  <c r="CP385" i="29"/>
  <c r="CQ385" i="29"/>
  <c r="CR385" i="29"/>
  <c r="CS385" i="29"/>
  <c r="CT385" i="29"/>
  <c r="CU385" i="29"/>
  <c r="CV385" i="29"/>
  <c r="CW385" i="29"/>
  <c r="CX385" i="29"/>
  <c r="CY385" i="29"/>
  <c r="CZ385" i="29"/>
  <c r="DA385" i="29"/>
  <c r="DB385" i="29"/>
  <c r="DC385" i="29"/>
  <c r="DD385" i="29"/>
  <c r="DE385" i="29"/>
  <c r="DF385" i="29"/>
  <c r="DG385" i="29"/>
  <c r="DH385" i="29"/>
  <c r="DI385" i="29"/>
  <c r="DJ385" i="29"/>
  <c r="DK385" i="29"/>
  <c r="DL385" i="29"/>
  <c r="DM385" i="29"/>
  <c r="DN385" i="29"/>
  <c r="DO385" i="29"/>
  <c r="DP385" i="29"/>
  <c r="DQ385" i="29"/>
  <c r="DR385" i="29"/>
  <c r="DS385" i="29"/>
  <c r="DT385" i="29"/>
  <c r="DU385" i="29"/>
  <c r="DV385" i="29"/>
  <c r="DW385" i="29"/>
  <c r="CG386" i="29"/>
  <c r="CH386" i="29"/>
  <c r="CI386" i="29"/>
  <c r="CJ386" i="29"/>
  <c r="CK386" i="29"/>
  <c r="CL386" i="29"/>
  <c r="CM386" i="29"/>
  <c r="CN386" i="29"/>
  <c r="CO386" i="29"/>
  <c r="CP386" i="29"/>
  <c r="CQ386" i="29"/>
  <c r="CR386" i="29"/>
  <c r="CS386" i="29"/>
  <c r="CT386" i="29"/>
  <c r="CU386" i="29"/>
  <c r="CV386" i="29"/>
  <c r="CW386" i="29"/>
  <c r="CX386" i="29"/>
  <c r="CY386" i="29"/>
  <c r="CZ386" i="29"/>
  <c r="DA386" i="29"/>
  <c r="DB386" i="29"/>
  <c r="DC386" i="29"/>
  <c r="DD386" i="29"/>
  <c r="DE386" i="29"/>
  <c r="DF386" i="29"/>
  <c r="DG386" i="29"/>
  <c r="DH386" i="29"/>
  <c r="DI386" i="29"/>
  <c r="DJ386" i="29"/>
  <c r="DK386" i="29"/>
  <c r="DL386" i="29"/>
  <c r="DM386" i="29"/>
  <c r="DN386" i="29"/>
  <c r="DO386" i="29"/>
  <c r="DP386" i="29"/>
  <c r="DQ386" i="29"/>
  <c r="DR386" i="29"/>
  <c r="DS386" i="29"/>
  <c r="DT386" i="29"/>
  <c r="DU386" i="29"/>
  <c r="DV386" i="29"/>
  <c r="DW386" i="29"/>
  <c r="CG387" i="29"/>
  <c r="CH387" i="29"/>
  <c r="CI387" i="29"/>
  <c r="CJ387" i="29"/>
  <c r="CK387" i="29"/>
  <c r="CL387" i="29"/>
  <c r="CM387" i="29"/>
  <c r="CN387" i="29"/>
  <c r="CO387" i="29"/>
  <c r="CP387" i="29"/>
  <c r="CQ387" i="29"/>
  <c r="CR387" i="29"/>
  <c r="CS387" i="29"/>
  <c r="CT387" i="29"/>
  <c r="CU387" i="29"/>
  <c r="CV387" i="29"/>
  <c r="CW387" i="29"/>
  <c r="CX387" i="29"/>
  <c r="CY387" i="29"/>
  <c r="CZ387" i="29"/>
  <c r="DA387" i="29"/>
  <c r="DB387" i="29"/>
  <c r="DC387" i="29"/>
  <c r="DD387" i="29"/>
  <c r="DE387" i="29"/>
  <c r="DF387" i="29"/>
  <c r="DG387" i="29"/>
  <c r="DH387" i="29"/>
  <c r="DI387" i="29"/>
  <c r="DJ387" i="29"/>
  <c r="DK387" i="29"/>
  <c r="DL387" i="29"/>
  <c r="DM387" i="29"/>
  <c r="DN387" i="29"/>
  <c r="DO387" i="29"/>
  <c r="DP387" i="29"/>
  <c r="DQ387" i="29"/>
  <c r="DR387" i="29"/>
  <c r="DS387" i="29"/>
  <c r="DT387" i="29"/>
  <c r="DU387" i="29"/>
  <c r="DV387" i="29"/>
  <c r="DW387" i="29"/>
  <c r="BG343" i="29"/>
  <c r="BH343" i="29"/>
  <c r="BI343" i="29"/>
  <c r="BJ343" i="29"/>
  <c r="BK343" i="29"/>
  <c r="BL343" i="29"/>
  <c r="BM343" i="29"/>
  <c r="BN343" i="29"/>
  <c r="BO343" i="29"/>
  <c r="BP343" i="29"/>
  <c r="BQ343" i="29"/>
  <c r="BR343" i="29"/>
  <c r="BS343" i="29"/>
  <c r="BT343" i="29"/>
  <c r="BU343" i="29"/>
  <c r="BV343" i="29"/>
  <c r="BW343" i="29"/>
  <c r="BX343" i="29"/>
  <c r="BY343" i="29"/>
  <c r="BZ343" i="29"/>
  <c r="CA343" i="29"/>
  <c r="CB343" i="29"/>
  <c r="CC343" i="29"/>
  <c r="CD343" i="29"/>
  <c r="CE343" i="29"/>
  <c r="CF343" i="29"/>
  <c r="BG344" i="29"/>
  <c r="BH344" i="29"/>
  <c r="BI344" i="29"/>
  <c r="BJ344" i="29"/>
  <c r="BK344" i="29"/>
  <c r="BL344" i="29"/>
  <c r="BM344" i="29"/>
  <c r="BN344" i="29"/>
  <c r="BO344" i="29"/>
  <c r="BP344" i="29"/>
  <c r="BQ344" i="29"/>
  <c r="BR344" i="29"/>
  <c r="BS344" i="29"/>
  <c r="BT344" i="29"/>
  <c r="BU344" i="29"/>
  <c r="BV344" i="29"/>
  <c r="BW344" i="29"/>
  <c r="BX344" i="29"/>
  <c r="BY344" i="29"/>
  <c r="BZ344" i="29"/>
  <c r="CA344" i="29"/>
  <c r="CB344" i="29"/>
  <c r="CC344" i="29"/>
  <c r="CD344" i="29"/>
  <c r="CE344" i="29"/>
  <c r="CF344" i="29"/>
  <c r="BG345" i="29"/>
  <c r="BH345" i="29"/>
  <c r="BI345" i="29"/>
  <c r="BJ345" i="29"/>
  <c r="BK345" i="29"/>
  <c r="BL345" i="29"/>
  <c r="BM345" i="29"/>
  <c r="BN345" i="29"/>
  <c r="BO345" i="29"/>
  <c r="BP345" i="29"/>
  <c r="BQ345" i="29"/>
  <c r="BR345" i="29"/>
  <c r="BS345" i="29"/>
  <c r="BT345" i="29"/>
  <c r="BU345" i="29"/>
  <c r="BV345" i="29"/>
  <c r="BW345" i="29"/>
  <c r="BX345" i="29"/>
  <c r="BY345" i="29"/>
  <c r="BZ345" i="29"/>
  <c r="CA345" i="29"/>
  <c r="CB345" i="29"/>
  <c r="CC345" i="29"/>
  <c r="CD345" i="29"/>
  <c r="CE345" i="29"/>
  <c r="CF345" i="29"/>
  <c r="BG346" i="29"/>
  <c r="BH346" i="29"/>
  <c r="BI346" i="29"/>
  <c r="BJ346" i="29"/>
  <c r="BK346" i="29"/>
  <c r="BL346" i="29"/>
  <c r="BM346" i="29"/>
  <c r="BN346" i="29"/>
  <c r="BO346" i="29"/>
  <c r="BP346" i="29"/>
  <c r="BQ346" i="29"/>
  <c r="BR346" i="29"/>
  <c r="BS346" i="29"/>
  <c r="BT346" i="29"/>
  <c r="BU346" i="29"/>
  <c r="BV346" i="29"/>
  <c r="BW346" i="29"/>
  <c r="BX346" i="29"/>
  <c r="BY346" i="29"/>
  <c r="BZ346" i="29"/>
  <c r="CA346" i="29"/>
  <c r="CB346" i="29"/>
  <c r="CC346" i="29"/>
  <c r="CD346" i="29"/>
  <c r="CE346" i="29"/>
  <c r="CF346" i="29"/>
  <c r="BG347" i="29"/>
  <c r="BH347" i="29"/>
  <c r="BI347" i="29"/>
  <c r="BJ347" i="29"/>
  <c r="BK347" i="29"/>
  <c r="BL347" i="29"/>
  <c r="BM347" i="29"/>
  <c r="BN347" i="29"/>
  <c r="BO347" i="29"/>
  <c r="BP347" i="29"/>
  <c r="BQ347" i="29"/>
  <c r="BR347" i="29"/>
  <c r="BS347" i="29"/>
  <c r="BT347" i="29"/>
  <c r="BU347" i="29"/>
  <c r="BV347" i="29"/>
  <c r="BW347" i="29"/>
  <c r="BX347" i="29"/>
  <c r="BY347" i="29"/>
  <c r="BZ347" i="29"/>
  <c r="CA347" i="29"/>
  <c r="CB347" i="29"/>
  <c r="CC347" i="29"/>
  <c r="CD347" i="29"/>
  <c r="CE347" i="29"/>
  <c r="CF347" i="29"/>
  <c r="BG348" i="29"/>
  <c r="BH348" i="29"/>
  <c r="BI348" i="29"/>
  <c r="BJ348" i="29"/>
  <c r="BK348" i="29"/>
  <c r="BL348" i="29"/>
  <c r="BM348" i="29"/>
  <c r="BN348" i="29"/>
  <c r="BO348" i="29"/>
  <c r="BP348" i="29"/>
  <c r="BQ348" i="29"/>
  <c r="BR348" i="29"/>
  <c r="BS348" i="29"/>
  <c r="BT348" i="29"/>
  <c r="BU348" i="29"/>
  <c r="BV348" i="29"/>
  <c r="BW348" i="29"/>
  <c r="BX348" i="29"/>
  <c r="BY348" i="29"/>
  <c r="BZ348" i="29"/>
  <c r="CA348" i="29"/>
  <c r="CB348" i="29"/>
  <c r="CC348" i="29"/>
  <c r="CD348" i="29"/>
  <c r="CE348" i="29"/>
  <c r="CF348" i="29"/>
  <c r="BG349" i="29"/>
  <c r="BH349" i="29"/>
  <c r="BI349" i="29"/>
  <c r="BJ349" i="29"/>
  <c r="BK349" i="29"/>
  <c r="BL349" i="29"/>
  <c r="BM349" i="29"/>
  <c r="BN349" i="29"/>
  <c r="BO349" i="29"/>
  <c r="BP349" i="29"/>
  <c r="BQ349" i="29"/>
  <c r="BR349" i="29"/>
  <c r="BS349" i="29"/>
  <c r="BT349" i="29"/>
  <c r="BU349" i="29"/>
  <c r="BV349" i="29"/>
  <c r="BW349" i="29"/>
  <c r="BX349" i="29"/>
  <c r="BY349" i="29"/>
  <c r="BZ349" i="29"/>
  <c r="CA349" i="29"/>
  <c r="CB349" i="29"/>
  <c r="CC349" i="29"/>
  <c r="CD349" i="29"/>
  <c r="CE349" i="29"/>
  <c r="CF349" i="29"/>
  <c r="BG350" i="29"/>
  <c r="BH350" i="29"/>
  <c r="BI350" i="29"/>
  <c r="BJ350" i="29"/>
  <c r="BK350" i="29"/>
  <c r="BL350" i="29"/>
  <c r="BM350" i="29"/>
  <c r="BN350" i="29"/>
  <c r="BO350" i="29"/>
  <c r="BP350" i="29"/>
  <c r="BQ350" i="29"/>
  <c r="BR350" i="29"/>
  <c r="BS350" i="29"/>
  <c r="BT350" i="29"/>
  <c r="BU350" i="29"/>
  <c r="BV350" i="29"/>
  <c r="BW350" i="29"/>
  <c r="BX350" i="29"/>
  <c r="BY350" i="29"/>
  <c r="BZ350" i="29"/>
  <c r="CA350" i="29"/>
  <c r="CB350" i="29"/>
  <c r="CC350" i="29"/>
  <c r="CD350" i="29"/>
  <c r="CE350" i="29"/>
  <c r="CF350" i="29"/>
  <c r="BG351" i="29"/>
  <c r="BH351" i="29"/>
  <c r="BI351" i="29"/>
  <c r="BJ351" i="29"/>
  <c r="BK351" i="29"/>
  <c r="BL351" i="29"/>
  <c r="BM351" i="29"/>
  <c r="BN351" i="29"/>
  <c r="BO351" i="29"/>
  <c r="BP351" i="29"/>
  <c r="BQ351" i="29"/>
  <c r="BR351" i="29"/>
  <c r="BS351" i="29"/>
  <c r="BT351" i="29"/>
  <c r="BU351" i="29"/>
  <c r="BV351" i="29"/>
  <c r="BW351" i="29"/>
  <c r="BX351" i="29"/>
  <c r="BY351" i="29"/>
  <c r="BZ351" i="29"/>
  <c r="CA351" i="29"/>
  <c r="CB351" i="29"/>
  <c r="CC351" i="29"/>
  <c r="CD351" i="29"/>
  <c r="CE351" i="29"/>
  <c r="CF351" i="29"/>
  <c r="BG352" i="29"/>
  <c r="BH352" i="29"/>
  <c r="BI352" i="29"/>
  <c r="BJ352" i="29"/>
  <c r="BK352" i="29"/>
  <c r="BL352" i="29"/>
  <c r="BM352" i="29"/>
  <c r="BN352" i="29"/>
  <c r="BO352" i="29"/>
  <c r="BP352" i="29"/>
  <c r="BQ352" i="29"/>
  <c r="BR352" i="29"/>
  <c r="BS352" i="29"/>
  <c r="BT352" i="29"/>
  <c r="BU352" i="29"/>
  <c r="BV352" i="29"/>
  <c r="BW352" i="29"/>
  <c r="BX352" i="29"/>
  <c r="BY352" i="29"/>
  <c r="BZ352" i="29"/>
  <c r="CA352" i="29"/>
  <c r="CB352" i="29"/>
  <c r="CC352" i="29"/>
  <c r="CD352" i="29"/>
  <c r="CE352" i="29"/>
  <c r="CF352" i="29"/>
  <c r="BG353" i="29"/>
  <c r="BH353" i="29"/>
  <c r="BI353" i="29"/>
  <c r="BJ353" i="29"/>
  <c r="BK353" i="29"/>
  <c r="BL353" i="29"/>
  <c r="BM353" i="29"/>
  <c r="BN353" i="29"/>
  <c r="BO353" i="29"/>
  <c r="BP353" i="29"/>
  <c r="BQ353" i="29"/>
  <c r="BR353" i="29"/>
  <c r="BS353" i="29"/>
  <c r="BT353" i="29"/>
  <c r="BU353" i="29"/>
  <c r="BV353" i="29"/>
  <c r="BW353" i="29"/>
  <c r="BX353" i="29"/>
  <c r="BY353" i="29"/>
  <c r="BZ353" i="29"/>
  <c r="CA353" i="29"/>
  <c r="CB353" i="29"/>
  <c r="CC353" i="29"/>
  <c r="CD353" i="29"/>
  <c r="CE353" i="29"/>
  <c r="CF353" i="29"/>
  <c r="BG354" i="29"/>
  <c r="BH354" i="29"/>
  <c r="BI354" i="29"/>
  <c r="BJ354" i="29"/>
  <c r="BK354" i="29"/>
  <c r="BL354" i="29"/>
  <c r="BM354" i="29"/>
  <c r="BN354" i="29"/>
  <c r="BO354" i="29"/>
  <c r="BP354" i="29"/>
  <c r="BQ354" i="29"/>
  <c r="BR354" i="29"/>
  <c r="BS354" i="29"/>
  <c r="BT354" i="29"/>
  <c r="BU354" i="29"/>
  <c r="BV354" i="29"/>
  <c r="BW354" i="29"/>
  <c r="BX354" i="29"/>
  <c r="BY354" i="29"/>
  <c r="BZ354" i="29"/>
  <c r="CA354" i="29"/>
  <c r="CB354" i="29"/>
  <c r="CC354" i="29"/>
  <c r="CD354" i="29"/>
  <c r="CE354" i="29"/>
  <c r="CF354" i="29"/>
  <c r="BG355" i="29"/>
  <c r="BH355" i="29"/>
  <c r="BI355" i="29"/>
  <c r="BJ355" i="29"/>
  <c r="BK355" i="29"/>
  <c r="BL355" i="29"/>
  <c r="BM355" i="29"/>
  <c r="BN355" i="29"/>
  <c r="BO355" i="29"/>
  <c r="BP355" i="29"/>
  <c r="BQ355" i="29"/>
  <c r="BR355" i="29"/>
  <c r="BS355" i="29"/>
  <c r="BT355" i="29"/>
  <c r="BU355" i="29"/>
  <c r="BV355" i="29"/>
  <c r="BW355" i="29"/>
  <c r="BX355" i="29"/>
  <c r="BY355" i="29"/>
  <c r="BZ355" i="29"/>
  <c r="CA355" i="29"/>
  <c r="CB355" i="29"/>
  <c r="CC355" i="29"/>
  <c r="CD355" i="29"/>
  <c r="CE355" i="29"/>
  <c r="CF355" i="29"/>
  <c r="BG356" i="29"/>
  <c r="BH356" i="29"/>
  <c r="BI356" i="29"/>
  <c r="BJ356" i="29"/>
  <c r="BK356" i="29"/>
  <c r="BL356" i="29"/>
  <c r="BM356" i="29"/>
  <c r="BN356" i="29"/>
  <c r="BO356" i="29"/>
  <c r="BP356" i="29"/>
  <c r="BQ356" i="29"/>
  <c r="BR356" i="29"/>
  <c r="BS356" i="29"/>
  <c r="BT356" i="29"/>
  <c r="BU356" i="29"/>
  <c r="BV356" i="29"/>
  <c r="BW356" i="29"/>
  <c r="BX356" i="29"/>
  <c r="BY356" i="29"/>
  <c r="BZ356" i="29"/>
  <c r="CA356" i="29"/>
  <c r="CB356" i="29"/>
  <c r="CC356" i="29"/>
  <c r="CD356" i="29"/>
  <c r="CE356" i="29"/>
  <c r="CF356" i="29"/>
  <c r="BG357" i="29"/>
  <c r="BH357" i="29"/>
  <c r="BI357" i="29"/>
  <c r="BJ357" i="29"/>
  <c r="BK357" i="29"/>
  <c r="BL357" i="29"/>
  <c r="BM357" i="29"/>
  <c r="BN357" i="29"/>
  <c r="BO357" i="29"/>
  <c r="BP357" i="29"/>
  <c r="BQ357" i="29"/>
  <c r="BR357" i="29"/>
  <c r="BS357" i="29"/>
  <c r="BT357" i="29"/>
  <c r="BU357" i="29"/>
  <c r="BV357" i="29"/>
  <c r="BW357" i="29"/>
  <c r="BX357" i="29"/>
  <c r="BY357" i="29"/>
  <c r="BZ357" i="29"/>
  <c r="CA357" i="29"/>
  <c r="CB357" i="29"/>
  <c r="CC357" i="29"/>
  <c r="CD357" i="29"/>
  <c r="CE357" i="29"/>
  <c r="CF357" i="29"/>
  <c r="BG358" i="29"/>
  <c r="BH358" i="29"/>
  <c r="BI358" i="29"/>
  <c r="BJ358" i="29"/>
  <c r="BK358" i="29"/>
  <c r="BL358" i="29"/>
  <c r="BM358" i="29"/>
  <c r="BN358" i="29"/>
  <c r="BO358" i="29"/>
  <c r="BP358" i="29"/>
  <c r="BQ358" i="29"/>
  <c r="BR358" i="29"/>
  <c r="BS358" i="29"/>
  <c r="BT358" i="29"/>
  <c r="BU358" i="29"/>
  <c r="BV358" i="29"/>
  <c r="BW358" i="29"/>
  <c r="BX358" i="29"/>
  <c r="BY358" i="29"/>
  <c r="BZ358" i="29"/>
  <c r="CA358" i="29"/>
  <c r="CB358" i="29"/>
  <c r="CC358" i="29"/>
  <c r="CD358" i="29"/>
  <c r="CE358" i="29"/>
  <c r="CF358" i="29"/>
  <c r="BG359" i="29"/>
  <c r="BH359" i="29"/>
  <c r="BI359" i="29"/>
  <c r="BJ359" i="29"/>
  <c r="BK359" i="29"/>
  <c r="BL359" i="29"/>
  <c r="BM359" i="29"/>
  <c r="BN359" i="29"/>
  <c r="BO359" i="29"/>
  <c r="BP359" i="29"/>
  <c r="BQ359" i="29"/>
  <c r="BR359" i="29"/>
  <c r="BS359" i="29"/>
  <c r="BT359" i="29"/>
  <c r="BU359" i="29"/>
  <c r="BV359" i="29"/>
  <c r="BW359" i="29"/>
  <c r="BX359" i="29"/>
  <c r="BY359" i="29"/>
  <c r="BZ359" i="29"/>
  <c r="CA359" i="29"/>
  <c r="CB359" i="29"/>
  <c r="CC359" i="29"/>
  <c r="CD359" i="29"/>
  <c r="CE359" i="29"/>
  <c r="CF359" i="29"/>
  <c r="BG360" i="29"/>
  <c r="BH360" i="29"/>
  <c r="BI360" i="29"/>
  <c r="BJ360" i="29"/>
  <c r="BK360" i="29"/>
  <c r="BL360" i="29"/>
  <c r="BM360" i="29"/>
  <c r="BN360" i="29"/>
  <c r="BO360" i="29"/>
  <c r="BP360" i="29"/>
  <c r="BQ360" i="29"/>
  <c r="BR360" i="29"/>
  <c r="BS360" i="29"/>
  <c r="BT360" i="29"/>
  <c r="BU360" i="29"/>
  <c r="BV360" i="29"/>
  <c r="BW360" i="29"/>
  <c r="BX360" i="29"/>
  <c r="BY360" i="29"/>
  <c r="BZ360" i="29"/>
  <c r="CA360" i="29"/>
  <c r="CB360" i="29"/>
  <c r="CC360" i="29"/>
  <c r="CD360" i="29"/>
  <c r="CE360" i="29"/>
  <c r="CF360" i="29"/>
  <c r="BG361" i="29"/>
  <c r="BH361" i="29"/>
  <c r="BI361" i="29"/>
  <c r="BJ361" i="29"/>
  <c r="BK361" i="29"/>
  <c r="BL361" i="29"/>
  <c r="BM361" i="29"/>
  <c r="BN361" i="29"/>
  <c r="BO361" i="29"/>
  <c r="BP361" i="29"/>
  <c r="BQ361" i="29"/>
  <c r="BR361" i="29"/>
  <c r="BS361" i="29"/>
  <c r="BT361" i="29"/>
  <c r="BU361" i="29"/>
  <c r="BV361" i="29"/>
  <c r="BW361" i="29"/>
  <c r="BX361" i="29"/>
  <c r="BY361" i="29"/>
  <c r="BZ361" i="29"/>
  <c r="CA361" i="29"/>
  <c r="CB361" i="29"/>
  <c r="CC361" i="29"/>
  <c r="CD361" i="29"/>
  <c r="CE361" i="29"/>
  <c r="CF361" i="29"/>
  <c r="BG362" i="29"/>
  <c r="BH362" i="29"/>
  <c r="BI362" i="29"/>
  <c r="BJ362" i="29"/>
  <c r="BK362" i="29"/>
  <c r="BL362" i="29"/>
  <c r="BM362" i="29"/>
  <c r="BN362" i="29"/>
  <c r="BO362" i="29"/>
  <c r="BP362" i="29"/>
  <c r="BQ362" i="29"/>
  <c r="BR362" i="29"/>
  <c r="BS362" i="29"/>
  <c r="BT362" i="29"/>
  <c r="BU362" i="29"/>
  <c r="BV362" i="29"/>
  <c r="BW362" i="29"/>
  <c r="BX362" i="29"/>
  <c r="BY362" i="29"/>
  <c r="BZ362" i="29"/>
  <c r="CA362" i="29"/>
  <c r="CB362" i="29"/>
  <c r="CC362" i="29"/>
  <c r="CD362" i="29"/>
  <c r="CE362" i="29"/>
  <c r="CF362" i="29"/>
  <c r="BG363" i="29"/>
  <c r="BH363" i="29"/>
  <c r="BI363" i="29"/>
  <c r="BJ363" i="29"/>
  <c r="BK363" i="29"/>
  <c r="BL363" i="29"/>
  <c r="BM363" i="29"/>
  <c r="BN363" i="29"/>
  <c r="BO363" i="29"/>
  <c r="BP363" i="29"/>
  <c r="BQ363" i="29"/>
  <c r="BR363" i="29"/>
  <c r="BS363" i="29"/>
  <c r="BT363" i="29"/>
  <c r="BU363" i="29"/>
  <c r="BV363" i="29"/>
  <c r="BW363" i="29"/>
  <c r="BX363" i="29"/>
  <c r="BY363" i="29"/>
  <c r="BZ363" i="29"/>
  <c r="CA363" i="29"/>
  <c r="CB363" i="29"/>
  <c r="CC363" i="29"/>
  <c r="CD363" i="29"/>
  <c r="CE363" i="29"/>
  <c r="CF363" i="29"/>
  <c r="BG364" i="29"/>
  <c r="BH364" i="29"/>
  <c r="BI364" i="29"/>
  <c r="BJ364" i="29"/>
  <c r="BK364" i="29"/>
  <c r="BL364" i="29"/>
  <c r="BM364" i="29"/>
  <c r="BN364" i="29"/>
  <c r="BO364" i="29"/>
  <c r="BP364" i="29"/>
  <c r="BQ364" i="29"/>
  <c r="BR364" i="29"/>
  <c r="BS364" i="29"/>
  <c r="BT364" i="29"/>
  <c r="BU364" i="29"/>
  <c r="BV364" i="29"/>
  <c r="BW364" i="29"/>
  <c r="BX364" i="29"/>
  <c r="BY364" i="29"/>
  <c r="BZ364" i="29"/>
  <c r="CA364" i="29"/>
  <c r="CB364" i="29"/>
  <c r="CC364" i="29"/>
  <c r="CD364" i="29"/>
  <c r="CE364" i="29"/>
  <c r="CF364" i="29"/>
  <c r="BG365" i="29"/>
  <c r="BH365" i="29"/>
  <c r="BI365" i="29"/>
  <c r="BJ365" i="29"/>
  <c r="BK365" i="29"/>
  <c r="BL365" i="29"/>
  <c r="BM365" i="29"/>
  <c r="BN365" i="29"/>
  <c r="BO365" i="29"/>
  <c r="BP365" i="29"/>
  <c r="BQ365" i="29"/>
  <c r="BR365" i="29"/>
  <c r="BS365" i="29"/>
  <c r="BT365" i="29"/>
  <c r="BU365" i="29"/>
  <c r="BV365" i="29"/>
  <c r="BW365" i="29"/>
  <c r="BX365" i="29"/>
  <c r="BY365" i="29"/>
  <c r="BZ365" i="29"/>
  <c r="CA365" i="29"/>
  <c r="CB365" i="29"/>
  <c r="CC365" i="29"/>
  <c r="CD365" i="29"/>
  <c r="CE365" i="29"/>
  <c r="CF365" i="29"/>
  <c r="BG366" i="29"/>
  <c r="BH366" i="29"/>
  <c r="BI366" i="29"/>
  <c r="BJ366" i="29"/>
  <c r="BK366" i="29"/>
  <c r="BL366" i="29"/>
  <c r="BM366" i="29"/>
  <c r="BN366" i="29"/>
  <c r="BO366" i="29"/>
  <c r="BP366" i="29"/>
  <c r="BQ366" i="29"/>
  <c r="BR366" i="29"/>
  <c r="BS366" i="29"/>
  <c r="BT366" i="29"/>
  <c r="BU366" i="29"/>
  <c r="BV366" i="29"/>
  <c r="BW366" i="29"/>
  <c r="BX366" i="29"/>
  <c r="BY366" i="29"/>
  <c r="BZ366" i="29"/>
  <c r="CA366" i="29"/>
  <c r="CB366" i="29"/>
  <c r="CC366" i="29"/>
  <c r="CD366" i="29"/>
  <c r="CE366" i="29"/>
  <c r="CF366" i="29"/>
  <c r="BG367" i="29"/>
  <c r="BH367" i="29"/>
  <c r="BI367" i="29"/>
  <c r="BJ367" i="29"/>
  <c r="BK367" i="29"/>
  <c r="BL367" i="29"/>
  <c r="BM367" i="29"/>
  <c r="BN367" i="29"/>
  <c r="BO367" i="29"/>
  <c r="BP367" i="29"/>
  <c r="BQ367" i="29"/>
  <c r="BR367" i="29"/>
  <c r="BS367" i="29"/>
  <c r="BT367" i="29"/>
  <c r="BU367" i="29"/>
  <c r="BV367" i="29"/>
  <c r="BW367" i="29"/>
  <c r="BX367" i="29"/>
  <c r="BY367" i="29"/>
  <c r="BZ367" i="29"/>
  <c r="CA367" i="29"/>
  <c r="CB367" i="29"/>
  <c r="CC367" i="29"/>
  <c r="CD367" i="29"/>
  <c r="CE367" i="29"/>
  <c r="CF367" i="29"/>
  <c r="BG368" i="29"/>
  <c r="BH368" i="29"/>
  <c r="BI368" i="29"/>
  <c r="BJ368" i="29"/>
  <c r="BK368" i="29"/>
  <c r="BL368" i="29"/>
  <c r="BM368" i="29"/>
  <c r="BN368" i="29"/>
  <c r="BO368" i="29"/>
  <c r="BP368" i="29"/>
  <c r="BQ368" i="29"/>
  <c r="BR368" i="29"/>
  <c r="BS368" i="29"/>
  <c r="BT368" i="29"/>
  <c r="BU368" i="29"/>
  <c r="BV368" i="29"/>
  <c r="BW368" i="29"/>
  <c r="BX368" i="29"/>
  <c r="BY368" i="29"/>
  <c r="BZ368" i="29"/>
  <c r="CA368" i="29"/>
  <c r="CB368" i="29"/>
  <c r="CC368" i="29"/>
  <c r="CD368" i="29"/>
  <c r="CE368" i="29"/>
  <c r="CF368" i="29"/>
  <c r="BG369" i="29"/>
  <c r="BH369" i="29"/>
  <c r="BI369" i="29"/>
  <c r="BJ369" i="29"/>
  <c r="BK369" i="29"/>
  <c r="BL369" i="29"/>
  <c r="BM369" i="29"/>
  <c r="BN369" i="29"/>
  <c r="BO369" i="29"/>
  <c r="BP369" i="29"/>
  <c r="BQ369" i="29"/>
  <c r="BR369" i="29"/>
  <c r="BS369" i="29"/>
  <c r="BT369" i="29"/>
  <c r="BU369" i="29"/>
  <c r="BV369" i="29"/>
  <c r="BW369" i="29"/>
  <c r="BX369" i="29"/>
  <c r="BY369" i="29"/>
  <c r="BZ369" i="29"/>
  <c r="CA369" i="29"/>
  <c r="CB369" i="29"/>
  <c r="CC369" i="29"/>
  <c r="CD369" i="29"/>
  <c r="CE369" i="29"/>
  <c r="CF369" i="29"/>
  <c r="BG370" i="29"/>
  <c r="BH370" i="29"/>
  <c r="BI370" i="29"/>
  <c r="BJ370" i="29"/>
  <c r="BK370" i="29"/>
  <c r="BL370" i="29"/>
  <c r="BM370" i="29"/>
  <c r="BN370" i="29"/>
  <c r="BO370" i="29"/>
  <c r="BP370" i="29"/>
  <c r="BQ370" i="29"/>
  <c r="BR370" i="29"/>
  <c r="BS370" i="29"/>
  <c r="BT370" i="29"/>
  <c r="BU370" i="29"/>
  <c r="BV370" i="29"/>
  <c r="BW370" i="29"/>
  <c r="BX370" i="29"/>
  <c r="BY370" i="29"/>
  <c r="BZ370" i="29"/>
  <c r="CA370" i="29"/>
  <c r="CB370" i="29"/>
  <c r="CC370" i="29"/>
  <c r="CD370" i="29"/>
  <c r="CE370" i="29"/>
  <c r="CF370" i="29"/>
  <c r="BG371" i="29"/>
  <c r="BH371" i="29"/>
  <c r="BI371" i="29"/>
  <c r="BJ371" i="29"/>
  <c r="BK371" i="29"/>
  <c r="BL371" i="29"/>
  <c r="BM371" i="29"/>
  <c r="BN371" i="29"/>
  <c r="BO371" i="29"/>
  <c r="BP371" i="29"/>
  <c r="BQ371" i="29"/>
  <c r="BR371" i="29"/>
  <c r="BS371" i="29"/>
  <c r="BT371" i="29"/>
  <c r="BU371" i="29"/>
  <c r="BV371" i="29"/>
  <c r="BW371" i="29"/>
  <c r="BX371" i="29"/>
  <c r="BY371" i="29"/>
  <c r="BZ371" i="29"/>
  <c r="CA371" i="29"/>
  <c r="CB371" i="29"/>
  <c r="CC371" i="29"/>
  <c r="CD371" i="29"/>
  <c r="CE371" i="29"/>
  <c r="CF371" i="29"/>
  <c r="BG372" i="29"/>
  <c r="BH372" i="29"/>
  <c r="BI372" i="29"/>
  <c r="BJ372" i="29"/>
  <c r="BK372" i="29"/>
  <c r="BL372" i="29"/>
  <c r="BM372" i="29"/>
  <c r="BN372" i="29"/>
  <c r="BO372" i="29"/>
  <c r="BP372" i="29"/>
  <c r="BQ372" i="29"/>
  <c r="BR372" i="29"/>
  <c r="BS372" i="29"/>
  <c r="BT372" i="29"/>
  <c r="BU372" i="29"/>
  <c r="BV372" i="29"/>
  <c r="BW372" i="29"/>
  <c r="BX372" i="29"/>
  <c r="BY372" i="29"/>
  <c r="BZ372" i="29"/>
  <c r="CA372" i="29"/>
  <c r="CB372" i="29"/>
  <c r="CC372" i="29"/>
  <c r="CD372" i="29"/>
  <c r="CE372" i="29"/>
  <c r="CF372" i="29"/>
  <c r="BG373" i="29"/>
  <c r="BH373" i="29"/>
  <c r="BI373" i="29"/>
  <c r="BJ373" i="29"/>
  <c r="BK373" i="29"/>
  <c r="BL373" i="29"/>
  <c r="BM373" i="29"/>
  <c r="BN373" i="29"/>
  <c r="BO373" i="29"/>
  <c r="BP373" i="29"/>
  <c r="BQ373" i="29"/>
  <c r="BR373" i="29"/>
  <c r="BS373" i="29"/>
  <c r="BT373" i="29"/>
  <c r="BU373" i="29"/>
  <c r="BV373" i="29"/>
  <c r="BW373" i="29"/>
  <c r="BX373" i="29"/>
  <c r="BY373" i="29"/>
  <c r="BZ373" i="29"/>
  <c r="CA373" i="29"/>
  <c r="CB373" i="29"/>
  <c r="CC373" i="29"/>
  <c r="CD373" i="29"/>
  <c r="CE373" i="29"/>
  <c r="CF373" i="29"/>
  <c r="BG374" i="29"/>
  <c r="BH374" i="29"/>
  <c r="BI374" i="29"/>
  <c r="BJ374" i="29"/>
  <c r="BK374" i="29"/>
  <c r="BL374" i="29"/>
  <c r="BM374" i="29"/>
  <c r="BN374" i="29"/>
  <c r="BO374" i="29"/>
  <c r="BP374" i="29"/>
  <c r="BQ374" i="29"/>
  <c r="BR374" i="29"/>
  <c r="BS374" i="29"/>
  <c r="BT374" i="29"/>
  <c r="BU374" i="29"/>
  <c r="BV374" i="29"/>
  <c r="BW374" i="29"/>
  <c r="BX374" i="29"/>
  <c r="BY374" i="29"/>
  <c r="BZ374" i="29"/>
  <c r="CA374" i="29"/>
  <c r="CB374" i="29"/>
  <c r="CC374" i="29"/>
  <c r="CD374" i="29"/>
  <c r="CE374" i="29"/>
  <c r="CF374" i="29"/>
  <c r="BG375" i="29"/>
  <c r="BH375" i="29"/>
  <c r="BI375" i="29"/>
  <c r="BJ375" i="29"/>
  <c r="BK375" i="29"/>
  <c r="BL375" i="29"/>
  <c r="BM375" i="29"/>
  <c r="BN375" i="29"/>
  <c r="BO375" i="29"/>
  <c r="BP375" i="29"/>
  <c r="BQ375" i="29"/>
  <c r="BR375" i="29"/>
  <c r="BS375" i="29"/>
  <c r="BT375" i="29"/>
  <c r="BU375" i="29"/>
  <c r="BV375" i="29"/>
  <c r="BW375" i="29"/>
  <c r="BX375" i="29"/>
  <c r="BY375" i="29"/>
  <c r="BZ375" i="29"/>
  <c r="CA375" i="29"/>
  <c r="CB375" i="29"/>
  <c r="CC375" i="29"/>
  <c r="CD375" i="29"/>
  <c r="CE375" i="29"/>
  <c r="CF375" i="29"/>
  <c r="BG376" i="29"/>
  <c r="BH376" i="29"/>
  <c r="BI376" i="29"/>
  <c r="BJ376" i="29"/>
  <c r="BK376" i="29"/>
  <c r="BL376" i="29"/>
  <c r="BM376" i="29"/>
  <c r="BN376" i="29"/>
  <c r="BO376" i="29"/>
  <c r="BP376" i="29"/>
  <c r="BQ376" i="29"/>
  <c r="BR376" i="29"/>
  <c r="BS376" i="29"/>
  <c r="BT376" i="29"/>
  <c r="BU376" i="29"/>
  <c r="BV376" i="29"/>
  <c r="BW376" i="29"/>
  <c r="BX376" i="29"/>
  <c r="BY376" i="29"/>
  <c r="BZ376" i="29"/>
  <c r="CA376" i="29"/>
  <c r="CB376" i="29"/>
  <c r="CC376" i="29"/>
  <c r="CD376" i="29"/>
  <c r="CE376" i="29"/>
  <c r="CF376" i="29"/>
  <c r="BG377" i="29"/>
  <c r="BH377" i="29"/>
  <c r="BI377" i="29"/>
  <c r="BJ377" i="29"/>
  <c r="BK377" i="29"/>
  <c r="BL377" i="29"/>
  <c r="BM377" i="29"/>
  <c r="BN377" i="29"/>
  <c r="BO377" i="29"/>
  <c r="BP377" i="29"/>
  <c r="BQ377" i="29"/>
  <c r="BR377" i="29"/>
  <c r="BS377" i="29"/>
  <c r="BT377" i="29"/>
  <c r="BU377" i="29"/>
  <c r="BV377" i="29"/>
  <c r="BW377" i="29"/>
  <c r="BX377" i="29"/>
  <c r="BY377" i="29"/>
  <c r="BZ377" i="29"/>
  <c r="CA377" i="29"/>
  <c r="CB377" i="29"/>
  <c r="CC377" i="29"/>
  <c r="CD377" i="29"/>
  <c r="CE377" i="29"/>
  <c r="CF377" i="29"/>
  <c r="BG378" i="29"/>
  <c r="BH378" i="29"/>
  <c r="BI378" i="29"/>
  <c r="BJ378" i="29"/>
  <c r="BK378" i="29"/>
  <c r="BL378" i="29"/>
  <c r="BM378" i="29"/>
  <c r="BN378" i="29"/>
  <c r="BO378" i="29"/>
  <c r="BP378" i="29"/>
  <c r="BQ378" i="29"/>
  <c r="BR378" i="29"/>
  <c r="BS378" i="29"/>
  <c r="BT378" i="29"/>
  <c r="BU378" i="29"/>
  <c r="BV378" i="29"/>
  <c r="BW378" i="29"/>
  <c r="BX378" i="29"/>
  <c r="BY378" i="29"/>
  <c r="BZ378" i="29"/>
  <c r="CA378" i="29"/>
  <c r="CB378" i="29"/>
  <c r="CC378" i="29"/>
  <c r="CD378" i="29"/>
  <c r="CE378" i="29"/>
  <c r="CF378" i="29"/>
  <c r="BG379" i="29"/>
  <c r="BH379" i="29"/>
  <c r="BI379" i="29"/>
  <c r="BJ379" i="29"/>
  <c r="BK379" i="29"/>
  <c r="BL379" i="29"/>
  <c r="BM379" i="29"/>
  <c r="BN379" i="29"/>
  <c r="BO379" i="29"/>
  <c r="BP379" i="29"/>
  <c r="BQ379" i="29"/>
  <c r="BR379" i="29"/>
  <c r="BS379" i="29"/>
  <c r="BT379" i="29"/>
  <c r="BU379" i="29"/>
  <c r="BV379" i="29"/>
  <c r="BW379" i="29"/>
  <c r="BX379" i="29"/>
  <c r="BY379" i="29"/>
  <c r="BZ379" i="29"/>
  <c r="CA379" i="29"/>
  <c r="CB379" i="29"/>
  <c r="CC379" i="29"/>
  <c r="CD379" i="29"/>
  <c r="CE379" i="29"/>
  <c r="CF379" i="29"/>
  <c r="BG380" i="29"/>
  <c r="BH380" i="29"/>
  <c r="BI380" i="29"/>
  <c r="BJ380" i="29"/>
  <c r="BK380" i="29"/>
  <c r="BL380" i="29"/>
  <c r="BM380" i="29"/>
  <c r="BN380" i="29"/>
  <c r="BO380" i="29"/>
  <c r="BP380" i="29"/>
  <c r="BQ380" i="29"/>
  <c r="BR380" i="29"/>
  <c r="BS380" i="29"/>
  <c r="BT380" i="29"/>
  <c r="BU380" i="29"/>
  <c r="BV380" i="29"/>
  <c r="BW380" i="29"/>
  <c r="BX380" i="29"/>
  <c r="BY380" i="29"/>
  <c r="BZ380" i="29"/>
  <c r="CA380" i="29"/>
  <c r="CB380" i="29"/>
  <c r="CC380" i="29"/>
  <c r="CD380" i="29"/>
  <c r="CE380" i="29"/>
  <c r="CF380" i="29"/>
  <c r="BG381" i="29"/>
  <c r="BH381" i="29"/>
  <c r="BI381" i="29"/>
  <c r="BJ381" i="29"/>
  <c r="BK381" i="29"/>
  <c r="BL381" i="29"/>
  <c r="BM381" i="29"/>
  <c r="BN381" i="29"/>
  <c r="BO381" i="29"/>
  <c r="BP381" i="29"/>
  <c r="BQ381" i="29"/>
  <c r="BR381" i="29"/>
  <c r="BS381" i="29"/>
  <c r="BT381" i="29"/>
  <c r="BU381" i="29"/>
  <c r="BV381" i="29"/>
  <c r="BW381" i="29"/>
  <c r="BX381" i="29"/>
  <c r="BY381" i="29"/>
  <c r="BZ381" i="29"/>
  <c r="CA381" i="29"/>
  <c r="CB381" i="29"/>
  <c r="CC381" i="29"/>
  <c r="CD381" i="29"/>
  <c r="CE381" i="29"/>
  <c r="CF381" i="29"/>
  <c r="BG382" i="29"/>
  <c r="BH382" i="29"/>
  <c r="BI382" i="29"/>
  <c r="BJ382" i="29"/>
  <c r="BK382" i="29"/>
  <c r="BL382" i="29"/>
  <c r="BM382" i="29"/>
  <c r="BN382" i="29"/>
  <c r="BO382" i="29"/>
  <c r="BP382" i="29"/>
  <c r="BQ382" i="29"/>
  <c r="BR382" i="29"/>
  <c r="BS382" i="29"/>
  <c r="BT382" i="29"/>
  <c r="BU382" i="29"/>
  <c r="BV382" i="29"/>
  <c r="BW382" i="29"/>
  <c r="BX382" i="29"/>
  <c r="BY382" i="29"/>
  <c r="BZ382" i="29"/>
  <c r="CA382" i="29"/>
  <c r="CB382" i="29"/>
  <c r="CC382" i="29"/>
  <c r="CD382" i="29"/>
  <c r="CE382" i="29"/>
  <c r="CF382" i="29"/>
  <c r="BG383" i="29"/>
  <c r="BH383" i="29"/>
  <c r="BI383" i="29"/>
  <c r="BJ383" i="29"/>
  <c r="BK383" i="29"/>
  <c r="BL383" i="29"/>
  <c r="BM383" i="29"/>
  <c r="BN383" i="29"/>
  <c r="BO383" i="29"/>
  <c r="BP383" i="29"/>
  <c r="BQ383" i="29"/>
  <c r="BR383" i="29"/>
  <c r="BS383" i="29"/>
  <c r="BT383" i="29"/>
  <c r="BU383" i="29"/>
  <c r="BV383" i="29"/>
  <c r="BW383" i="29"/>
  <c r="BX383" i="29"/>
  <c r="BY383" i="29"/>
  <c r="BZ383" i="29"/>
  <c r="CA383" i="29"/>
  <c r="CB383" i="29"/>
  <c r="CC383" i="29"/>
  <c r="CD383" i="29"/>
  <c r="CE383" i="29"/>
  <c r="CF383" i="29"/>
  <c r="BG384" i="29"/>
  <c r="BH384" i="29"/>
  <c r="BI384" i="29"/>
  <c r="BJ384" i="29"/>
  <c r="BK384" i="29"/>
  <c r="BL384" i="29"/>
  <c r="BM384" i="29"/>
  <c r="BN384" i="29"/>
  <c r="BO384" i="29"/>
  <c r="BP384" i="29"/>
  <c r="BQ384" i="29"/>
  <c r="BR384" i="29"/>
  <c r="BS384" i="29"/>
  <c r="BT384" i="29"/>
  <c r="BU384" i="29"/>
  <c r="BV384" i="29"/>
  <c r="BW384" i="29"/>
  <c r="BX384" i="29"/>
  <c r="BY384" i="29"/>
  <c r="BZ384" i="29"/>
  <c r="CA384" i="29"/>
  <c r="CB384" i="29"/>
  <c r="CC384" i="29"/>
  <c r="CD384" i="29"/>
  <c r="CE384" i="29"/>
  <c r="CF384" i="29"/>
  <c r="BG385" i="29"/>
  <c r="BH385" i="29"/>
  <c r="BI385" i="29"/>
  <c r="BJ385" i="29"/>
  <c r="BK385" i="29"/>
  <c r="BL385" i="29"/>
  <c r="BM385" i="29"/>
  <c r="BN385" i="29"/>
  <c r="BO385" i="29"/>
  <c r="BP385" i="29"/>
  <c r="BQ385" i="29"/>
  <c r="BR385" i="29"/>
  <c r="BS385" i="29"/>
  <c r="BT385" i="29"/>
  <c r="BU385" i="29"/>
  <c r="BV385" i="29"/>
  <c r="BW385" i="29"/>
  <c r="BX385" i="29"/>
  <c r="BY385" i="29"/>
  <c r="BZ385" i="29"/>
  <c r="CA385" i="29"/>
  <c r="CB385" i="29"/>
  <c r="CC385" i="29"/>
  <c r="CD385" i="29"/>
  <c r="CE385" i="29"/>
  <c r="CF385" i="29"/>
  <c r="BG386" i="29"/>
  <c r="BH386" i="29"/>
  <c r="BI386" i="29"/>
  <c r="BJ386" i="29"/>
  <c r="BK386" i="29"/>
  <c r="BL386" i="29"/>
  <c r="BM386" i="29"/>
  <c r="BN386" i="29"/>
  <c r="BO386" i="29"/>
  <c r="BP386" i="29"/>
  <c r="BQ386" i="29"/>
  <c r="BR386" i="29"/>
  <c r="BS386" i="29"/>
  <c r="BT386" i="29"/>
  <c r="BU386" i="29"/>
  <c r="BV386" i="29"/>
  <c r="BW386" i="29"/>
  <c r="BX386" i="29"/>
  <c r="BY386" i="29"/>
  <c r="BZ386" i="29"/>
  <c r="CA386" i="29"/>
  <c r="CB386" i="29"/>
  <c r="CC386" i="29"/>
  <c r="CD386" i="29"/>
  <c r="CE386" i="29"/>
  <c r="CF386" i="29"/>
  <c r="BG387" i="29"/>
  <c r="BH387" i="29"/>
  <c r="BI387" i="29"/>
  <c r="BJ387" i="29"/>
  <c r="BK387" i="29"/>
  <c r="BL387" i="29"/>
  <c r="BM387" i="29"/>
  <c r="BN387" i="29"/>
  <c r="BO387" i="29"/>
  <c r="BP387" i="29"/>
  <c r="BQ387" i="29"/>
  <c r="BR387" i="29"/>
  <c r="BS387" i="29"/>
  <c r="BT387" i="29"/>
  <c r="BU387" i="29"/>
  <c r="BV387" i="29"/>
  <c r="BW387" i="29"/>
  <c r="BX387" i="29"/>
  <c r="BY387" i="29"/>
  <c r="BZ387" i="29"/>
  <c r="CA387" i="29"/>
  <c r="CB387" i="29"/>
  <c r="CC387" i="29"/>
  <c r="CD387" i="29"/>
  <c r="CE387" i="29"/>
  <c r="CF387" i="29"/>
  <c r="AB343" i="29"/>
  <c r="AC343" i="29"/>
  <c r="AD343" i="29"/>
  <c r="AE343" i="29"/>
  <c r="AF343" i="29"/>
  <c r="AG343" i="29"/>
  <c r="AH343" i="29"/>
  <c r="AI343" i="29"/>
  <c r="AJ343" i="29"/>
  <c r="AK343" i="29"/>
  <c r="AL343" i="29"/>
  <c r="AM343" i="29"/>
  <c r="AN343" i="29"/>
  <c r="AO343" i="29"/>
  <c r="AP343" i="29"/>
  <c r="AQ343" i="29"/>
  <c r="AR343" i="29"/>
  <c r="AS343" i="29"/>
  <c r="AT343" i="29"/>
  <c r="AU343" i="29"/>
  <c r="AV343" i="29"/>
  <c r="AW343" i="29"/>
  <c r="AX343" i="29"/>
  <c r="AY343" i="29"/>
  <c r="AZ343" i="29"/>
  <c r="BA343" i="29"/>
  <c r="BB343" i="29"/>
  <c r="BC343" i="29"/>
  <c r="BD343" i="29"/>
  <c r="BE343" i="29"/>
  <c r="BF343" i="29"/>
  <c r="AB344" i="29"/>
  <c r="AC344" i="29"/>
  <c r="AD344" i="29"/>
  <c r="AE344" i="29"/>
  <c r="AF344" i="29"/>
  <c r="AG344" i="29"/>
  <c r="AH344" i="29"/>
  <c r="AI344" i="29"/>
  <c r="AJ344" i="29"/>
  <c r="AK344" i="29"/>
  <c r="AL344" i="29"/>
  <c r="AM344" i="29"/>
  <c r="AN344" i="29"/>
  <c r="AO344" i="29"/>
  <c r="AP344" i="29"/>
  <c r="AQ344" i="29"/>
  <c r="AR344" i="29"/>
  <c r="AS344" i="29"/>
  <c r="AT344" i="29"/>
  <c r="AU344" i="29"/>
  <c r="AV344" i="29"/>
  <c r="AW344" i="29"/>
  <c r="AX344" i="29"/>
  <c r="AY344" i="29"/>
  <c r="AZ344" i="29"/>
  <c r="BA344" i="29"/>
  <c r="BB344" i="29"/>
  <c r="BC344" i="29"/>
  <c r="BD344" i="29"/>
  <c r="BE344" i="29"/>
  <c r="BF344" i="29"/>
  <c r="AB345" i="29"/>
  <c r="AC345" i="29"/>
  <c r="AD345" i="29"/>
  <c r="AE345" i="29"/>
  <c r="AF345" i="29"/>
  <c r="AG345" i="29"/>
  <c r="AH345" i="29"/>
  <c r="AI345" i="29"/>
  <c r="AJ345" i="29"/>
  <c r="AK345" i="29"/>
  <c r="AL345" i="29"/>
  <c r="AM345" i="29"/>
  <c r="AN345" i="29"/>
  <c r="AO345" i="29"/>
  <c r="AP345" i="29"/>
  <c r="AQ345" i="29"/>
  <c r="AR345" i="29"/>
  <c r="AS345" i="29"/>
  <c r="AT345" i="29"/>
  <c r="AU345" i="29"/>
  <c r="AV345" i="29"/>
  <c r="AW345" i="29"/>
  <c r="AX345" i="29"/>
  <c r="AY345" i="29"/>
  <c r="AZ345" i="29"/>
  <c r="BA345" i="29"/>
  <c r="BB345" i="29"/>
  <c r="BC345" i="29"/>
  <c r="BD345" i="29"/>
  <c r="BE345" i="29"/>
  <c r="BF345" i="29"/>
  <c r="AB346" i="29"/>
  <c r="AC346" i="29"/>
  <c r="AD346" i="29"/>
  <c r="AE346" i="29"/>
  <c r="AF346" i="29"/>
  <c r="AG346" i="29"/>
  <c r="AH346" i="29"/>
  <c r="AI346" i="29"/>
  <c r="AJ346" i="29"/>
  <c r="AK346" i="29"/>
  <c r="AL346" i="29"/>
  <c r="AM346" i="29"/>
  <c r="AN346" i="29"/>
  <c r="AO346" i="29"/>
  <c r="AP346" i="29"/>
  <c r="AQ346" i="29"/>
  <c r="AR346" i="29"/>
  <c r="AS346" i="29"/>
  <c r="AT346" i="29"/>
  <c r="AU346" i="29"/>
  <c r="AV346" i="29"/>
  <c r="AW346" i="29"/>
  <c r="AX346" i="29"/>
  <c r="AY346" i="29"/>
  <c r="AZ346" i="29"/>
  <c r="BA346" i="29"/>
  <c r="BB346" i="29"/>
  <c r="BC346" i="29"/>
  <c r="BD346" i="29"/>
  <c r="BE346" i="29"/>
  <c r="BF346" i="29"/>
  <c r="AB347" i="29"/>
  <c r="AC347" i="29"/>
  <c r="AD347" i="29"/>
  <c r="AE347" i="29"/>
  <c r="AF347" i="29"/>
  <c r="AG347" i="29"/>
  <c r="AH347" i="29"/>
  <c r="AI347" i="29"/>
  <c r="AJ347" i="29"/>
  <c r="AK347" i="29"/>
  <c r="AL347" i="29"/>
  <c r="AM347" i="29"/>
  <c r="AN347" i="29"/>
  <c r="AO347" i="29"/>
  <c r="AP347" i="29"/>
  <c r="AQ347" i="29"/>
  <c r="AR347" i="29"/>
  <c r="AS347" i="29"/>
  <c r="AT347" i="29"/>
  <c r="AU347" i="29"/>
  <c r="AV347" i="29"/>
  <c r="AW347" i="29"/>
  <c r="AX347" i="29"/>
  <c r="AY347" i="29"/>
  <c r="AZ347" i="29"/>
  <c r="BA347" i="29"/>
  <c r="BB347" i="29"/>
  <c r="BC347" i="29"/>
  <c r="BD347" i="29"/>
  <c r="BE347" i="29"/>
  <c r="BF347" i="29"/>
  <c r="AB348" i="29"/>
  <c r="AC348" i="29"/>
  <c r="AD348" i="29"/>
  <c r="AE348" i="29"/>
  <c r="AF348" i="29"/>
  <c r="AG348" i="29"/>
  <c r="AH348" i="29"/>
  <c r="AI348" i="29"/>
  <c r="AJ348" i="29"/>
  <c r="AK348" i="29"/>
  <c r="AL348" i="29"/>
  <c r="AM348" i="29"/>
  <c r="AN348" i="29"/>
  <c r="AO348" i="29"/>
  <c r="AP348" i="29"/>
  <c r="AQ348" i="29"/>
  <c r="AR348" i="29"/>
  <c r="AS348" i="29"/>
  <c r="AT348" i="29"/>
  <c r="AU348" i="29"/>
  <c r="AV348" i="29"/>
  <c r="AW348" i="29"/>
  <c r="AX348" i="29"/>
  <c r="AY348" i="29"/>
  <c r="AZ348" i="29"/>
  <c r="BA348" i="29"/>
  <c r="BB348" i="29"/>
  <c r="BC348" i="29"/>
  <c r="BD348" i="29"/>
  <c r="BE348" i="29"/>
  <c r="BF348" i="29"/>
  <c r="AB349" i="29"/>
  <c r="AC349" i="29"/>
  <c r="AD349" i="29"/>
  <c r="AE349" i="29"/>
  <c r="AF349" i="29"/>
  <c r="AG349" i="29"/>
  <c r="AH349" i="29"/>
  <c r="AI349" i="29"/>
  <c r="AJ349" i="29"/>
  <c r="AK349" i="29"/>
  <c r="AL349" i="29"/>
  <c r="AM349" i="29"/>
  <c r="AN349" i="29"/>
  <c r="AO349" i="29"/>
  <c r="AP349" i="29"/>
  <c r="AQ349" i="29"/>
  <c r="AR349" i="29"/>
  <c r="AS349" i="29"/>
  <c r="AT349" i="29"/>
  <c r="AU349" i="29"/>
  <c r="AV349" i="29"/>
  <c r="AW349" i="29"/>
  <c r="AX349" i="29"/>
  <c r="AY349" i="29"/>
  <c r="AZ349" i="29"/>
  <c r="BA349" i="29"/>
  <c r="BB349" i="29"/>
  <c r="BC349" i="29"/>
  <c r="BD349" i="29"/>
  <c r="BE349" i="29"/>
  <c r="BF349" i="29"/>
  <c r="AB350" i="29"/>
  <c r="AC350" i="29"/>
  <c r="AD350" i="29"/>
  <c r="AE350" i="29"/>
  <c r="AF350" i="29"/>
  <c r="AG350" i="29"/>
  <c r="AH350" i="29"/>
  <c r="AI350" i="29"/>
  <c r="AJ350" i="29"/>
  <c r="AK350" i="29"/>
  <c r="AL350" i="29"/>
  <c r="AM350" i="29"/>
  <c r="AN350" i="29"/>
  <c r="AO350" i="29"/>
  <c r="AP350" i="29"/>
  <c r="AQ350" i="29"/>
  <c r="AR350" i="29"/>
  <c r="AS350" i="29"/>
  <c r="AT350" i="29"/>
  <c r="AU350" i="29"/>
  <c r="AV350" i="29"/>
  <c r="AW350" i="29"/>
  <c r="AX350" i="29"/>
  <c r="AY350" i="29"/>
  <c r="AZ350" i="29"/>
  <c r="BA350" i="29"/>
  <c r="BB350" i="29"/>
  <c r="BC350" i="29"/>
  <c r="BD350" i="29"/>
  <c r="BE350" i="29"/>
  <c r="BF350" i="29"/>
  <c r="AB351" i="29"/>
  <c r="AC351" i="29"/>
  <c r="AD351" i="29"/>
  <c r="AE351" i="29"/>
  <c r="AF351" i="29"/>
  <c r="AG351" i="29"/>
  <c r="AH351" i="29"/>
  <c r="AI351" i="29"/>
  <c r="AJ351" i="29"/>
  <c r="AK351" i="29"/>
  <c r="AL351" i="29"/>
  <c r="AM351" i="29"/>
  <c r="AN351" i="29"/>
  <c r="AO351" i="29"/>
  <c r="AP351" i="29"/>
  <c r="AQ351" i="29"/>
  <c r="AR351" i="29"/>
  <c r="AS351" i="29"/>
  <c r="AT351" i="29"/>
  <c r="AU351" i="29"/>
  <c r="AV351" i="29"/>
  <c r="AW351" i="29"/>
  <c r="AX351" i="29"/>
  <c r="AY351" i="29"/>
  <c r="AZ351" i="29"/>
  <c r="BA351" i="29"/>
  <c r="BB351" i="29"/>
  <c r="BC351" i="29"/>
  <c r="BD351" i="29"/>
  <c r="BE351" i="29"/>
  <c r="BF351" i="29"/>
  <c r="AB352" i="29"/>
  <c r="AC352" i="29"/>
  <c r="AD352" i="29"/>
  <c r="AE352" i="29"/>
  <c r="AF352" i="29"/>
  <c r="AG352" i="29"/>
  <c r="AH352" i="29"/>
  <c r="AI352" i="29"/>
  <c r="AJ352" i="29"/>
  <c r="AK352" i="29"/>
  <c r="AL352" i="29"/>
  <c r="AM352" i="29"/>
  <c r="AN352" i="29"/>
  <c r="AO352" i="29"/>
  <c r="AP352" i="29"/>
  <c r="AQ352" i="29"/>
  <c r="AR352" i="29"/>
  <c r="AS352" i="29"/>
  <c r="AT352" i="29"/>
  <c r="AU352" i="29"/>
  <c r="AV352" i="29"/>
  <c r="AW352" i="29"/>
  <c r="AX352" i="29"/>
  <c r="AY352" i="29"/>
  <c r="AZ352" i="29"/>
  <c r="BA352" i="29"/>
  <c r="BB352" i="29"/>
  <c r="BC352" i="29"/>
  <c r="BD352" i="29"/>
  <c r="BE352" i="29"/>
  <c r="BF352" i="29"/>
  <c r="AB353" i="29"/>
  <c r="AC353" i="29"/>
  <c r="AD353" i="29"/>
  <c r="AE353" i="29"/>
  <c r="AF353" i="29"/>
  <c r="AG353" i="29"/>
  <c r="AH353" i="29"/>
  <c r="AI353" i="29"/>
  <c r="AJ353" i="29"/>
  <c r="AK353" i="29"/>
  <c r="AL353" i="29"/>
  <c r="AM353" i="29"/>
  <c r="AN353" i="29"/>
  <c r="AO353" i="29"/>
  <c r="AP353" i="29"/>
  <c r="AQ353" i="29"/>
  <c r="AR353" i="29"/>
  <c r="AS353" i="29"/>
  <c r="AT353" i="29"/>
  <c r="AU353" i="29"/>
  <c r="AV353" i="29"/>
  <c r="AW353" i="29"/>
  <c r="AX353" i="29"/>
  <c r="AY353" i="29"/>
  <c r="AZ353" i="29"/>
  <c r="BA353" i="29"/>
  <c r="BB353" i="29"/>
  <c r="BC353" i="29"/>
  <c r="BD353" i="29"/>
  <c r="BE353" i="29"/>
  <c r="BF353" i="29"/>
  <c r="AB354" i="29"/>
  <c r="AC354" i="29"/>
  <c r="AD354" i="29"/>
  <c r="AE354" i="29"/>
  <c r="AF354" i="29"/>
  <c r="AG354" i="29"/>
  <c r="AH354" i="29"/>
  <c r="AI354" i="29"/>
  <c r="AJ354" i="29"/>
  <c r="AK354" i="29"/>
  <c r="AL354" i="29"/>
  <c r="AM354" i="29"/>
  <c r="AN354" i="29"/>
  <c r="AO354" i="29"/>
  <c r="AP354" i="29"/>
  <c r="AQ354" i="29"/>
  <c r="AR354" i="29"/>
  <c r="AS354" i="29"/>
  <c r="AT354" i="29"/>
  <c r="AU354" i="29"/>
  <c r="AV354" i="29"/>
  <c r="AW354" i="29"/>
  <c r="AX354" i="29"/>
  <c r="AY354" i="29"/>
  <c r="AZ354" i="29"/>
  <c r="BA354" i="29"/>
  <c r="BB354" i="29"/>
  <c r="BC354" i="29"/>
  <c r="BD354" i="29"/>
  <c r="BE354" i="29"/>
  <c r="BF354" i="29"/>
  <c r="AB355" i="29"/>
  <c r="AC355" i="29"/>
  <c r="AD355" i="29"/>
  <c r="AE355" i="29"/>
  <c r="AF355" i="29"/>
  <c r="AG355" i="29"/>
  <c r="AH355" i="29"/>
  <c r="AI355" i="29"/>
  <c r="AJ355" i="29"/>
  <c r="AK355" i="29"/>
  <c r="AL355" i="29"/>
  <c r="AM355" i="29"/>
  <c r="AN355" i="29"/>
  <c r="AO355" i="29"/>
  <c r="AP355" i="29"/>
  <c r="AQ355" i="29"/>
  <c r="AR355" i="29"/>
  <c r="AS355" i="29"/>
  <c r="AT355" i="29"/>
  <c r="AU355" i="29"/>
  <c r="AV355" i="29"/>
  <c r="AW355" i="29"/>
  <c r="AX355" i="29"/>
  <c r="AY355" i="29"/>
  <c r="AZ355" i="29"/>
  <c r="BA355" i="29"/>
  <c r="BB355" i="29"/>
  <c r="BC355" i="29"/>
  <c r="BD355" i="29"/>
  <c r="BE355" i="29"/>
  <c r="BF355" i="29"/>
  <c r="AB356" i="29"/>
  <c r="AC356" i="29"/>
  <c r="AD356" i="29"/>
  <c r="AE356" i="29"/>
  <c r="AF356" i="29"/>
  <c r="AG356" i="29"/>
  <c r="AH356" i="29"/>
  <c r="AI356" i="29"/>
  <c r="AJ356" i="29"/>
  <c r="AK356" i="29"/>
  <c r="AL356" i="29"/>
  <c r="AM356" i="29"/>
  <c r="AN356" i="29"/>
  <c r="AO356" i="29"/>
  <c r="AP356" i="29"/>
  <c r="AQ356" i="29"/>
  <c r="AR356" i="29"/>
  <c r="AS356" i="29"/>
  <c r="AT356" i="29"/>
  <c r="AU356" i="29"/>
  <c r="AV356" i="29"/>
  <c r="AW356" i="29"/>
  <c r="AX356" i="29"/>
  <c r="AY356" i="29"/>
  <c r="AZ356" i="29"/>
  <c r="BA356" i="29"/>
  <c r="BB356" i="29"/>
  <c r="BC356" i="29"/>
  <c r="BD356" i="29"/>
  <c r="BE356" i="29"/>
  <c r="BF356" i="29"/>
  <c r="AB357" i="29"/>
  <c r="AC357" i="29"/>
  <c r="AD357" i="29"/>
  <c r="AE357" i="29"/>
  <c r="AF357" i="29"/>
  <c r="AG357" i="29"/>
  <c r="AH357" i="29"/>
  <c r="AI357" i="29"/>
  <c r="AJ357" i="29"/>
  <c r="AK357" i="29"/>
  <c r="AL357" i="29"/>
  <c r="AM357" i="29"/>
  <c r="AN357" i="29"/>
  <c r="AO357" i="29"/>
  <c r="AP357" i="29"/>
  <c r="AQ357" i="29"/>
  <c r="AR357" i="29"/>
  <c r="AS357" i="29"/>
  <c r="AT357" i="29"/>
  <c r="AU357" i="29"/>
  <c r="AV357" i="29"/>
  <c r="AW357" i="29"/>
  <c r="AX357" i="29"/>
  <c r="AY357" i="29"/>
  <c r="AZ357" i="29"/>
  <c r="BA357" i="29"/>
  <c r="BB357" i="29"/>
  <c r="BC357" i="29"/>
  <c r="BD357" i="29"/>
  <c r="BE357" i="29"/>
  <c r="BF357" i="29"/>
  <c r="AB358" i="29"/>
  <c r="AC358" i="29"/>
  <c r="AD358" i="29"/>
  <c r="AE358" i="29"/>
  <c r="AF358" i="29"/>
  <c r="AG358" i="29"/>
  <c r="AH358" i="29"/>
  <c r="AI358" i="29"/>
  <c r="AJ358" i="29"/>
  <c r="AK358" i="29"/>
  <c r="AL358" i="29"/>
  <c r="AM358" i="29"/>
  <c r="AN358" i="29"/>
  <c r="AO358" i="29"/>
  <c r="AP358" i="29"/>
  <c r="AQ358" i="29"/>
  <c r="AR358" i="29"/>
  <c r="AS358" i="29"/>
  <c r="AT358" i="29"/>
  <c r="AU358" i="29"/>
  <c r="AV358" i="29"/>
  <c r="AW358" i="29"/>
  <c r="AX358" i="29"/>
  <c r="AY358" i="29"/>
  <c r="AZ358" i="29"/>
  <c r="BA358" i="29"/>
  <c r="BB358" i="29"/>
  <c r="BC358" i="29"/>
  <c r="BD358" i="29"/>
  <c r="BE358" i="29"/>
  <c r="BF358" i="29"/>
  <c r="AB359" i="29"/>
  <c r="AC359" i="29"/>
  <c r="AD359" i="29"/>
  <c r="AE359" i="29"/>
  <c r="AF359" i="29"/>
  <c r="AG359" i="29"/>
  <c r="AH359" i="29"/>
  <c r="AI359" i="29"/>
  <c r="AJ359" i="29"/>
  <c r="AK359" i="29"/>
  <c r="AL359" i="29"/>
  <c r="AM359" i="29"/>
  <c r="AN359" i="29"/>
  <c r="AO359" i="29"/>
  <c r="AP359" i="29"/>
  <c r="AQ359" i="29"/>
  <c r="AR359" i="29"/>
  <c r="AS359" i="29"/>
  <c r="AT359" i="29"/>
  <c r="AU359" i="29"/>
  <c r="AV359" i="29"/>
  <c r="AW359" i="29"/>
  <c r="AX359" i="29"/>
  <c r="AY359" i="29"/>
  <c r="AZ359" i="29"/>
  <c r="BA359" i="29"/>
  <c r="BB359" i="29"/>
  <c r="BC359" i="29"/>
  <c r="BD359" i="29"/>
  <c r="BE359" i="29"/>
  <c r="BF359" i="29"/>
  <c r="AB360" i="29"/>
  <c r="AC360" i="29"/>
  <c r="AD360" i="29"/>
  <c r="AE360" i="29"/>
  <c r="AF360" i="29"/>
  <c r="AG360" i="29"/>
  <c r="AH360" i="29"/>
  <c r="AI360" i="29"/>
  <c r="AJ360" i="29"/>
  <c r="AK360" i="29"/>
  <c r="AL360" i="29"/>
  <c r="AM360" i="29"/>
  <c r="AN360" i="29"/>
  <c r="AO360" i="29"/>
  <c r="AP360" i="29"/>
  <c r="AQ360" i="29"/>
  <c r="AR360" i="29"/>
  <c r="AS360" i="29"/>
  <c r="AT360" i="29"/>
  <c r="AU360" i="29"/>
  <c r="AV360" i="29"/>
  <c r="AW360" i="29"/>
  <c r="AX360" i="29"/>
  <c r="AY360" i="29"/>
  <c r="AZ360" i="29"/>
  <c r="BA360" i="29"/>
  <c r="BB360" i="29"/>
  <c r="BC360" i="29"/>
  <c r="BD360" i="29"/>
  <c r="BE360" i="29"/>
  <c r="BF360" i="29"/>
  <c r="AB361" i="29"/>
  <c r="AC361" i="29"/>
  <c r="AD361" i="29"/>
  <c r="AE361" i="29"/>
  <c r="AF361" i="29"/>
  <c r="AG361" i="29"/>
  <c r="AH361" i="29"/>
  <c r="AI361" i="29"/>
  <c r="AJ361" i="29"/>
  <c r="AK361" i="29"/>
  <c r="AL361" i="29"/>
  <c r="AM361" i="29"/>
  <c r="AN361" i="29"/>
  <c r="AO361" i="29"/>
  <c r="AP361" i="29"/>
  <c r="AQ361" i="29"/>
  <c r="AR361" i="29"/>
  <c r="AS361" i="29"/>
  <c r="AT361" i="29"/>
  <c r="AU361" i="29"/>
  <c r="AV361" i="29"/>
  <c r="AW361" i="29"/>
  <c r="AX361" i="29"/>
  <c r="AY361" i="29"/>
  <c r="AZ361" i="29"/>
  <c r="BA361" i="29"/>
  <c r="BB361" i="29"/>
  <c r="BC361" i="29"/>
  <c r="BD361" i="29"/>
  <c r="BE361" i="29"/>
  <c r="BF361" i="29"/>
  <c r="AB362" i="29"/>
  <c r="AC362" i="29"/>
  <c r="AD362" i="29"/>
  <c r="AE362" i="29"/>
  <c r="AF362" i="29"/>
  <c r="AG362" i="29"/>
  <c r="AH362" i="29"/>
  <c r="AI362" i="29"/>
  <c r="AJ362" i="29"/>
  <c r="AK362" i="29"/>
  <c r="AL362" i="29"/>
  <c r="AM362" i="29"/>
  <c r="AN362" i="29"/>
  <c r="AO362" i="29"/>
  <c r="AP362" i="29"/>
  <c r="AQ362" i="29"/>
  <c r="AR362" i="29"/>
  <c r="AS362" i="29"/>
  <c r="AT362" i="29"/>
  <c r="AU362" i="29"/>
  <c r="AV362" i="29"/>
  <c r="AW362" i="29"/>
  <c r="AX362" i="29"/>
  <c r="AY362" i="29"/>
  <c r="AZ362" i="29"/>
  <c r="BA362" i="29"/>
  <c r="BB362" i="29"/>
  <c r="BC362" i="29"/>
  <c r="BD362" i="29"/>
  <c r="BE362" i="29"/>
  <c r="BF362" i="29"/>
  <c r="AB363" i="29"/>
  <c r="AC363" i="29"/>
  <c r="AD363" i="29"/>
  <c r="AE363" i="29"/>
  <c r="AF363" i="29"/>
  <c r="AG363" i="29"/>
  <c r="AH363" i="29"/>
  <c r="AI363" i="29"/>
  <c r="AJ363" i="29"/>
  <c r="AK363" i="29"/>
  <c r="AL363" i="29"/>
  <c r="AM363" i="29"/>
  <c r="AN363" i="29"/>
  <c r="AO363" i="29"/>
  <c r="AP363" i="29"/>
  <c r="AQ363" i="29"/>
  <c r="AR363" i="29"/>
  <c r="AS363" i="29"/>
  <c r="AT363" i="29"/>
  <c r="AU363" i="29"/>
  <c r="AV363" i="29"/>
  <c r="AW363" i="29"/>
  <c r="AX363" i="29"/>
  <c r="AY363" i="29"/>
  <c r="AZ363" i="29"/>
  <c r="BA363" i="29"/>
  <c r="BB363" i="29"/>
  <c r="BC363" i="29"/>
  <c r="BD363" i="29"/>
  <c r="BE363" i="29"/>
  <c r="BF363" i="29"/>
  <c r="AB364" i="29"/>
  <c r="AC364" i="29"/>
  <c r="AD364" i="29"/>
  <c r="AE364" i="29"/>
  <c r="AF364" i="29"/>
  <c r="AG364" i="29"/>
  <c r="AH364" i="29"/>
  <c r="AI364" i="29"/>
  <c r="AJ364" i="29"/>
  <c r="AK364" i="29"/>
  <c r="AL364" i="29"/>
  <c r="AM364" i="29"/>
  <c r="AN364" i="29"/>
  <c r="AO364" i="29"/>
  <c r="AP364" i="29"/>
  <c r="AQ364" i="29"/>
  <c r="AR364" i="29"/>
  <c r="AS364" i="29"/>
  <c r="AT364" i="29"/>
  <c r="AU364" i="29"/>
  <c r="AV364" i="29"/>
  <c r="AW364" i="29"/>
  <c r="AX364" i="29"/>
  <c r="AY364" i="29"/>
  <c r="AZ364" i="29"/>
  <c r="BA364" i="29"/>
  <c r="BB364" i="29"/>
  <c r="BC364" i="29"/>
  <c r="BD364" i="29"/>
  <c r="BE364" i="29"/>
  <c r="BF364" i="29"/>
  <c r="AB365" i="29"/>
  <c r="AC365" i="29"/>
  <c r="AD365" i="29"/>
  <c r="AE365" i="29"/>
  <c r="AF365" i="29"/>
  <c r="AG365" i="29"/>
  <c r="AH365" i="29"/>
  <c r="AI365" i="29"/>
  <c r="AJ365" i="29"/>
  <c r="AK365" i="29"/>
  <c r="AL365" i="29"/>
  <c r="AM365" i="29"/>
  <c r="AN365" i="29"/>
  <c r="AO365" i="29"/>
  <c r="AP365" i="29"/>
  <c r="AQ365" i="29"/>
  <c r="AR365" i="29"/>
  <c r="AS365" i="29"/>
  <c r="AT365" i="29"/>
  <c r="AU365" i="29"/>
  <c r="AV365" i="29"/>
  <c r="AW365" i="29"/>
  <c r="AX365" i="29"/>
  <c r="AY365" i="29"/>
  <c r="AZ365" i="29"/>
  <c r="BA365" i="29"/>
  <c r="BB365" i="29"/>
  <c r="BC365" i="29"/>
  <c r="BD365" i="29"/>
  <c r="BE365" i="29"/>
  <c r="BF365" i="29"/>
  <c r="AB366" i="29"/>
  <c r="AC366" i="29"/>
  <c r="AD366" i="29"/>
  <c r="AE366" i="29"/>
  <c r="AF366" i="29"/>
  <c r="AG366" i="29"/>
  <c r="AH366" i="29"/>
  <c r="AI366" i="29"/>
  <c r="AJ366" i="29"/>
  <c r="AK366" i="29"/>
  <c r="AL366" i="29"/>
  <c r="AM366" i="29"/>
  <c r="AN366" i="29"/>
  <c r="AO366" i="29"/>
  <c r="AP366" i="29"/>
  <c r="AQ366" i="29"/>
  <c r="AR366" i="29"/>
  <c r="AS366" i="29"/>
  <c r="AT366" i="29"/>
  <c r="AU366" i="29"/>
  <c r="AV366" i="29"/>
  <c r="AW366" i="29"/>
  <c r="AX366" i="29"/>
  <c r="AY366" i="29"/>
  <c r="AZ366" i="29"/>
  <c r="BA366" i="29"/>
  <c r="BB366" i="29"/>
  <c r="BC366" i="29"/>
  <c r="BD366" i="29"/>
  <c r="BE366" i="29"/>
  <c r="BF366" i="29"/>
  <c r="AB367" i="29"/>
  <c r="AC367" i="29"/>
  <c r="AD367" i="29"/>
  <c r="AE367" i="29"/>
  <c r="AF367" i="29"/>
  <c r="AG367" i="29"/>
  <c r="AH367" i="29"/>
  <c r="AI367" i="29"/>
  <c r="AJ367" i="29"/>
  <c r="AK367" i="29"/>
  <c r="AL367" i="29"/>
  <c r="AM367" i="29"/>
  <c r="AN367" i="29"/>
  <c r="AO367" i="29"/>
  <c r="AP367" i="29"/>
  <c r="AQ367" i="29"/>
  <c r="AR367" i="29"/>
  <c r="AS367" i="29"/>
  <c r="AT367" i="29"/>
  <c r="AU367" i="29"/>
  <c r="AV367" i="29"/>
  <c r="AW367" i="29"/>
  <c r="AX367" i="29"/>
  <c r="AY367" i="29"/>
  <c r="AZ367" i="29"/>
  <c r="BA367" i="29"/>
  <c r="BB367" i="29"/>
  <c r="BC367" i="29"/>
  <c r="BD367" i="29"/>
  <c r="BE367" i="29"/>
  <c r="BF367" i="29"/>
  <c r="AB368" i="29"/>
  <c r="AC368" i="29"/>
  <c r="AD368" i="29"/>
  <c r="AE368" i="29"/>
  <c r="AF368" i="29"/>
  <c r="AG368" i="29"/>
  <c r="AH368" i="29"/>
  <c r="AI368" i="29"/>
  <c r="AJ368" i="29"/>
  <c r="AK368" i="29"/>
  <c r="AL368" i="29"/>
  <c r="AM368" i="29"/>
  <c r="AN368" i="29"/>
  <c r="AO368" i="29"/>
  <c r="AP368" i="29"/>
  <c r="AQ368" i="29"/>
  <c r="AR368" i="29"/>
  <c r="AS368" i="29"/>
  <c r="AT368" i="29"/>
  <c r="AU368" i="29"/>
  <c r="AV368" i="29"/>
  <c r="AW368" i="29"/>
  <c r="AX368" i="29"/>
  <c r="AY368" i="29"/>
  <c r="AZ368" i="29"/>
  <c r="BA368" i="29"/>
  <c r="BB368" i="29"/>
  <c r="BC368" i="29"/>
  <c r="BD368" i="29"/>
  <c r="BE368" i="29"/>
  <c r="BF368" i="29"/>
  <c r="AB369" i="29"/>
  <c r="AC369" i="29"/>
  <c r="AD369" i="29"/>
  <c r="AE369" i="29"/>
  <c r="AF369" i="29"/>
  <c r="AG369" i="29"/>
  <c r="AH369" i="29"/>
  <c r="AI369" i="29"/>
  <c r="AJ369" i="29"/>
  <c r="AK369" i="29"/>
  <c r="AL369" i="29"/>
  <c r="AM369" i="29"/>
  <c r="AN369" i="29"/>
  <c r="AO369" i="29"/>
  <c r="AP369" i="29"/>
  <c r="AQ369" i="29"/>
  <c r="AR369" i="29"/>
  <c r="AS369" i="29"/>
  <c r="AT369" i="29"/>
  <c r="AU369" i="29"/>
  <c r="AV369" i="29"/>
  <c r="AW369" i="29"/>
  <c r="AX369" i="29"/>
  <c r="AY369" i="29"/>
  <c r="AZ369" i="29"/>
  <c r="BA369" i="29"/>
  <c r="BB369" i="29"/>
  <c r="BC369" i="29"/>
  <c r="BD369" i="29"/>
  <c r="BE369" i="29"/>
  <c r="BF369" i="29"/>
  <c r="AB370" i="29"/>
  <c r="AC370" i="29"/>
  <c r="AD370" i="29"/>
  <c r="AE370" i="29"/>
  <c r="AF370" i="29"/>
  <c r="AG370" i="29"/>
  <c r="AH370" i="29"/>
  <c r="AI370" i="29"/>
  <c r="AJ370" i="29"/>
  <c r="AK370" i="29"/>
  <c r="AL370" i="29"/>
  <c r="AM370" i="29"/>
  <c r="AN370" i="29"/>
  <c r="AO370" i="29"/>
  <c r="AP370" i="29"/>
  <c r="AQ370" i="29"/>
  <c r="AR370" i="29"/>
  <c r="AS370" i="29"/>
  <c r="AT370" i="29"/>
  <c r="AU370" i="29"/>
  <c r="AV370" i="29"/>
  <c r="AW370" i="29"/>
  <c r="AX370" i="29"/>
  <c r="AY370" i="29"/>
  <c r="AZ370" i="29"/>
  <c r="BA370" i="29"/>
  <c r="BB370" i="29"/>
  <c r="BC370" i="29"/>
  <c r="BD370" i="29"/>
  <c r="BE370" i="29"/>
  <c r="BF370" i="29"/>
  <c r="AB371" i="29"/>
  <c r="AC371" i="29"/>
  <c r="AD371" i="29"/>
  <c r="AE371" i="29"/>
  <c r="AF371" i="29"/>
  <c r="AG371" i="29"/>
  <c r="AH371" i="29"/>
  <c r="AI371" i="29"/>
  <c r="AJ371" i="29"/>
  <c r="AK371" i="29"/>
  <c r="AL371" i="29"/>
  <c r="AM371" i="29"/>
  <c r="AN371" i="29"/>
  <c r="AO371" i="29"/>
  <c r="AP371" i="29"/>
  <c r="AQ371" i="29"/>
  <c r="AR371" i="29"/>
  <c r="AS371" i="29"/>
  <c r="AT371" i="29"/>
  <c r="AU371" i="29"/>
  <c r="AV371" i="29"/>
  <c r="AW371" i="29"/>
  <c r="AX371" i="29"/>
  <c r="AY371" i="29"/>
  <c r="AZ371" i="29"/>
  <c r="BA371" i="29"/>
  <c r="BB371" i="29"/>
  <c r="BC371" i="29"/>
  <c r="BD371" i="29"/>
  <c r="BE371" i="29"/>
  <c r="BF371" i="29"/>
  <c r="AB372" i="29"/>
  <c r="AC372" i="29"/>
  <c r="AD372" i="29"/>
  <c r="AE372" i="29"/>
  <c r="AF372" i="29"/>
  <c r="AG372" i="29"/>
  <c r="AH372" i="29"/>
  <c r="AI372" i="29"/>
  <c r="AJ372" i="29"/>
  <c r="AK372" i="29"/>
  <c r="AL372" i="29"/>
  <c r="AM372" i="29"/>
  <c r="AN372" i="29"/>
  <c r="AO372" i="29"/>
  <c r="AP372" i="29"/>
  <c r="AQ372" i="29"/>
  <c r="AR372" i="29"/>
  <c r="AS372" i="29"/>
  <c r="AT372" i="29"/>
  <c r="AU372" i="29"/>
  <c r="AV372" i="29"/>
  <c r="AW372" i="29"/>
  <c r="AX372" i="29"/>
  <c r="AY372" i="29"/>
  <c r="AZ372" i="29"/>
  <c r="BA372" i="29"/>
  <c r="BB372" i="29"/>
  <c r="BC372" i="29"/>
  <c r="BD372" i="29"/>
  <c r="BE372" i="29"/>
  <c r="BF372" i="29"/>
  <c r="AB373" i="29"/>
  <c r="AC373" i="29"/>
  <c r="AD373" i="29"/>
  <c r="AE373" i="29"/>
  <c r="AF373" i="29"/>
  <c r="AG373" i="29"/>
  <c r="AH373" i="29"/>
  <c r="AI373" i="29"/>
  <c r="AJ373" i="29"/>
  <c r="AK373" i="29"/>
  <c r="AL373" i="29"/>
  <c r="AM373" i="29"/>
  <c r="AN373" i="29"/>
  <c r="AO373" i="29"/>
  <c r="AP373" i="29"/>
  <c r="AQ373" i="29"/>
  <c r="AR373" i="29"/>
  <c r="AS373" i="29"/>
  <c r="AT373" i="29"/>
  <c r="AU373" i="29"/>
  <c r="AV373" i="29"/>
  <c r="AW373" i="29"/>
  <c r="AX373" i="29"/>
  <c r="AY373" i="29"/>
  <c r="AZ373" i="29"/>
  <c r="BA373" i="29"/>
  <c r="BB373" i="29"/>
  <c r="BC373" i="29"/>
  <c r="BD373" i="29"/>
  <c r="BE373" i="29"/>
  <c r="BF373" i="29"/>
  <c r="AB374" i="29"/>
  <c r="AC374" i="29"/>
  <c r="AD374" i="29"/>
  <c r="AE374" i="29"/>
  <c r="AF374" i="29"/>
  <c r="AG374" i="29"/>
  <c r="AH374" i="29"/>
  <c r="AI374" i="29"/>
  <c r="AJ374" i="29"/>
  <c r="AK374" i="29"/>
  <c r="AL374" i="29"/>
  <c r="AM374" i="29"/>
  <c r="AN374" i="29"/>
  <c r="AO374" i="29"/>
  <c r="AP374" i="29"/>
  <c r="AQ374" i="29"/>
  <c r="AR374" i="29"/>
  <c r="AS374" i="29"/>
  <c r="AT374" i="29"/>
  <c r="AU374" i="29"/>
  <c r="AV374" i="29"/>
  <c r="AW374" i="29"/>
  <c r="AX374" i="29"/>
  <c r="AY374" i="29"/>
  <c r="AZ374" i="29"/>
  <c r="BA374" i="29"/>
  <c r="BB374" i="29"/>
  <c r="BC374" i="29"/>
  <c r="BD374" i="29"/>
  <c r="BE374" i="29"/>
  <c r="BF374" i="29"/>
  <c r="AB375" i="29"/>
  <c r="AC375" i="29"/>
  <c r="AD375" i="29"/>
  <c r="AE375" i="29"/>
  <c r="AF375" i="29"/>
  <c r="AG375" i="29"/>
  <c r="AH375" i="29"/>
  <c r="AI375" i="29"/>
  <c r="AJ375" i="29"/>
  <c r="AK375" i="29"/>
  <c r="AL375" i="29"/>
  <c r="AM375" i="29"/>
  <c r="AN375" i="29"/>
  <c r="AO375" i="29"/>
  <c r="AP375" i="29"/>
  <c r="AQ375" i="29"/>
  <c r="AR375" i="29"/>
  <c r="AS375" i="29"/>
  <c r="AT375" i="29"/>
  <c r="AU375" i="29"/>
  <c r="AV375" i="29"/>
  <c r="AW375" i="29"/>
  <c r="AX375" i="29"/>
  <c r="AY375" i="29"/>
  <c r="AZ375" i="29"/>
  <c r="BA375" i="29"/>
  <c r="BB375" i="29"/>
  <c r="BC375" i="29"/>
  <c r="BD375" i="29"/>
  <c r="BE375" i="29"/>
  <c r="BF375" i="29"/>
  <c r="AB376" i="29"/>
  <c r="AC376" i="29"/>
  <c r="AD376" i="29"/>
  <c r="AE376" i="29"/>
  <c r="AF376" i="29"/>
  <c r="AG376" i="29"/>
  <c r="AH376" i="29"/>
  <c r="AI376" i="29"/>
  <c r="AJ376" i="29"/>
  <c r="AK376" i="29"/>
  <c r="AL376" i="29"/>
  <c r="AM376" i="29"/>
  <c r="AN376" i="29"/>
  <c r="AO376" i="29"/>
  <c r="AP376" i="29"/>
  <c r="AQ376" i="29"/>
  <c r="AR376" i="29"/>
  <c r="AS376" i="29"/>
  <c r="AT376" i="29"/>
  <c r="AU376" i="29"/>
  <c r="AV376" i="29"/>
  <c r="AW376" i="29"/>
  <c r="AX376" i="29"/>
  <c r="AY376" i="29"/>
  <c r="AZ376" i="29"/>
  <c r="BA376" i="29"/>
  <c r="BB376" i="29"/>
  <c r="BC376" i="29"/>
  <c r="BD376" i="29"/>
  <c r="BE376" i="29"/>
  <c r="BF376" i="29"/>
  <c r="AB377" i="29"/>
  <c r="AC377" i="29"/>
  <c r="AD377" i="29"/>
  <c r="AE377" i="29"/>
  <c r="AF377" i="29"/>
  <c r="AG377" i="29"/>
  <c r="AH377" i="29"/>
  <c r="AI377" i="29"/>
  <c r="AJ377" i="29"/>
  <c r="AK377" i="29"/>
  <c r="AL377" i="29"/>
  <c r="AM377" i="29"/>
  <c r="AN377" i="29"/>
  <c r="AO377" i="29"/>
  <c r="AP377" i="29"/>
  <c r="AQ377" i="29"/>
  <c r="AR377" i="29"/>
  <c r="AS377" i="29"/>
  <c r="AT377" i="29"/>
  <c r="AU377" i="29"/>
  <c r="AV377" i="29"/>
  <c r="AW377" i="29"/>
  <c r="AX377" i="29"/>
  <c r="AY377" i="29"/>
  <c r="AZ377" i="29"/>
  <c r="BA377" i="29"/>
  <c r="BB377" i="29"/>
  <c r="BC377" i="29"/>
  <c r="BD377" i="29"/>
  <c r="BE377" i="29"/>
  <c r="BF377" i="29"/>
  <c r="AB378" i="29"/>
  <c r="AC378" i="29"/>
  <c r="AD378" i="29"/>
  <c r="AE378" i="29"/>
  <c r="AF378" i="29"/>
  <c r="AG378" i="29"/>
  <c r="AH378" i="29"/>
  <c r="AI378" i="29"/>
  <c r="AJ378" i="29"/>
  <c r="AK378" i="29"/>
  <c r="AL378" i="29"/>
  <c r="AM378" i="29"/>
  <c r="AN378" i="29"/>
  <c r="AO378" i="29"/>
  <c r="AP378" i="29"/>
  <c r="AQ378" i="29"/>
  <c r="AR378" i="29"/>
  <c r="AS378" i="29"/>
  <c r="AT378" i="29"/>
  <c r="AU378" i="29"/>
  <c r="AV378" i="29"/>
  <c r="AW378" i="29"/>
  <c r="AX378" i="29"/>
  <c r="AY378" i="29"/>
  <c r="AZ378" i="29"/>
  <c r="BA378" i="29"/>
  <c r="BB378" i="29"/>
  <c r="BC378" i="29"/>
  <c r="BD378" i="29"/>
  <c r="BE378" i="29"/>
  <c r="BF378" i="29"/>
  <c r="AB379" i="29"/>
  <c r="AC379" i="29"/>
  <c r="AD379" i="29"/>
  <c r="AE379" i="29"/>
  <c r="AF379" i="29"/>
  <c r="AG379" i="29"/>
  <c r="AH379" i="29"/>
  <c r="AI379" i="29"/>
  <c r="AJ379" i="29"/>
  <c r="AK379" i="29"/>
  <c r="AL379" i="29"/>
  <c r="AM379" i="29"/>
  <c r="AN379" i="29"/>
  <c r="AO379" i="29"/>
  <c r="AP379" i="29"/>
  <c r="AQ379" i="29"/>
  <c r="AR379" i="29"/>
  <c r="AS379" i="29"/>
  <c r="AT379" i="29"/>
  <c r="AU379" i="29"/>
  <c r="AV379" i="29"/>
  <c r="AW379" i="29"/>
  <c r="AX379" i="29"/>
  <c r="AY379" i="29"/>
  <c r="AZ379" i="29"/>
  <c r="BA379" i="29"/>
  <c r="BB379" i="29"/>
  <c r="BC379" i="29"/>
  <c r="BD379" i="29"/>
  <c r="BE379" i="29"/>
  <c r="BF379" i="29"/>
  <c r="AB380" i="29"/>
  <c r="AC380" i="29"/>
  <c r="AD380" i="29"/>
  <c r="AE380" i="29"/>
  <c r="AF380" i="29"/>
  <c r="AG380" i="29"/>
  <c r="AH380" i="29"/>
  <c r="AI380" i="29"/>
  <c r="AJ380" i="29"/>
  <c r="AK380" i="29"/>
  <c r="AL380" i="29"/>
  <c r="AM380" i="29"/>
  <c r="AN380" i="29"/>
  <c r="AO380" i="29"/>
  <c r="AP380" i="29"/>
  <c r="AQ380" i="29"/>
  <c r="AR380" i="29"/>
  <c r="AS380" i="29"/>
  <c r="AT380" i="29"/>
  <c r="AU380" i="29"/>
  <c r="AV380" i="29"/>
  <c r="AW380" i="29"/>
  <c r="AX380" i="29"/>
  <c r="AY380" i="29"/>
  <c r="AZ380" i="29"/>
  <c r="BA380" i="29"/>
  <c r="BB380" i="29"/>
  <c r="BC380" i="29"/>
  <c r="BD380" i="29"/>
  <c r="BE380" i="29"/>
  <c r="BF380" i="29"/>
  <c r="AB381" i="29"/>
  <c r="AC381" i="29"/>
  <c r="AD381" i="29"/>
  <c r="AE381" i="29"/>
  <c r="AF381" i="29"/>
  <c r="AG381" i="29"/>
  <c r="AH381" i="29"/>
  <c r="AI381" i="29"/>
  <c r="AJ381" i="29"/>
  <c r="AK381" i="29"/>
  <c r="AL381" i="29"/>
  <c r="AM381" i="29"/>
  <c r="AN381" i="29"/>
  <c r="AO381" i="29"/>
  <c r="AP381" i="29"/>
  <c r="AQ381" i="29"/>
  <c r="AR381" i="29"/>
  <c r="AS381" i="29"/>
  <c r="AT381" i="29"/>
  <c r="AU381" i="29"/>
  <c r="AV381" i="29"/>
  <c r="AW381" i="29"/>
  <c r="AX381" i="29"/>
  <c r="AY381" i="29"/>
  <c r="AZ381" i="29"/>
  <c r="BA381" i="29"/>
  <c r="BB381" i="29"/>
  <c r="BC381" i="29"/>
  <c r="BD381" i="29"/>
  <c r="BE381" i="29"/>
  <c r="BF381" i="29"/>
  <c r="AB382" i="29"/>
  <c r="AC382" i="29"/>
  <c r="AD382" i="29"/>
  <c r="AE382" i="29"/>
  <c r="AF382" i="29"/>
  <c r="AG382" i="29"/>
  <c r="AH382" i="29"/>
  <c r="AI382" i="29"/>
  <c r="AJ382" i="29"/>
  <c r="AK382" i="29"/>
  <c r="AL382" i="29"/>
  <c r="AM382" i="29"/>
  <c r="AN382" i="29"/>
  <c r="AO382" i="29"/>
  <c r="AP382" i="29"/>
  <c r="AQ382" i="29"/>
  <c r="AR382" i="29"/>
  <c r="AS382" i="29"/>
  <c r="AT382" i="29"/>
  <c r="AU382" i="29"/>
  <c r="AV382" i="29"/>
  <c r="AW382" i="29"/>
  <c r="AX382" i="29"/>
  <c r="AY382" i="29"/>
  <c r="AZ382" i="29"/>
  <c r="BA382" i="29"/>
  <c r="BB382" i="29"/>
  <c r="BC382" i="29"/>
  <c r="BD382" i="29"/>
  <c r="BE382" i="29"/>
  <c r="BF382" i="29"/>
  <c r="AB383" i="29"/>
  <c r="AC383" i="29"/>
  <c r="AD383" i="29"/>
  <c r="AE383" i="29"/>
  <c r="AF383" i="29"/>
  <c r="AG383" i="29"/>
  <c r="AH383" i="29"/>
  <c r="AI383" i="29"/>
  <c r="AJ383" i="29"/>
  <c r="AK383" i="29"/>
  <c r="AL383" i="29"/>
  <c r="AM383" i="29"/>
  <c r="AN383" i="29"/>
  <c r="AO383" i="29"/>
  <c r="AP383" i="29"/>
  <c r="AQ383" i="29"/>
  <c r="AR383" i="29"/>
  <c r="AS383" i="29"/>
  <c r="AT383" i="29"/>
  <c r="AU383" i="29"/>
  <c r="AV383" i="29"/>
  <c r="AW383" i="29"/>
  <c r="AX383" i="29"/>
  <c r="AY383" i="29"/>
  <c r="AZ383" i="29"/>
  <c r="BA383" i="29"/>
  <c r="BB383" i="29"/>
  <c r="BC383" i="29"/>
  <c r="BD383" i="29"/>
  <c r="BE383" i="29"/>
  <c r="BF383" i="29"/>
  <c r="AB384" i="29"/>
  <c r="AC384" i="29"/>
  <c r="AD384" i="29"/>
  <c r="AE384" i="29"/>
  <c r="AF384" i="29"/>
  <c r="AG384" i="29"/>
  <c r="AH384" i="29"/>
  <c r="AI384" i="29"/>
  <c r="AJ384" i="29"/>
  <c r="AK384" i="29"/>
  <c r="AL384" i="29"/>
  <c r="AM384" i="29"/>
  <c r="AN384" i="29"/>
  <c r="AO384" i="29"/>
  <c r="AP384" i="29"/>
  <c r="AQ384" i="29"/>
  <c r="AR384" i="29"/>
  <c r="AS384" i="29"/>
  <c r="AT384" i="29"/>
  <c r="AU384" i="29"/>
  <c r="AV384" i="29"/>
  <c r="AW384" i="29"/>
  <c r="AX384" i="29"/>
  <c r="AY384" i="29"/>
  <c r="AZ384" i="29"/>
  <c r="BA384" i="29"/>
  <c r="BB384" i="29"/>
  <c r="BC384" i="29"/>
  <c r="BD384" i="29"/>
  <c r="BE384" i="29"/>
  <c r="BF384" i="29"/>
  <c r="AB385" i="29"/>
  <c r="AC385" i="29"/>
  <c r="AD385" i="29"/>
  <c r="AE385" i="29"/>
  <c r="AF385" i="29"/>
  <c r="AG385" i="29"/>
  <c r="AH385" i="29"/>
  <c r="AI385" i="29"/>
  <c r="AJ385" i="29"/>
  <c r="AK385" i="29"/>
  <c r="AL385" i="29"/>
  <c r="AM385" i="29"/>
  <c r="AN385" i="29"/>
  <c r="AO385" i="29"/>
  <c r="AP385" i="29"/>
  <c r="AQ385" i="29"/>
  <c r="AR385" i="29"/>
  <c r="AS385" i="29"/>
  <c r="AT385" i="29"/>
  <c r="AU385" i="29"/>
  <c r="AV385" i="29"/>
  <c r="AW385" i="29"/>
  <c r="AX385" i="29"/>
  <c r="AY385" i="29"/>
  <c r="AZ385" i="29"/>
  <c r="BA385" i="29"/>
  <c r="BB385" i="29"/>
  <c r="BC385" i="29"/>
  <c r="BD385" i="29"/>
  <c r="BE385" i="29"/>
  <c r="BF385" i="29"/>
  <c r="AB386" i="29"/>
  <c r="AC386" i="29"/>
  <c r="AD386" i="29"/>
  <c r="AE386" i="29"/>
  <c r="AF386" i="29"/>
  <c r="AG386" i="29"/>
  <c r="AH386" i="29"/>
  <c r="AI386" i="29"/>
  <c r="AJ386" i="29"/>
  <c r="AK386" i="29"/>
  <c r="AL386" i="29"/>
  <c r="AM386" i="29"/>
  <c r="AN386" i="29"/>
  <c r="AO386" i="29"/>
  <c r="AP386" i="29"/>
  <c r="AQ386" i="29"/>
  <c r="AR386" i="29"/>
  <c r="AS386" i="29"/>
  <c r="AT386" i="29"/>
  <c r="AU386" i="29"/>
  <c r="AV386" i="29"/>
  <c r="AW386" i="29"/>
  <c r="AX386" i="29"/>
  <c r="AY386" i="29"/>
  <c r="AZ386" i="29"/>
  <c r="BA386" i="29"/>
  <c r="BB386" i="29"/>
  <c r="BC386" i="29"/>
  <c r="BD386" i="29"/>
  <c r="BE386" i="29"/>
  <c r="BF386" i="29"/>
  <c r="AB387" i="29"/>
  <c r="AC387" i="29"/>
  <c r="AD387" i="29"/>
  <c r="AE387" i="29"/>
  <c r="AF387" i="29"/>
  <c r="AG387" i="29"/>
  <c r="AH387" i="29"/>
  <c r="AI387" i="29"/>
  <c r="AJ387" i="29"/>
  <c r="AK387" i="29"/>
  <c r="AL387" i="29"/>
  <c r="AM387" i="29"/>
  <c r="AN387" i="29"/>
  <c r="AO387" i="29"/>
  <c r="AP387" i="29"/>
  <c r="AQ387" i="29"/>
  <c r="AR387" i="29"/>
  <c r="AS387" i="29"/>
  <c r="AT387" i="29"/>
  <c r="AU387" i="29"/>
  <c r="AV387" i="29"/>
  <c r="AW387" i="29"/>
  <c r="AX387" i="29"/>
  <c r="AY387" i="29"/>
  <c r="AZ387" i="29"/>
  <c r="BA387" i="29"/>
  <c r="BB387" i="29"/>
  <c r="BC387" i="29"/>
  <c r="BD387" i="29"/>
  <c r="BE387" i="29"/>
  <c r="BF387" i="29"/>
  <c r="W343" i="29"/>
  <c r="X343" i="29"/>
  <c r="Y343" i="29"/>
  <c r="Z343" i="29"/>
  <c r="AA343" i="29"/>
  <c r="W344" i="29"/>
  <c r="X344" i="29"/>
  <c r="Y344" i="29"/>
  <c r="Z344" i="29"/>
  <c r="AA344" i="29"/>
  <c r="W345" i="29"/>
  <c r="X345" i="29"/>
  <c r="Y345" i="29"/>
  <c r="Z345" i="29"/>
  <c r="AA345" i="29"/>
  <c r="W346" i="29"/>
  <c r="X346" i="29"/>
  <c r="Y346" i="29"/>
  <c r="Z346" i="29"/>
  <c r="AA346" i="29"/>
  <c r="W347" i="29"/>
  <c r="X347" i="29"/>
  <c r="Y347" i="29"/>
  <c r="Z347" i="29"/>
  <c r="AA347" i="29"/>
  <c r="W348" i="29"/>
  <c r="X348" i="29"/>
  <c r="Y348" i="29"/>
  <c r="Z348" i="29"/>
  <c r="AA348" i="29"/>
  <c r="W349" i="29"/>
  <c r="X349" i="29"/>
  <c r="Y349" i="29"/>
  <c r="Z349" i="29"/>
  <c r="AA349" i="29"/>
  <c r="W350" i="29"/>
  <c r="X350" i="29"/>
  <c r="Y350" i="29"/>
  <c r="Z350" i="29"/>
  <c r="AA350" i="29"/>
  <c r="W351" i="29"/>
  <c r="X351" i="29"/>
  <c r="Y351" i="29"/>
  <c r="Z351" i="29"/>
  <c r="AA351" i="29"/>
  <c r="W352" i="29"/>
  <c r="X352" i="29"/>
  <c r="Y352" i="29"/>
  <c r="Z352" i="29"/>
  <c r="AA352" i="29"/>
  <c r="W353" i="29"/>
  <c r="X353" i="29"/>
  <c r="Y353" i="29"/>
  <c r="Z353" i="29"/>
  <c r="AA353" i="29"/>
  <c r="W354" i="29"/>
  <c r="X354" i="29"/>
  <c r="Y354" i="29"/>
  <c r="Z354" i="29"/>
  <c r="AA354" i="29"/>
  <c r="W355" i="29"/>
  <c r="X355" i="29"/>
  <c r="Y355" i="29"/>
  <c r="Z355" i="29"/>
  <c r="AA355" i="29"/>
  <c r="W356" i="29"/>
  <c r="X356" i="29"/>
  <c r="Y356" i="29"/>
  <c r="Z356" i="29"/>
  <c r="AA356" i="29"/>
  <c r="W357" i="29"/>
  <c r="X357" i="29"/>
  <c r="Y357" i="29"/>
  <c r="Z357" i="29"/>
  <c r="AA357" i="29"/>
  <c r="W358" i="29"/>
  <c r="X358" i="29"/>
  <c r="Y358" i="29"/>
  <c r="Z358" i="29"/>
  <c r="AA358" i="29"/>
  <c r="W359" i="29"/>
  <c r="X359" i="29"/>
  <c r="Y359" i="29"/>
  <c r="Z359" i="29"/>
  <c r="AA359" i="29"/>
  <c r="W360" i="29"/>
  <c r="X360" i="29"/>
  <c r="Y360" i="29"/>
  <c r="Z360" i="29"/>
  <c r="AA360" i="29"/>
  <c r="W361" i="29"/>
  <c r="X361" i="29"/>
  <c r="Y361" i="29"/>
  <c r="Z361" i="29"/>
  <c r="AA361" i="29"/>
  <c r="W362" i="29"/>
  <c r="X362" i="29"/>
  <c r="Y362" i="29"/>
  <c r="Z362" i="29"/>
  <c r="AA362" i="29"/>
  <c r="W363" i="29"/>
  <c r="X363" i="29"/>
  <c r="Y363" i="29"/>
  <c r="Z363" i="29"/>
  <c r="AA363" i="29"/>
  <c r="W364" i="29"/>
  <c r="X364" i="29"/>
  <c r="Y364" i="29"/>
  <c r="Z364" i="29"/>
  <c r="AA364" i="29"/>
  <c r="W365" i="29"/>
  <c r="X365" i="29"/>
  <c r="Y365" i="29"/>
  <c r="Z365" i="29"/>
  <c r="AA365" i="29"/>
  <c r="W366" i="29"/>
  <c r="X366" i="29"/>
  <c r="Y366" i="29"/>
  <c r="Z366" i="29"/>
  <c r="AA366" i="29"/>
  <c r="W367" i="29"/>
  <c r="X367" i="29"/>
  <c r="Y367" i="29"/>
  <c r="Z367" i="29"/>
  <c r="AA367" i="29"/>
  <c r="W368" i="29"/>
  <c r="X368" i="29"/>
  <c r="Y368" i="29"/>
  <c r="Z368" i="29"/>
  <c r="AA368" i="29"/>
  <c r="W369" i="29"/>
  <c r="X369" i="29"/>
  <c r="Y369" i="29"/>
  <c r="Z369" i="29"/>
  <c r="AA369" i="29"/>
  <c r="W370" i="29"/>
  <c r="X370" i="29"/>
  <c r="Y370" i="29"/>
  <c r="Z370" i="29"/>
  <c r="AA370" i="29"/>
  <c r="W371" i="29"/>
  <c r="X371" i="29"/>
  <c r="Y371" i="29"/>
  <c r="Z371" i="29"/>
  <c r="AA371" i="29"/>
  <c r="W372" i="29"/>
  <c r="X372" i="29"/>
  <c r="Y372" i="29"/>
  <c r="Z372" i="29"/>
  <c r="AA372" i="29"/>
  <c r="W373" i="29"/>
  <c r="X373" i="29"/>
  <c r="Y373" i="29"/>
  <c r="Z373" i="29"/>
  <c r="AA373" i="29"/>
  <c r="W374" i="29"/>
  <c r="X374" i="29"/>
  <c r="Y374" i="29"/>
  <c r="Z374" i="29"/>
  <c r="AA374" i="29"/>
  <c r="W375" i="29"/>
  <c r="X375" i="29"/>
  <c r="Y375" i="29"/>
  <c r="Z375" i="29"/>
  <c r="AA375" i="29"/>
  <c r="W376" i="29"/>
  <c r="X376" i="29"/>
  <c r="Y376" i="29"/>
  <c r="Z376" i="29"/>
  <c r="AA376" i="29"/>
  <c r="W377" i="29"/>
  <c r="X377" i="29"/>
  <c r="Y377" i="29"/>
  <c r="Z377" i="29"/>
  <c r="AA377" i="29"/>
  <c r="W378" i="29"/>
  <c r="X378" i="29"/>
  <c r="Y378" i="29"/>
  <c r="Z378" i="29"/>
  <c r="AA378" i="29"/>
  <c r="W379" i="29"/>
  <c r="X379" i="29"/>
  <c r="Y379" i="29"/>
  <c r="Z379" i="29"/>
  <c r="AA379" i="29"/>
  <c r="W380" i="29"/>
  <c r="X380" i="29"/>
  <c r="Y380" i="29"/>
  <c r="Z380" i="29"/>
  <c r="AA380" i="29"/>
  <c r="W381" i="29"/>
  <c r="X381" i="29"/>
  <c r="Y381" i="29"/>
  <c r="Z381" i="29"/>
  <c r="AA381" i="29"/>
  <c r="W382" i="29"/>
  <c r="X382" i="29"/>
  <c r="Y382" i="29"/>
  <c r="Z382" i="29"/>
  <c r="AA382" i="29"/>
  <c r="W383" i="29"/>
  <c r="X383" i="29"/>
  <c r="Y383" i="29"/>
  <c r="Z383" i="29"/>
  <c r="AA383" i="29"/>
  <c r="W384" i="29"/>
  <c r="X384" i="29"/>
  <c r="Y384" i="29"/>
  <c r="Z384" i="29"/>
  <c r="AA384" i="29"/>
  <c r="W385" i="29"/>
  <c r="X385" i="29"/>
  <c r="Y385" i="29"/>
  <c r="Z385" i="29"/>
  <c r="AA385" i="29"/>
  <c r="W386" i="29"/>
  <c r="X386" i="29"/>
  <c r="Y386" i="29"/>
  <c r="Z386" i="29"/>
  <c r="AA386" i="29"/>
  <c r="W387" i="29"/>
  <c r="X387" i="29"/>
  <c r="Y387" i="29"/>
  <c r="Z387" i="29"/>
  <c r="AA387" i="29"/>
  <c r="C343" i="29"/>
  <c r="D343" i="29"/>
  <c r="E343" i="29"/>
  <c r="F343" i="29"/>
  <c r="G343" i="29"/>
  <c r="H343" i="29"/>
  <c r="I343" i="29"/>
  <c r="J343" i="29"/>
  <c r="K343" i="29"/>
  <c r="L343" i="29"/>
  <c r="M343" i="29"/>
  <c r="N343" i="29"/>
  <c r="O343" i="29"/>
  <c r="P343" i="29"/>
  <c r="Q343" i="29"/>
  <c r="R343" i="29"/>
  <c r="S343" i="29"/>
  <c r="T343" i="29"/>
  <c r="U343" i="29"/>
  <c r="V343" i="29"/>
  <c r="C344" i="29"/>
  <c r="D344" i="29"/>
  <c r="E344" i="29"/>
  <c r="F344" i="29"/>
  <c r="G344" i="29"/>
  <c r="H344" i="29"/>
  <c r="I344" i="29"/>
  <c r="J344" i="29"/>
  <c r="K344" i="29"/>
  <c r="L344" i="29"/>
  <c r="M344" i="29"/>
  <c r="N344" i="29"/>
  <c r="O344" i="29"/>
  <c r="P344" i="29"/>
  <c r="Q344" i="29"/>
  <c r="R344" i="29"/>
  <c r="S344" i="29"/>
  <c r="T344" i="29"/>
  <c r="U344" i="29"/>
  <c r="V344" i="29"/>
  <c r="C345" i="29"/>
  <c r="D345" i="29"/>
  <c r="E345" i="29"/>
  <c r="F345" i="29"/>
  <c r="G345" i="29"/>
  <c r="H345" i="29"/>
  <c r="I345" i="29"/>
  <c r="J345" i="29"/>
  <c r="K345" i="29"/>
  <c r="L345" i="29"/>
  <c r="M345" i="29"/>
  <c r="N345" i="29"/>
  <c r="O345" i="29"/>
  <c r="P345" i="29"/>
  <c r="Q345" i="29"/>
  <c r="R345" i="29"/>
  <c r="S345" i="29"/>
  <c r="T345" i="29"/>
  <c r="U345" i="29"/>
  <c r="V345" i="29"/>
  <c r="C346" i="29"/>
  <c r="D346" i="29"/>
  <c r="E346" i="29"/>
  <c r="F346" i="29"/>
  <c r="G346" i="29"/>
  <c r="H346" i="29"/>
  <c r="I346" i="29"/>
  <c r="J346" i="29"/>
  <c r="K346" i="29"/>
  <c r="L346" i="29"/>
  <c r="M346" i="29"/>
  <c r="N346" i="29"/>
  <c r="O346" i="29"/>
  <c r="P346" i="29"/>
  <c r="Q346" i="29"/>
  <c r="R346" i="29"/>
  <c r="S346" i="29"/>
  <c r="T346" i="29"/>
  <c r="U346" i="29"/>
  <c r="V346" i="29"/>
  <c r="C347" i="29"/>
  <c r="D347" i="29"/>
  <c r="E347" i="29"/>
  <c r="F347" i="29"/>
  <c r="G347" i="29"/>
  <c r="H347" i="29"/>
  <c r="I347" i="29"/>
  <c r="J347" i="29"/>
  <c r="K347" i="29"/>
  <c r="L347" i="29"/>
  <c r="M347" i="29"/>
  <c r="N347" i="29"/>
  <c r="O347" i="29"/>
  <c r="P347" i="29"/>
  <c r="Q347" i="29"/>
  <c r="R347" i="29"/>
  <c r="S347" i="29"/>
  <c r="T347" i="29"/>
  <c r="U347" i="29"/>
  <c r="V347" i="29"/>
  <c r="C348" i="29"/>
  <c r="D348" i="29"/>
  <c r="E348" i="29"/>
  <c r="F348" i="29"/>
  <c r="G348" i="29"/>
  <c r="H348" i="29"/>
  <c r="I348" i="29"/>
  <c r="J348" i="29"/>
  <c r="K348" i="29"/>
  <c r="L348" i="29"/>
  <c r="M348" i="29"/>
  <c r="N348" i="29"/>
  <c r="O348" i="29"/>
  <c r="P348" i="29"/>
  <c r="Q348" i="29"/>
  <c r="R348" i="29"/>
  <c r="S348" i="29"/>
  <c r="T348" i="29"/>
  <c r="U348" i="29"/>
  <c r="V348" i="29"/>
  <c r="C349" i="29"/>
  <c r="D349" i="29"/>
  <c r="E349" i="29"/>
  <c r="F349" i="29"/>
  <c r="G349" i="29"/>
  <c r="H349" i="29"/>
  <c r="I349" i="29"/>
  <c r="J349" i="29"/>
  <c r="K349" i="29"/>
  <c r="L349" i="29"/>
  <c r="M349" i="29"/>
  <c r="N349" i="29"/>
  <c r="O349" i="29"/>
  <c r="P349" i="29"/>
  <c r="Q349" i="29"/>
  <c r="R349" i="29"/>
  <c r="S349" i="29"/>
  <c r="T349" i="29"/>
  <c r="U349" i="29"/>
  <c r="V349" i="29"/>
  <c r="C350" i="29"/>
  <c r="D350" i="29"/>
  <c r="E350" i="29"/>
  <c r="F350" i="29"/>
  <c r="G350" i="29"/>
  <c r="H350" i="29"/>
  <c r="I350" i="29"/>
  <c r="J350" i="29"/>
  <c r="K350" i="29"/>
  <c r="L350" i="29"/>
  <c r="M350" i="29"/>
  <c r="N350" i="29"/>
  <c r="O350" i="29"/>
  <c r="P350" i="29"/>
  <c r="Q350" i="29"/>
  <c r="R350" i="29"/>
  <c r="S350" i="29"/>
  <c r="T350" i="29"/>
  <c r="U350" i="29"/>
  <c r="V350" i="29"/>
  <c r="C351" i="29"/>
  <c r="D351" i="29"/>
  <c r="E351" i="29"/>
  <c r="F351" i="29"/>
  <c r="G351" i="29"/>
  <c r="H351" i="29"/>
  <c r="I351" i="29"/>
  <c r="J351" i="29"/>
  <c r="K351" i="29"/>
  <c r="L351" i="29"/>
  <c r="M351" i="29"/>
  <c r="N351" i="29"/>
  <c r="O351" i="29"/>
  <c r="P351" i="29"/>
  <c r="Q351" i="29"/>
  <c r="R351" i="29"/>
  <c r="S351" i="29"/>
  <c r="T351" i="29"/>
  <c r="U351" i="29"/>
  <c r="V351" i="29"/>
  <c r="C352" i="29"/>
  <c r="D352" i="29"/>
  <c r="E352" i="29"/>
  <c r="F352" i="29"/>
  <c r="G352" i="29"/>
  <c r="H352" i="29"/>
  <c r="I352" i="29"/>
  <c r="J352" i="29"/>
  <c r="K352" i="29"/>
  <c r="L352" i="29"/>
  <c r="M352" i="29"/>
  <c r="N352" i="29"/>
  <c r="O352" i="29"/>
  <c r="P352" i="29"/>
  <c r="Q352" i="29"/>
  <c r="R352" i="29"/>
  <c r="S352" i="29"/>
  <c r="T352" i="29"/>
  <c r="U352" i="29"/>
  <c r="V352" i="29"/>
  <c r="C353" i="29"/>
  <c r="D353" i="29"/>
  <c r="E353" i="29"/>
  <c r="F353" i="29"/>
  <c r="G353" i="29"/>
  <c r="H353" i="29"/>
  <c r="I353" i="29"/>
  <c r="J353" i="29"/>
  <c r="K353" i="29"/>
  <c r="L353" i="29"/>
  <c r="M353" i="29"/>
  <c r="N353" i="29"/>
  <c r="O353" i="29"/>
  <c r="P353" i="29"/>
  <c r="Q353" i="29"/>
  <c r="R353" i="29"/>
  <c r="S353" i="29"/>
  <c r="T353" i="29"/>
  <c r="U353" i="29"/>
  <c r="V353" i="29"/>
  <c r="C354" i="29"/>
  <c r="D354" i="29"/>
  <c r="E354" i="29"/>
  <c r="F354" i="29"/>
  <c r="G354" i="29"/>
  <c r="H354" i="29"/>
  <c r="I354" i="29"/>
  <c r="J354" i="29"/>
  <c r="K354" i="29"/>
  <c r="L354" i="29"/>
  <c r="M354" i="29"/>
  <c r="N354" i="29"/>
  <c r="O354" i="29"/>
  <c r="P354" i="29"/>
  <c r="Q354" i="29"/>
  <c r="R354" i="29"/>
  <c r="S354" i="29"/>
  <c r="T354" i="29"/>
  <c r="U354" i="29"/>
  <c r="V354" i="29"/>
  <c r="C355" i="29"/>
  <c r="D355" i="29"/>
  <c r="E355" i="29"/>
  <c r="F355" i="29"/>
  <c r="G355" i="29"/>
  <c r="H355" i="29"/>
  <c r="I355" i="29"/>
  <c r="J355" i="29"/>
  <c r="K355" i="29"/>
  <c r="L355" i="29"/>
  <c r="M355" i="29"/>
  <c r="N355" i="29"/>
  <c r="O355" i="29"/>
  <c r="P355" i="29"/>
  <c r="Q355" i="29"/>
  <c r="R355" i="29"/>
  <c r="S355" i="29"/>
  <c r="T355" i="29"/>
  <c r="U355" i="29"/>
  <c r="V355" i="29"/>
  <c r="C356" i="29"/>
  <c r="D356" i="29"/>
  <c r="E356" i="29"/>
  <c r="F356" i="29"/>
  <c r="G356" i="29"/>
  <c r="H356" i="29"/>
  <c r="I356" i="29"/>
  <c r="J356" i="29"/>
  <c r="K356" i="29"/>
  <c r="L356" i="29"/>
  <c r="M356" i="29"/>
  <c r="N356" i="29"/>
  <c r="O356" i="29"/>
  <c r="P356" i="29"/>
  <c r="Q356" i="29"/>
  <c r="R356" i="29"/>
  <c r="S356" i="29"/>
  <c r="T356" i="29"/>
  <c r="U356" i="29"/>
  <c r="V356" i="29"/>
  <c r="C357" i="29"/>
  <c r="D357" i="29"/>
  <c r="E357" i="29"/>
  <c r="F357" i="29"/>
  <c r="G357" i="29"/>
  <c r="H357" i="29"/>
  <c r="I357" i="29"/>
  <c r="J357" i="29"/>
  <c r="K357" i="29"/>
  <c r="L357" i="29"/>
  <c r="M357" i="29"/>
  <c r="N357" i="29"/>
  <c r="O357" i="29"/>
  <c r="P357" i="29"/>
  <c r="Q357" i="29"/>
  <c r="R357" i="29"/>
  <c r="S357" i="29"/>
  <c r="T357" i="29"/>
  <c r="U357" i="29"/>
  <c r="V357" i="29"/>
  <c r="C358" i="29"/>
  <c r="D358" i="29"/>
  <c r="E358" i="29"/>
  <c r="F358" i="29"/>
  <c r="G358" i="29"/>
  <c r="H358" i="29"/>
  <c r="I358" i="29"/>
  <c r="J358" i="29"/>
  <c r="K358" i="29"/>
  <c r="L358" i="29"/>
  <c r="M358" i="29"/>
  <c r="N358" i="29"/>
  <c r="O358" i="29"/>
  <c r="P358" i="29"/>
  <c r="Q358" i="29"/>
  <c r="R358" i="29"/>
  <c r="S358" i="29"/>
  <c r="T358" i="29"/>
  <c r="U358" i="29"/>
  <c r="V358" i="29"/>
  <c r="C359" i="29"/>
  <c r="D359" i="29"/>
  <c r="E359" i="29"/>
  <c r="F359" i="29"/>
  <c r="G359" i="29"/>
  <c r="H359" i="29"/>
  <c r="I359" i="29"/>
  <c r="J359" i="29"/>
  <c r="K359" i="29"/>
  <c r="L359" i="29"/>
  <c r="M359" i="29"/>
  <c r="N359" i="29"/>
  <c r="O359" i="29"/>
  <c r="P359" i="29"/>
  <c r="Q359" i="29"/>
  <c r="R359" i="29"/>
  <c r="S359" i="29"/>
  <c r="T359" i="29"/>
  <c r="U359" i="29"/>
  <c r="V359" i="29"/>
  <c r="C360" i="29"/>
  <c r="D360" i="29"/>
  <c r="E360" i="29"/>
  <c r="F360" i="29"/>
  <c r="G360" i="29"/>
  <c r="H360" i="29"/>
  <c r="I360" i="29"/>
  <c r="J360" i="29"/>
  <c r="K360" i="29"/>
  <c r="L360" i="29"/>
  <c r="M360" i="29"/>
  <c r="N360" i="29"/>
  <c r="O360" i="29"/>
  <c r="P360" i="29"/>
  <c r="Q360" i="29"/>
  <c r="R360" i="29"/>
  <c r="S360" i="29"/>
  <c r="T360" i="29"/>
  <c r="U360" i="29"/>
  <c r="V360" i="29"/>
  <c r="C361" i="29"/>
  <c r="D361" i="29"/>
  <c r="E361" i="29"/>
  <c r="F361" i="29"/>
  <c r="G361" i="29"/>
  <c r="H361" i="29"/>
  <c r="I361" i="29"/>
  <c r="J361" i="29"/>
  <c r="K361" i="29"/>
  <c r="L361" i="29"/>
  <c r="M361" i="29"/>
  <c r="N361" i="29"/>
  <c r="O361" i="29"/>
  <c r="P361" i="29"/>
  <c r="Q361" i="29"/>
  <c r="R361" i="29"/>
  <c r="S361" i="29"/>
  <c r="T361" i="29"/>
  <c r="U361" i="29"/>
  <c r="V361" i="29"/>
  <c r="C362" i="29"/>
  <c r="D362" i="29"/>
  <c r="E362" i="29"/>
  <c r="F362" i="29"/>
  <c r="G362" i="29"/>
  <c r="H362" i="29"/>
  <c r="I362" i="29"/>
  <c r="J362" i="29"/>
  <c r="K362" i="29"/>
  <c r="L362" i="29"/>
  <c r="M362" i="29"/>
  <c r="N362" i="29"/>
  <c r="O362" i="29"/>
  <c r="P362" i="29"/>
  <c r="Q362" i="29"/>
  <c r="R362" i="29"/>
  <c r="S362" i="29"/>
  <c r="T362" i="29"/>
  <c r="U362" i="29"/>
  <c r="V362" i="29"/>
  <c r="C363" i="29"/>
  <c r="D363" i="29"/>
  <c r="E363" i="29"/>
  <c r="F363" i="29"/>
  <c r="G363" i="29"/>
  <c r="H363" i="29"/>
  <c r="I363" i="29"/>
  <c r="J363" i="29"/>
  <c r="K363" i="29"/>
  <c r="L363" i="29"/>
  <c r="M363" i="29"/>
  <c r="N363" i="29"/>
  <c r="O363" i="29"/>
  <c r="P363" i="29"/>
  <c r="Q363" i="29"/>
  <c r="R363" i="29"/>
  <c r="S363" i="29"/>
  <c r="T363" i="29"/>
  <c r="U363" i="29"/>
  <c r="V363" i="29"/>
  <c r="C364" i="29"/>
  <c r="D364" i="29"/>
  <c r="E364" i="29"/>
  <c r="F364" i="29"/>
  <c r="G364" i="29"/>
  <c r="H364" i="29"/>
  <c r="I364" i="29"/>
  <c r="J364" i="29"/>
  <c r="K364" i="29"/>
  <c r="L364" i="29"/>
  <c r="M364" i="29"/>
  <c r="N364" i="29"/>
  <c r="O364" i="29"/>
  <c r="P364" i="29"/>
  <c r="Q364" i="29"/>
  <c r="R364" i="29"/>
  <c r="S364" i="29"/>
  <c r="T364" i="29"/>
  <c r="U364" i="29"/>
  <c r="V364" i="29"/>
  <c r="C365" i="29"/>
  <c r="D365" i="29"/>
  <c r="E365" i="29"/>
  <c r="F365" i="29"/>
  <c r="G365" i="29"/>
  <c r="H365" i="29"/>
  <c r="I365" i="29"/>
  <c r="J365" i="29"/>
  <c r="K365" i="29"/>
  <c r="L365" i="29"/>
  <c r="M365" i="29"/>
  <c r="N365" i="29"/>
  <c r="O365" i="29"/>
  <c r="P365" i="29"/>
  <c r="Q365" i="29"/>
  <c r="R365" i="29"/>
  <c r="S365" i="29"/>
  <c r="T365" i="29"/>
  <c r="U365" i="29"/>
  <c r="V365" i="29"/>
  <c r="C366" i="29"/>
  <c r="D366" i="29"/>
  <c r="E366" i="29"/>
  <c r="F366" i="29"/>
  <c r="G366" i="29"/>
  <c r="H366" i="29"/>
  <c r="I366" i="29"/>
  <c r="J366" i="29"/>
  <c r="K366" i="29"/>
  <c r="L366" i="29"/>
  <c r="M366" i="29"/>
  <c r="N366" i="29"/>
  <c r="O366" i="29"/>
  <c r="P366" i="29"/>
  <c r="Q366" i="29"/>
  <c r="R366" i="29"/>
  <c r="S366" i="29"/>
  <c r="T366" i="29"/>
  <c r="U366" i="29"/>
  <c r="V366" i="29"/>
  <c r="C367" i="29"/>
  <c r="D367" i="29"/>
  <c r="E367" i="29"/>
  <c r="F367" i="29"/>
  <c r="G367" i="29"/>
  <c r="H367" i="29"/>
  <c r="I367" i="29"/>
  <c r="J367" i="29"/>
  <c r="K367" i="29"/>
  <c r="L367" i="29"/>
  <c r="M367" i="29"/>
  <c r="N367" i="29"/>
  <c r="O367" i="29"/>
  <c r="P367" i="29"/>
  <c r="Q367" i="29"/>
  <c r="R367" i="29"/>
  <c r="S367" i="29"/>
  <c r="T367" i="29"/>
  <c r="U367" i="29"/>
  <c r="V367" i="29"/>
  <c r="C368" i="29"/>
  <c r="D368" i="29"/>
  <c r="E368" i="29"/>
  <c r="F368" i="29"/>
  <c r="G368" i="29"/>
  <c r="H368" i="29"/>
  <c r="I368" i="29"/>
  <c r="J368" i="29"/>
  <c r="K368" i="29"/>
  <c r="L368" i="29"/>
  <c r="M368" i="29"/>
  <c r="N368" i="29"/>
  <c r="O368" i="29"/>
  <c r="P368" i="29"/>
  <c r="Q368" i="29"/>
  <c r="R368" i="29"/>
  <c r="S368" i="29"/>
  <c r="T368" i="29"/>
  <c r="U368" i="29"/>
  <c r="V368" i="29"/>
  <c r="C369" i="29"/>
  <c r="D369" i="29"/>
  <c r="E369" i="29"/>
  <c r="F369" i="29"/>
  <c r="G369" i="29"/>
  <c r="H369" i="29"/>
  <c r="I369" i="29"/>
  <c r="J369" i="29"/>
  <c r="K369" i="29"/>
  <c r="L369" i="29"/>
  <c r="M369" i="29"/>
  <c r="N369" i="29"/>
  <c r="O369" i="29"/>
  <c r="P369" i="29"/>
  <c r="Q369" i="29"/>
  <c r="R369" i="29"/>
  <c r="S369" i="29"/>
  <c r="T369" i="29"/>
  <c r="U369" i="29"/>
  <c r="V369" i="29"/>
  <c r="C370" i="29"/>
  <c r="D370" i="29"/>
  <c r="E370" i="29"/>
  <c r="F370" i="29"/>
  <c r="G370" i="29"/>
  <c r="H370" i="29"/>
  <c r="I370" i="29"/>
  <c r="J370" i="29"/>
  <c r="K370" i="29"/>
  <c r="L370" i="29"/>
  <c r="M370" i="29"/>
  <c r="N370" i="29"/>
  <c r="O370" i="29"/>
  <c r="P370" i="29"/>
  <c r="Q370" i="29"/>
  <c r="R370" i="29"/>
  <c r="S370" i="29"/>
  <c r="T370" i="29"/>
  <c r="U370" i="29"/>
  <c r="V370" i="29"/>
  <c r="C371" i="29"/>
  <c r="D371" i="29"/>
  <c r="E371" i="29"/>
  <c r="F371" i="29"/>
  <c r="G371" i="29"/>
  <c r="H371" i="29"/>
  <c r="I371" i="29"/>
  <c r="J371" i="29"/>
  <c r="K371" i="29"/>
  <c r="L371" i="29"/>
  <c r="M371" i="29"/>
  <c r="N371" i="29"/>
  <c r="O371" i="29"/>
  <c r="P371" i="29"/>
  <c r="Q371" i="29"/>
  <c r="R371" i="29"/>
  <c r="S371" i="29"/>
  <c r="T371" i="29"/>
  <c r="U371" i="29"/>
  <c r="V371" i="29"/>
  <c r="C372" i="29"/>
  <c r="D372" i="29"/>
  <c r="E372" i="29"/>
  <c r="F372" i="29"/>
  <c r="G372" i="29"/>
  <c r="H372" i="29"/>
  <c r="I372" i="29"/>
  <c r="J372" i="29"/>
  <c r="K372" i="29"/>
  <c r="L372" i="29"/>
  <c r="M372" i="29"/>
  <c r="N372" i="29"/>
  <c r="O372" i="29"/>
  <c r="P372" i="29"/>
  <c r="Q372" i="29"/>
  <c r="R372" i="29"/>
  <c r="S372" i="29"/>
  <c r="T372" i="29"/>
  <c r="U372" i="29"/>
  <c r="V372" i="29"/>
  <c r="C373" i="29"/>
  <c r="D373" i="29"/>
  <c r="E373" i="29"/>
  <c r="F373" i="29"/>
  <c r="G373" i="29"/>
  <c r="H373" i="29"/>
  <c r="I373" i="29"/>
  <c r="J373" i="29"/>
  <c r="K373" i="29"/>
  <c r="L373" i="29"/>
  <c r="M373" i="29"/>
  <c r="N373" i="29"/>
  <c r="O373" i="29"/>
  <c r="P373" i="29"/>
  <c r="Q373" i="29"/>
  <c r="R373" i="29"/>
  <c r="S373" i="29"/>
  <c r="T373" i="29"/>
  <c r="U373" i="29"/>
  <c r="V373" i="29"/>
  <c r="C374" i="29"/>
  <c r="D374" i="29"/>
  <c r="E374" i="29"/>
  <c r="F374" i="29"/>
  <c r="G374" i="29"/>
  <c r="H374" i="29"/>
  <c r="I374" i="29"/>
  <c r="J374" i="29"/>
  <c r="K374" i="29"/>
  <c r="L374" i="29"/>
  <c r="M374" i="29"/>
  <c r="N374" i="29"/>
  <c r="O374" i="29"/>
  <c r="P374" i="29"/>
  <c r="Q374" i="29"/>
  <c r="R374" i="29"/>
  <c r="S374" i="29"/>
  <c r="T374" i="29"/>
  <c r="U374" i="29"/>
  <c r="V374" i="29"/>
  <c r="C375" i="29"/>
  <c r="D375" i="29"/>
  <c r="E375" i="29"/>
  <c r="F375" i="29"/>
  <c r="G375" i="29"/>
  <c r="H375" i="29"/>
  <c r="I375" i="29"/>
  <c r="J375" i="29"/>
  <c r="K375" i="29"/>
  <c r="L375" i="29"/>
  <c r="M375" i="29"/>
  <c r="N375" i="29"/>
  <c r="O375" i="29"/>
  <c r="P375" i="29"/>
  <c r="Q375" i="29"/>
  <c r="R375" i="29"/>
  <c r="S375" i="29"/>
  <c r="T375" i="29"/>
  <c r="U375" i="29"/>
  <c r="V375" i="29"/>
  <c r="C376" i="29"/>
  <c r="D376" i="29"/>
  <c r="E376" i="29"/>
  <c r="F376" i="29"/>
  <c r="G376" i="29"/>
  <c r="H376" i="29"/>
  <c r="I376" i="29"/>
  <c r="J376" i="29"/>
  <c r="K376" i="29"/>
  <c r="L376" i="29"/>
  <c r="M376" i="29"/>
  <c r="N376" i="29"/>
  <c r="O376" i="29"/>
  <c r="P376" i="29"/>
  <c r="Q376" i="29"/>
  <c r="R376" i="29"/>
  <c r="S376" i="29"/>
  <c r="T376" i="29"/>
  <c r="U376" i="29"/>
  <c r="V376" i="29"/>
  <c r="C377" i="29"/>
  <c r="D377" i="29"/>
  <c r="E377" i="29"/>
  <c r="F377" i="29"/>
  <c r="G377" i="29"/>
  <c r="H377" i="29"/>
  <c r="I377" i="29"/>
  <c r="J377" i="29"/>
  <c r="K377" i="29"/>
  <c r="L377" i="29"/>
  <c r="M377" i="29"/>
  <c r="N377" i="29"/>
  <c r="O377" i="29"/>
  <c r="P377" i="29"/>
  <c r="Q377" i="29"/>
  <c r="R377" i="29"/>
  <c r="S377" i="29"/>
  <c r="T377" i="29"/>
  <c r="U377" i="29"/>
  <c r="V377" i="29"/>
  <c r="C378" i="29"/>
  <c r="D378" i="29"/>
  <c r="E378" i="29"/>
  <c r="F378" i="29"/>
  <c r="G378" i="29"/>
  <c r="H378" i="29"/>
  <c r="I378" i="29"/>
  <c r="J378" i="29"/>
  <c r="K378" i="29"/>
  <c r="L378" i="29"/>
  <c r="M378" i="29"/>
  <c r="N378" i="29"/>
  <c r="O378" i="29"/>
  <c r="P378" i="29"/>
  <c r="Q378" i="29"/>
  <c r="R378" i="29"/>
  <c r="S378" i="29"/>
  <c r="T378" i="29"/>
  <c r="U378" i="29"/>
  <c r="V378" i="29"/>
  <c r="C379" i="29"/>
  <c r="D379" i="29"/>
  <c r="E379" i="29"/>
  <c r="F379" i="29"/>
  <c r="G379" i="29"/>
  <c r="H379" i="29"/>
  <c r="I379" i="29"/>
  <c r="J379" i="29"/>
  <c r="K379" i="29"/>
  <c r="L379" i="29"/>
  <c r="M379" i="29"/>
  <c r="N379" i="29"/>
  <c r="O379" i="29"/>
  <c r="P379" i="29"/>
  <c r="Q379" i="29"/>
  <c r="R379" i="29"/>
  <c r="S379" i="29"/>
  <c r="T379" i="29"/>
  <c r="U379" i="29"/>
  <c r="V379" i="29"/>
  <c r="C380" i="29"/>
  <c r="D380" i="29"/>
  <c r="E380" i="29"/>
  <c r="F380" i="29"/>
  <c r="G380" i="29"/>
  <c r="H380" i="29"/>
  <c r="I380" i="29"/>
  <c r="J380" i="29"/>
  <c r="K380" i="29"/>
  <c r="L380" i="29"/>
  <c r="M380" i="29"/>
  <c r="N380" i="29"/>
  <c r="O380" i="29"/>
  <c r="P380" i="29"/>
  <c r="Q380" i="29"/>
  <c r="R380" i="29"/>
  <c r="S380" i="29"/>
  <c r="T380" i="29"/>
  <c r="U380" i="29"/>
  <c r="V380" i="29"/>
  <c r="C381" i="29"/>
  <c r="D381" i="29"/>
  <c r="E381" i="29"/>
  <c r="F381" i="29"/>
  <c r="G381" i="29"/>
  <c r="H381" i="29"/>
  <c r="I381" i="29"/>
  <c r="J381" i="29"/>
  <c r="K381" i="29"/>
  <c r="L381" i="29"/>
  <c r="M381" i="29"/>
  <c r="N381" i="29"/>
  <c r="O381" i="29"/>
  <c r="P381" i="29"/>
  <c r="Q381" i="29"/>
  <c r="R381" i="29"/>
  <c r="S381" i="29"/>
  <c r="T381" i="29"/>
  <c r="U381" i="29"/>
  <c r="V381" i="29"/>
  <c r="C382" i="29"/>
  <c r="D382" i="29"/>
  <c r="E382" i="29"/>
  <c r="F382" i="29"/>
  <c r="G382" i="29"/>
  <c r="H382" i="29"/>
  <c r="I382" i="29"/>
  <c r="J382" i="29"/>
  <c r="K382" i="29"/>
  <c r="L382" i="29"/>
  <c r="M382" i="29"/>
  <c r="N382" i="29"/>
  <c r="O382" i="29"/>
  <c r="P382" i="29"/>
  <c r="Q382" i="29"/>
  <c r="R382" i="29"/>
  <c r="S382" i="29"/>
  <c r="T382" i="29"/>
  <c r="U382" i="29"/>
  <c r="V382" i="29"/>
  <c r="C383" i="29"/>
  <c r="D383" i="29"/>
  <c r="E383" i="29"/>
  <c r="F383" i="29"/>
  <c r="G383" i="29"/>
  <c r="H383" i="29"/>
  <c r="I383" i="29"/>
  <c r="J383" i="29"/>
  <c r="K383" i="29"/>
  <c r="L383" i="29"/>
  <c r="M383" i="29"/>
  <c r="N383" i="29"/>
  <c r="O383" i="29"/>
  <c r="P383" i="29"/>
  <c r="Q383" i="29"/>
  <c r="R383" i="29"/>
  <c r="S383" i="29"/>
  <c r="T383" i="29"/>
  <c r="U383" i="29"/>
  <c r="V383" i="29"/>
  <c r="C384" i="29"/>
  <c r="D384" i="29"/>
  <c r="E384" i="29"/>
  <c r="F384" i="29"/>
  <c r="G384" i="29"/>
  <c r="H384" i="29"/>
  <c r="I384" i="29"/>
  <c r="J384" i="29"/>
  <c r="K384" i="29"/>
  <c r="L384" i="29"/>
  <c r="M384" i="29"/>
  <c r="N384" i="29"/>
  <c r="O384" i="29"/>
  <c r="P384" i="29"/>
  <c r="Q384" i="29"/>
  <c r="R384" i="29"/>
  <c r="S384" i="29"/>
  <c r="T384" i="29"/>
  <c r="U384" i="29"/>
  <c r="V384" i="29"/>
  <c r="C385" i="29"/>
  <c r="D385" i="29"/>
  <c r="E385" i="29"/>
  <c r="F385" i="29"/>
  <c r="G385" i="29"/>
  <c r="H385" i="29"/>
  <c r="I385" i="29"/>
  <c r="J385" i="29"/>
  <c r="K385" i="29"/>
  <c r="L385" i="29"/>
  <c r="M385" i="29"/>
  <c r="N385" i="29"/>
  <c r="O385" i="29"/>
  <c r="P385" i="29"/>
  <c r="Q385" i="29"/>
  <c r="R385" i="29"/>
  <c r="S385" i="29"/>
  <c r="T385" i="29"/>
  <c r="U385" i="29"/>
  <c r="V385" i="29"/>
  <c r="C386" i="29"/>
  <c r="D386" i="29"/>
  <c r="E386" i="29"/>
  <c r="F386" i="29"/>
  <c r="G386" i="29"/>
  <c r="H386" i="29"/>
  <c r="I386" i="29"/>
  <c r="J386" i="29"/>
  <c r="K386" i="29"/>
  <c r="L386" i="29"/>
  <c r="M386" i="29"/>
  <c r="N386" i="29"/>
  <c r="O386" i="29"/>
  <c r="P386" i="29"/>
  <c r="Q386" i="29"/>
  <c r="R386" i="29"/>
  <c r="S386" i="29"/>
  <c r="T386" i="29"/>
  <c r="U386" i="29"/>
  <c r="V386" i="29"/>
  <c r="C387" i="29"/>
  <c r="D387" i="29"/>
  <c r="E387" i="29"/>
  <c r="F387" i="29"/>
  <c r="G387" i="29"/>
  <c r="H387" i="29"/>
  <c r="I387" i="29"/>
  <c r="J387" i="29"/>
  <c r="K387" i="29"/>
  <c r="L387" i="29"/>
  <c r="M387" i="29"/>
  <c r="N387" i="29"/>
  <c r="O387" i="29"/>
  <c r="P387" i="29"/>
  <c r="Q387" i="29"/>
  <c r="R387" i="29"/>
  <c r="S387" i="29"/>
  <c r="T387" i="29"/>
  <c r="U387" i="29"/>
  <c r="V387" i="29"/>
  <c r="B387" i="29"/>
  <c r="B364" i="29"/>
  <c r="B365" i="29"/>
  <c r="B366" i="29"/>
  <c r="B367" i="29"/>
  <c r="B368" i="29"/>
  <c r="B369" i="29"/>
  <c r="B370" i="29"/>
  <c r="B344" i="29"/>
  <c r="B345" i="29"/>
  <c r="B346" i="29"/>
  <c r="B347" i="29"/>
  <c r="B343" i="29"/>
  <c r="C324" i="29"/>
  <c r="D324" i="29"/>
  <c r="E324" i="29"/>
  <c r="F324" i="29"/>
  <c r="G324" i="29"/>
  <c r="H324" i="29"/>
  <c r="I324" i="29"/>
  <c r="K324" i="29"/>
  <c r="L324" i="29"/>
  <c r="M324" i="29"/>
  <c r="N324" i="29"/>
  <c r="O324" i="29"/>
  <c r="P324" i="29"/>
  <c r="C325" i="29"/>
  <c r="F325" i="29"/>
  <c r="G325" i="29"/>
  <c r="H325" i="29"/>
  <c r="I325" i="29"/>
  <c r="M325" i="29"/>
  <c r="N325" i="29"/>
  <c r="O325" i="29"/>
  <c r="P325" i="29"/>
  <c r="F326" i="29"/>
  <c r="G326" i="29"/>
  <c r="H326" i="29"/>
  <c r="I326" i="29"/>
  <c r="N326" i="29"/>
  <c r="O326" i="29"/>
  <c r="P326" i="29"/>
  <c r="F327" i="29"/>
  <c r="G327" i="29"/>
  <c r="H327" i="29"/>
  <c r="I327" i="29"/>
  <c r="K327" i="29"/>
  <c r="L327" i="29"/>
  <c r="M327" i="29"/>
  <c r="N327" i="29"/>
  <c r="O327" i="29"/>
  <c r="P327" i="29"/>
  <c r="F328" i="29"/>
  <c r="G328" i="29"/>
  <c r="H328" i="29"/>
  <c r="I328" i="29"/>
  <c r="K328" i="29"/>
  <c r="L328" i="29"/>
  <c r="M328" i="29"/>
  <c r="N328" i="29"/>
  <c r="O328" i="29"/>
  <c r="P328" i="29"/>
  <c r="F329" i="29"/>
  <c r="G329" i="29"/>
  <c r="H329" i="29"/>
  <c r="I329" i="29"/>
  <c r="K329" i="29"/>
  <c r="L329" i="29"/>
  <c r="M329" i="29"/>
  <c r="N329" i="29"/>
  <c r="O329" i="29"/>
  <c r="P329" i="29"/>
  <c r="F330" i="29"/>
  <c r="G330" i="29"/>
  <c r="H330" i="29"/>
  <c r="I330" i="29"/>
  <c r="K330" i="29"/>
  <c r="L330" i="29"/>
  <c r="M330" i="29"/>
  <c r="N330" i="29"/>
  <c r="O330" i="29"/>
  <c r="P330" i="29"/>
  <c r="F331" i="29"/>
  <c r="G331" i="29"/>
  <c r="H331" i="29"/>
  <c r="I331" i="29"/>
  <c r="K331" i="29"/>
  <c r="L331" i="29"/>
  <c r="M331" i="29"/>
  <c r="N331" i="29"/>
  <c r="O331" i="29"/>
  <c r="P331" i="29"/>
  <c r="F332" i="29"/>
  <c r="G332" i="29"/>
  <c r="H332" i="29"/>
  <c r="I332" i="29"/>
  <c r="K332" i="29"/>
  <c r="L332" i="29"/>
  <c r="M332" i="29"/>
  <c r="N332" i="29"/>
  <c r="O332" i="29"/>
  <c r="P332" i="29"/>
  <c r="F333" i="29"/>
  <c r="G333" i="29"/>
  <c r="H333" i="29"/>
  <c r="I333" i="29"/>
  <c r="K333" i="29"/>
  <c r="L333" i="29"/>
  <c r="M333" i="29"/>
  <c r="N333" i="29"/>
  <c r="O333" i="29"/>
  <c r="P333" i="29"/>
  <c r="F334" i="29"/>
  <c r="G334" i="29"/>
  <c r="H334" i="29"/>
  <c r="I334" i="29"/>
  <c r="K334" i="29"/>
  <c r="L334" i="29"/>
  <c r="M334" i="29"/>
  <c r="N334" i="29"/>
  <c r="O334" i="29"/>
  <c r="P334" i="29"/>
  <c r="F335" i="29"/>
  <c r="G335" i="29"/>
  <c r="H335" i="29"/>
  <c r="I335" i="29"/>
  <c r="K335" i="29"/>
  <c r="L335" i="29"/>
  <c r="M335" i="29"/>
  <c r="N335" i="29"/>
  <c r="O335" i="29"/>
  <c r="P335" i="29"/>
  <c r="F336" i="29"/>
  <c r="G336" i="29"/>
  <c r="H336" i="29"/>
  <c r="I336" i="29"/>
  <c r="K336" i="29"/>
  <c r="L336" i="29"/>
  <c r="M336" i="29"/>
  <c r="N336" i="29"/>
  <c r="O336" i="29"/>
  <c r="P336" i="29"/>
  <c r="F337" i="29"/>
  <c r="G337" i="29"/>
  <c r="H337" i="29"/>
  <c r="I337" i="29"/>
  <c r="K337" i="29"/>
  <c r="L337" i="29"/>
  <c r="M337" i="29"/>
  <c r="N337" i="29"/>
  <c r="O337" i="29"/>
  <c r="P337" i="29"/>
  <c r="F338" i="29"/>
  <c r="G338" i="29"/>
  <c r="H338" i="29"/>
  <c r="I338" i="29"/>
  <c r="K338" i="29"/>
  <c r="L338" i="29"/>
  <c r="M338" i="29"/>
  <c r="N338" i="29"/>
  <c r="O338" i="29"/>
  <c r="P338" i="29"/>
  <c r="F339" i="29"/>
  <c r="G339" i="29"/>
  <c r="H339" i="29"/>
  <c r="I339" i="29"/>
  <c r="K339" i="29"/>
  <c r="L339" i="29"/>
  <c r="M339" i="29"/>
  <c r="N339" i="29"/>
  <c r="O339" i="29"/>
  <c r="P339" i="29"/>
  <c r="F340" i="29"/>
  <c r="G340" i="29"/>
  <c r="H340" i="29"/>
  <c r="I340" i="29"/>
  <c r="K340" i="29"/>
  <c r="L340" i="29"/>
  <c r="M340" i="29"/>
  <c r="N340" i="29"/>
  <c r="O340" i="29"/>
  <c r="P340" i="29"/>
  <c r="C323" i="29"/>
  <c r="G323" i="29"/>
  <c r="H323" i="29"/>
  <c r="L323" i="29"/>
  <c r="A302" i="29" l="1"/>
  <c r="C303" i="29"/>
  <c r="D303" i="29"/>
  <c r="E303" i="29"/>
  <c r="F303" i="29"/>
  <c r="G303" i="29"/>
  <c r="H303" i="29"/>
  <c r="I303" i="29"/>
  <c r="J303" i="29"/>
  <c r="K303" i="29"/>
  <c r="L303" i="29"/>
  <c r="C304" i="29"/>
  <c r="J304" i="29"/>
  <c r="K304" i="29"/>
  <c r="L304" i="29"/>
  <c r="C305" i="29"/>
  <c r="J305" i="29"/>
  <c r="K305" i="29"/>
  <c r="L305" i="29"/>
  <c r="C306" i="29"/>
  <c r="J306" i="29"/>
  <c r="K306" i="29"/>
  <c r="L306" i="29"/>
  <c r="C307" i="29"/>
  <c r="J307" i="29"/>
  <c r="K307" i="29"/>
  <c r="L307" i="29"/>
  <c r="C308" i="29"/>
  <c r="J308" i="29"/>
  <c r="K308" i="29"/>
  <c r="L308" i="29"/>
  <c r="C309" i="29"/>
  <c r="J309" i="29"/>
  <c r="K309" i="29"/>
  <c r="L309" i="29"/>
  <c r="C310" i="29"/>
  <c r="J310" i="29"/>
  <c r="K310" i="29"/>
  <c r="L310" i="29"/>
  <c r="C311" i="29"/>
  <c r="J311" i="29"/>
  <c r="K311" i="29"/>
  <c r="L311" i="29"/>
  <c r="C312" i="29"/>
  <c r="J312" i="29"/>
  <c r="K312" i="29"/>
  <c r="L312" i="29"/>
  <c r="C313" i="29"/>
  <c r="J313" i="29"/>
  <c r="K313" i="29"/>
  <c r="L313" i="29"/>
  <c r="C314" i="29"/>
  <c r="J314" i="29"/>
  <c r="K314" i="29"/>
  <c r="L314" i="29"/>
  <c r="C315" i="29"/>
  <c r="J315" i="29"/>
  <c r="K315" i="29"/>
  <c r="L315" i="29"/>
  <c r="C316" i="29"/>
  <c r="J316" i="29"/>
  <c r="K316" i="29"/>
  <c r="L316" i="29"/>
  <c r="C317" i="29"/>
  <c r="J317" i="29"/>
  <c r="K317" i="29"/>
  <c r="L317" i="29"/>
  <c r="C318" i="29"/>
  <c r="J318" i="29"/>
  <c r="K318" i="29"/>
  <c r="L318" i="29"/>
  <c r="C319" i="29"/>
  <c r="J319" i="29"/>
  <c r="K319" i="29"/>
  <c r="L319" i="29"/>
  <c r="A320" i="29"/>
  <c r="B320" i="29"/>
  <c r="C320" i="29"/>
  <c r="D320" i="29"/>
  <c r="E320" i="29"/>
  <c r="F320" i="29"/>
  <c r="G320" i="29"/>
  <c r="H320" i="29"/>
  <c r="I320" i="29"/>
  <c r="J320" i="29"/>
  <c r="K320" i="29"/>
  <c r="L320" i="29"/>
  <c r="A293" i="29"/>
  <c r="B293" i="29"/>
  <c r="C293" i="29"/>
  <c r="D293" i="29"/>
  <c r="E293" i="29"/>
  <c r="F293" i="29"/>
  <c r="A294" i="29"/>
  <c r="B294" i="29"/>
  <c r="C294" i="29"/>
  <c r="D294" i="29"/>
  <c r="E294" i="29"/>
  <c r="F294" i="29"/>
  <c r="A295" i="29"/>
  <c r="B295" i="29"/>
  <c r="C295" i="29"/>
  <c r="D295" i="29"/>
  <c r="E295" i="29"/>
  <c r="F295" i="29"/>
  <c r="A296" i="29"/>
  <c r="B296" i="29"/>
  <c r="C296" i="29"/>
  <c r="D296" i="29"/>
  <c r="E296" i="29"/>
  <c r="F296" i="29"/>
  <c r="A297" i="29"/>
  <c r="B297" i="29"/>
  <c r="C297" i="29"/>
  <c r="D297" i="29"/>
  <c r="E297" i="29"/>
  <c r="F297" i="29"/>
  <c r="A298" i="29"/>
  <c r="B298" i="29"/>
  <c r="C298" i="29"/>
  <c r="D298" i="29"/>
  <c r="E298" i="29"/>
  <c r="F298" i="29"/>
  <c r="B283" i="29"/>
  <c r="C283" i="29"/>
  <c r="D283" i="29"/>
  <c r="E283" i="29"/>
  <c r="F283" i="29"/>
  <c r="B284" i="29"/>
  <c r="C284" i="29"/>
  <c r="D284" i="29"/>
  <c r="E284" i="29"/>
  <c r="F284" i="29"/>
  <c r="B285" i="29"/>
  <c r="C285" i="29"/>
  <c r="D285" i="29"/>
  <c r="E285" i="29"/>
  <c r="F285" i="29"/>
  <c r="B286" i="29"/>
  <c r="C286" i="29"/>
  <c r="D286" i="29"/>
  <c r="E286" i="29"/>
  <c r="F286" i="29"/>
  <c r="B287" i="29"/>
  <c r="C287" i="29"/>
  <c r="D287" i="29"/>
  <c r="E287" i="29"/>
  <c r="F287" i="29"/>
  <c r="A291" i="29"/>
  <c r="B291" i="29"/>
  <c r="C291" i="29"/>
  <c r="D291" i="29"/>
  <c r="E291" i="29"/>
  <c r="F291" i="29"/>
  <c r="A292" i="29"/>
  <c r="B292" i="29"/>
  <c r="C292" i="29"/>
  <c r="D292" i="29"/>
  <c r="E292" i="29"/>
  <c r="F292" i="29"/>
  <c r="A267" i="29"/>
  <c r="B267" i="29"/>
  <c r="C267" i="29"/>
  <c r="D267" i="29"/>
  <c r="E267" i="29"/>
  <c r="F267" i="29"/>
  <c r="A270" i="29"/>
  <c r="B270" i="29"/>
  <c r="C270" i="29"/>
  <c r="D270" i="29"/>
  <c r="E270" i="29"/>
  <c r="F270" i="29"/>
  <c r="B271" i="29"/>
  <c r="C271" i="29"/>
  <c r="D271" i="29"/>
  <c r="E271" i="29"/>
  <c r="F271" i="29"/>
  <c r="B272" i="29"/>
  <c r="C272" i="29"/>
  <c r="D272" i="29"/>
  <c r="E272" i="29"/>
  <c r="F272" i="29"/>
  <c r="B273" i="29"/>
  <c r="C273" i="29"/>
  <c r="D273" i="29"/>
  <c r="E273" i="29"/>
  <c r="F273" i="29"/>
  <c r="B274" i="29"/>
  <c r="C274" i="29"/>
  <c r="D274" i="29"/>
  <c r="E274" i="29"/>
  <c r="F274" i="29"/>
  <c r="B275" i="29"/>
  <c r="C275" i="29"/>
  <c r="D275" i="29"/>
  <c r="E275" i="29"/>
  <c r="F275" i="29"/>
  <c r="B276" i="29"/>
  <c r="C276" i="29"/>
  <c r="D276" i="29"/>
  <c r="E276" i="29"/>
  <c r="F276" i="29"/>
  <c r="B277" i="29"/>
  <c r="C277" i="29"/>
  <c r="D277" i="29"/>
  <c r="E277" i="29"/>
  <c r="F277" i="29"/>
  <c r="B278" i="29"/>
  <c r="C278" i="29"/>
  <c r="D278" i="29"/>
  <c r="E278" i="29"/>
  <c r="F278" i="29"/>
  <c r="B279" i="29"/>
  <c r="C279" i="29"/>
  <c r="D279" i="29"/>
  <c r="E279" i="29"/>
  <c r="F279" i="29"/>
  <c r="B280" i="29"/>
  <c r="C280" i="29"/>
  <c r="D280" i="29"/>
  <c r="E280" i="29"/>
  <c r="F280" i="29"/>
  <c r="B281" i="29"/>
  <c r="C281" i="29"/>
  <c r="D281" i="29"/>
  <c r="E281" i="29"/>
  <c r="F281" i="29"/>
  <c r="B282" i="29"/>
  <c r="C282" i="29"/>
  <c r="D282" i="29"/>
  <c r="E282" i="29"/>
  <c r="F282" i="29"/>
  <c r="B243" i="29"/>
  <c r="C243" i="29"/>
  <c r="D243" i="29"/>
  <c r="E243" i="29"/>
  <c r="F243" i="29"/>
  <c r="B244" i="29"/>
  <c r="C244" i="29"/>
  <c r="D244" i="29"/>
  <c r="E244" i="29"/>
  <c r="F244" i="29"/>
  <c r="B245" i="29"/>
  <c r="C245" i="29"/>
  <c r="D245" i="29"/>
  <c r="E245" i="29"/>
  <c r="F245" i="29"/>
  <c r="B246" i="29"/>
  <c r="C246" i="29"/>
  <c r="D246" i="29"/>
  <c r="E246" i="29"/>
  <c r="B248" i="29"/>
  <c r="C248" i="29"/>
  <c r="D248" i="29"/>
  <c r="E248" i="29"/>
  <c r="F248" i="29"/>
  <c r="B249" i="29"/>
  <c r="C249" i="29"/>
  <c r="D249" i="29"/>
  <c r="E249" i="29"/>
  <c r="F249" i="29"/>
  <c r="B252" i="29"/>
  <c r="C252" i="29"/>
  <c r="D252" i="29"/>
  <c r="E252" i="29"/>
  <c r="F252" i="29"/>
  <c r="B253" i="29"/>
  <c r="C253" i="29"/>
  <c r="D253" i="29"/>
  <c r="E253" i="29"/>
  <c r="F253" i="29"/>
  <c r="B254" i="29"/>
  <c r="C254" i="29"/>
  <c r="D254" i="29"/>
  <c r="E254" i="29"/>
  <c r="F254" i="29"/>
  <c r="B255" i="29"/>
  <c r="C255" i="29"/>
  <c r="D255" i="29"/>
  <c r="E255" i="29"/>
  <c r="F255" i="29"/>
  <c r="B256" i="29"/>
  <c r="C256" i="29"/>
  <c r="D256" i="29"/>
  <c r="E256" i="29"/>
  <c r="F256" i="29"/>
  <c r="B257" i="29"/>
  <c r="C257" i="29"/>
  <c r="D257" i="29"/>
  <c r="E257" i="29"/>
  <c r="F257" i="29"/>
  <c r="B258" i="29"/>
  <c r="C258" i="29"/>
  <c r="D258" i="29"/>
  <c r="E258" i="29"/>
  <c r="F258" i="29"/>
  <c r="B261" i="29"/>
  <c r="C261" i="29"/>
  <c r="D261" i="29"/>
  <c r="E261" i="29"/>
  <c r="F261" i="29"/>
  <c r="B262" i="29"/>
  <c r="C262" i="29"/>
  <c r="D262" i="29"/>
  <c r="E262" i="29"/>
  <c r="F262" i="29"/>
  <c r="B263" i="29"/>
  <c r="C263" i="29"/>
  <c r="D263" i="29"/>
  <c r="E263" i="29"/>
  <c r="F263" i="29"/>
  <c r="B264" i="29"/>
  <c r="C264" i="29"/>
  <c r="D264" i="29"/>
  <c r="E264" i="29"/>
  <c r="F264" i="29"/>
  <c r="B265" i="29"/>
  <c r="C265" i="29"/>
  <c r="D265" i="29"/>
  <c r="E265" i="29"/>
  <c r="F265" i="29"/>
  <c r="B266" i="29"/>
  <c r="C266" i="29"/>
  <c r="D266" i="29"/>
  <c r="E266" i="29"/>
  <c r="F266" i="29"/>
  <c r="A244" i="29"/>
  <c r="A245" i="29"/>
  <c r="A248" i="29"/>
  <c r="A249" i="29"/>
  <c r="A252" i="29"/>
  <c r="A253" i="29"/>
  <c r="A254" i="29"/>
  <c r="A255" i="29"/>
  <c r="A256" i="29"/>
  <c r="A257" i="29"/>
  <c r="A258" i="29"/>
  <c r="A261" i="29"/>
  <c r="A262" i="29"/>
  <c r="A263" i="29"/>
  <c r="A264" i="29"/>
  <c r="A265" i="29"/>
  <c r="A266" i="29"/>
  <c r="A243" i="29"/>
  <c r="B151" i="29"/>
  <c r="C151" i="29"/>
  <c r="D151" i="29"/>
  <c r="E151" i="29"/>
  <c r="I151" i="29"/>
  <c r="M151" i="29"/>
  <c r="O151" i="29"/>
  <c r="P151" i="29"/>
  <c r="Q151" i="29"/>
  <c r="R151" i="29"/>
  <c r="S151" i="29"/>
  <c r="T151" i="29"/>
  <c r="B152" i="29"/>
  <c r="C152" i="29"/>
  <c r="D152" i="29"/>
  <c r="E152" i="29"/>
  <c r="F152" i="29"/>
  <c r="G152" i="29"/>
  <c r="H152" i="29"/>
  <c r="I152" i="29"/>
  <c r="J152" i="29"/>
  <c r="K152" i="29"/>
  <c r="L152" i="29"/>
  <c r="M152" i="29"/>
  <c r="N152" i="29"/>
  <c r="O152" i="29"/>
  <c r="P152" i="29"/>
  <c r="Q152" i="29"/>
  <c r="R152" i="29"/>
  <c r="S152" i="29"/>
  <c r="T152" i="29"/>
  <c r="B153" i="29"/>
  <c r="C153" i="29"/>
  <c r="D153" i="29"/>
  <c r="E153" i="29"/>
  <c r="F153" i="29"/>
  <c r="G153" i="29"/>
  <c r="H153" i="29"/>
  <c r="C154" i="29"/>
  <c r="D154" i="29"/>
  <c r="E154" i="29"/>
  <c r="I154" i="29"/>
  <c r="M154" i="29"/>
  <c r="Q154" i="29"/>
  <c r="C155" i="29"/>
  <c r="D155" i="29"/>
  <c r="C156" i="29"/>
  <c r="D156" i="29"/>
  <c r="C157" i="29"/>
  <c r="D157" i="29"/>
  <c r="C158" i="29"/>
  <c r="D158" i="29"/>
  <c r="C159" i="29"/>
  <c r="D159" i="29"/>
  <c r="C160" i="29"/>
  <c r="D160" i="29"/>
  <c r="C161" i="29"/>
  <c r="D161" i="29"/>
  <c r="C162" i="29"/>
  <c r="D162" i="29"/>
  <c r="C163" i="29"/>
  <c r="D163" i="29"/>
  <c r="C164" i="29"/>
  <c r="D164" i="29"/>
  <c r="C165" i="29"/>
  <c r="D165" i="29"/>
  <c r="C166" i="29"/>
  <c r="D166" i="29"/>
  <c r="C167" i="29"/>
  <c r="D167" i="29"/>
  <c r="C168" i="29"/>
  <c r="D168" i="29"/>
  <c r="C169" i="29"/>
  <c r="D169" i="29"/>
  <c r="C172" i="29"/>
  <c r="D172" i="29"/>
  <c r="C174" i="29"/>
  <c r="F179" i="29"/>
  <c r="G179" i="29"/>
  <c r="H179" i="29"/>
  <c r="I179" i="29"/>
  <c r="J179" i="29"/>
  <c r="K179" i="29"/>
  <c r="L179" i="29"/>
  <c r="M179" i="29"/>
  <c r="N179" i="29"/>
  <c r="O179" i="29"/>
  <c r="P179" i="29"/>
  <c r="Q179" i="29"/>
  <c r="R179" i="29"/>
  <c r="S179" i="29"/>
  <c r="T179" i="29"/>
  <c r="F180" i="29"/>
  <c r="G180" i="29"/>
  <c r="H180" i="29"/>
  <c r="I180" i="29"/>
  <c r="J180" i="29"/>
  <c r="K180" i="29"/>
  <c r="L180" i="29"/>
  <c r="M180" i="29"/>
  <c r="N180" i="29"/>
  <c r="O180" i="29"/>
  <c r="P180" i="29"/>
  <c r="Q180" i="29"/>
  <c r="R180" i="29"/>
  <c r="S180" i="29"/>
  <c r="T180" i="29"/>
  <c r="C181" i="29"/>
  <c r="D181" i="29"/>
  <c r="E181" i="29"/>
  <c r="F181" i="29"/>
  <c r="G181" i="29"/>
  <c r="H181" i="29"/>
  <c r="I181" i="29"/>
  <c r="J181" i="29"/>
  <c r="K181" i="29"/>
  <c r="L181" i="29"/>
  <c r="M181" i="29"/>
  <c r="N181" i="29"/>
  <c r="O181" i="29"/>
  <c r="P181" i="29"/>
  <c r="Q181" i="29"/>
  <c r="R181" i="29"/>
  <c r="S181" i="29"/>
  <c r="T181" i="29"/>
  <c r="D182" i="29"/>
  <c r="D183" i="29"/>
  <c r="C201" i="29"/>
  <c r="D201" i="29"/>
  <c r="E201" i="29"/>
  <c r="F201" i="29"/>
  <c r="G201" i="29"/>
  <c r="H201" i="29"/>
  <c r="I201" i="29"/>
  <c r="J201" i="29"/>
  <c r="K201" i="29"/>
  <c r="L201" i="29"/>
  <c r="M201" i="29"/>
  <c r="N201" i="29"/>
  <c r="O201" i="29"/>
  <c r="P201" i="29"/>
  <c r="Q201" i="29"/>
  <c r="R201" i="29"/>
  <c r="S201" i="29"/>
  <c r="T201" i="29"/>
  <c r="C202" i="29"/>
  <c r="D202" i="29"/>
  <c r="E202" i="29"/>
  <c r="F202" i="29"/>
  <c r="G202" i="29"/>
  <c r="H202" i="29"/>
  <c r="I202" i="29"/>
  <c r="J202" i="29"/>
  <c r="K202" i="29"/>
  <c r="L202" i="29"/>
  <c r="M202" i="29"/>
  <c r="N202" i="29"/>
  <c r="O202" i="29"/>
  <c r="P202" i="29"/>
  <c r="Q202" i="29"/>
  <c r="R202" i="29"/>
  <c r="S202" i="29"/>
  <c r="T202" i="29"/>
  <c r="B203" i="29"/>
  <c r="C203" i="29"/>
  <c r="D203" i="29"/>
  <c r="E203" i="29"/>
  <c r="F203" i="29"/>
  <c r="G203" i="29"/>
  <c r="H203" i="29"/>
  <c r="I203" i="29"/>
  <c r="J203" i="29"/>
  <c r="K203" i="29"/>
  <c r="L203" i="29"/>
  <c r="M203" i="29"/>
  <c r="N203" i="29"/>
  <c r="O203" i="29"/>
  <c r="P203" i="29"/>
  <c r="Q203" i="29"/>
  <c r="R203" i="29"/>
  <c r="S203" i="29"/>
  <c r="T203" i="29"/>
  <c r="C204" i="29"/>
  <c r="D204" i="29"/>
  <c r="E204" i="29"/>
  <c r="F204" i="29"/>
  <c r="G204" i="29"/>
  <c r="H204" i="29"/>
  <c r="I204" i="29"/>
  <c r="J204" i="29"/>
  <c r="K204" i="29"/>
  <c r="L204" i="29"/>
  <c r="M204" i="29"/>
  <c r="N204" i="29"/>
  <c r="O204" i="29"/>
  <c r="P204" i="29"/>
  <c r="Q204" i="29"/>
  <c r="R204" i="29"/>
  <c r="S204" i="29"/>
  <c r="T204" i="29"/>
  <c r="C205" i="29"/>
  <c r="D205" i="29"/>
  <c r="E205" i="29"/>
  <c r="F205" i="29"/>
  <c r="G205" i="29"/>
  <c r="H205" i="29"/>
  <c r="I205" i="29"/>
  <c r="J205" i="29"/>
  <c r="K205" i="29"/>
  <c r="L205" i="29"/>
  <c r="M205" i="29"/>
  <c r="N205" i="29"/>
  <c r="O205" i="29"/>
  <c r="P205" i="29"/>
  <c r="Q205" i="29"/>
  <c r="R205" i="29"/>
  <c r="S205" i="29"/>
  <c r="T205" i="29"/>
  <c r="C206" i="29"/>
  <c r="D206" i="29"/>
  <c r="E206" i="29"/>
  <c r="F206" i="29"/>
  <c r="G206" i="29"/>
  <c r="H206" i="29"/>
  <c r="I206" i="29"/>
  <c r="J206" i="29"/>
  <c r="K206" i="29"/>
  <c r="L206" i="29"/>
  <c r="M206" i="29"/>
  <c r="N206" i="29"/>
  <c r="O206" i="29"/>
  <c r="P206" i="29"/>
  <c r="Q206" i="29"/>
  <c r="R206" i="29"/>
  <c r="S206" i="29"/>
  <c r="T206" i="29"/>
  <c r="C207" i="29"/>
  <c r="D207" i="29"/>
  <c r="E207" i="29"/>
  <c r="F207" i="29"/>
  <c r="G207" i="29"/>
  <c r="H207" i="29"/>
  <c r="I207" i="29"/>
  <c r="J207" i="29"/>
  <c r="K207" i="29"/>
  <c r="L207" i="29"/>
  <c r="M207" i="29"/>
  <c r="N207" i="29"/>
  <c r="O207" i="29"/>
  <c r="P207" i="29"/>
  <c r="Q207" i="29"/>
  <c r="R207" i="29"/>
  <c r="S207" i="29"/>
  <c r="T207" i="29"/>
  <c r="C208" i="29"/>
  <c r="D208" i="29"/>
  <c r="E208" i="29"/>
  <c r="F208" i="29"/>
  <c r="G208" i="29"/>
  <c r="H208" i="29"/>
  <c r="I208" i="29"/>
  <c r="J208" i="29"/>
  <c r="K208" i="29"/>
  <c r="L208" i="29"/>
  <c r="M208" i="29"/>
  <c r="N208" i="29"/>
  <c r="O208" i="29"/>
  <c r="P208" i="29"/>
  <c r="Q208" i="29"/>
  <c r="R208" i="29"/>
  <c r="S208" i="29"/>
  <c r="T208" i="29"/>
  <c r="C209" i="29"/>
  <c r="D209" i="29"/>
  <c r="E209" i="29"/>
  <c r="F209" i="29"/>
  <c r="G209" i="29"/>
  <c r="H209" i="29"/>
  <c r="I209" i="29"/>
  <c r="J209" i="29"/>
  <c r="K209" i="29"/>
  <c r="L209" i="29"/>
  <c r="M209" i="29"/>
  <c r="N209" i="29"/>
  <c r="O209" i="29"/>
  <c r="P209" i="29"/>
  <c r="Q209" i="29"/>
  <c r="R209" i="29"/>
  <c r="S209" i="29"/>
  <c r="T209" i="29"/>
  <c r="C210" i="29"/>
  <c r="D210" i="29"/>
  <c r="E210" i="29"/>
  <c r="F210" i="29"/>
  <c r="G210" i="29"/>
  <c r="H210" i="29"/>
  <c r="I210" i="29"/>
  <c r="J210" i="29"/>
  <c r="K210" i="29"/>
  <c r="L210" i="29"/>
  <c r="M210" i="29"/>
  <c r="N210" i="29"/>
  <c r="O210" i="29"/>
  <c r="P210" i="29"/>
  <c r="Q210" i="29"/>
  <c r="R210" i="29"/>
  <c r="S210" i="29"/>
  <c r="T210" i="29"/>
  <c r="C211" i="29"/>
  <c r="D211" i="29"/>
  <c r="E211" i="29"/>
  <c r="F211" i="29"/>
  <c r="G211" i="29"/>
  <c r="H211" i="29"/>
  <c r="I211" i="29"/>
  <c r="J211" i="29"/>
  <c r="K211" i="29"/>
  <c r="L211" i="29"/>
  <c r="M211" i="29"/>
  <c r="N211" i="29"/>
  <c r="O211" i="29"/>
  <c r="P211" i="29"/>
  <c r="Q211" i="29"/>
  <c r="R211" i="29"/>
  <c r="S211" i="29"/>
  <c r="T211" i="29"/>
  <c r="C212" i="29"/>
  <c r="D212" i="29"/>
  <c r="E212" i="29"/>
  <c r="F212" i="29"/>
  <c r="G212" i="29"/>
  <c r="H212" i="29"/>
  <c r="I212" i="29"/>
  <c r="J212" i="29"/>
  <c r="K212" i="29"/>
  <c r="L212" i="29"/>
  <c r="M212" i="29"/>
  <c r="N212" i="29"/>
  <c r="O212" i="29"/>
  <c r="P212" i="29"/>
  <c r="Q212" i="29"/>
  <c r="R212" i="29"/>
  <c r="S212" i="29"/>
  <c r="T212" i="29"/>
  <c r="C213" i="29"/>
  <c r="D213" i="29"/>
  <c r="E213" i="29"/>
  <c r="F213" i="29"/>
  <c r="G213" i="29"/>
  <c r="H213" i="29"/>
  <c r="I213" i="29"/>
  <c r="J213" i="29"/>
  <c r="K213" i="29"/>
  <c r="L213" i="29"/>
  <c r="M213" i="29"/>
  <c r="N213" i="29"/>
  <c r="O213" i="29"/>
  <c r="P213" i="29"/>
  <c r="Q213" i="29"/>
  <c r="R213" i="29"/>
  <c r="S213" i="29"/>
  <c r="T213" i="29"/>
  <c r="C214" i="29"/>
  <c r="D214" i="29"/>
  <c r="E214" i="29"/>
  <c r="F214" i="29"/>
  <c r="G214" i="29"/>
  <c r="H214" i="29"/>
  <c r="I214" i="29"/>
  <c r="J214" i="29"/>
  <c r="K214" i="29"/>
  <c r="L214" i="29"/>
  <c r="M214" i="29"/>
  <c r="N214" i="29"/>
  <c r="O214" i="29"/>
  <c r="P214" i="29"/>
  <c r="Q214" i="29"/>
  <c r="R214" i="29"/>
  <c r="S214" i="29"/>
  <c r="T214" i="29"/>
  <c r="C215" i="29"/>
  <c r="D215" i="29"/>
  <c r="E215" i="29"/>
  <c r="F215" i="29"/>
  <c r="G215" i="29"/>
  <c r="H215" i="29"/>
  <c r="I215" i="29"/>
  <c r="J215" i="29"/>
  <c r="K215" i="29"/>
  <c r="L215" i="29"/>
  <c r="M215" i="29"/>
  <c r="N215" i="29"/>
  <c r="O215" i="29"/>
  <c r="P215" i="29"/>
  <c r="Q215" i="29"/>
  <c r="R215" i="29"/>
  <c r="S215" i="29"/>
  <c r="T215" i="29"/>
  <c r="C216" i="29"/>
  <c r="D216" i="29"/>
  <c r="E216" i="29"/>
  <c r="F216" i="29"/>
  <c r="G216" i="29"/>
  <c r="H216" i="29"/>
  <c r="I216" i="29"/>
  <c r="J216" i="29"/>
  <c r="K216" i="29"/>
  <c r="L216" i="29"/>
  <c r="M216" i="29"/>
  <c r="N216" i="29"/>
  <c r="O216" i="29"/>
  <c r="P216" i="29"/>
  <c r="Q216" i="29"/>
  <c r="R216" i="29"/>
  <c r="S216" i="29"/>
  <c r="T216" i="29"/>
  <c r="C217" i="29"/>
  <c r="D217" i="29"/>
  <c r="E217" i="29"/>
  <c r="F217" i="29"/>
  <c r="G217" i="29"/>
  <c r="H217" i="29"/>
  <c r="I217" i="29"/>
  <c r="J217" i="29"/>
  <c r="K217" i="29"/>
  <c r="L217" i="29"/>
  <c r="M217" i="29"/>
  <c r="N217" i="29"/>
  <c r="O217" i="29"/>
  <c r="P217" i="29"/>
  <c r="Q217" i="29"/>
  <c r="R217" i="29"/>
  <c r="S217" i="29"/>
  <c r="T217" i="29"/>
  <c r="C218" i="29"/>
  <c r="D218" i="29"/>
  <c r="E218" i="29"/>
  <c r="F218" i="29"/>
  <c r="G218" i="29"/>
  <c r="H218" i="29"/>
  <c r="I218" i="29"/>
  <c r="J218" i="29"/>
  <c r="K218" i="29"/>
  <c r="L218" i="29"/>
  <c r="M218" i="29"/>
  <c r="N218" i="29"/>
  <c r="O218" i="29"/>
  <c r="P218" i="29"/>
  <c r="Q218" i="29"/>
  <c r="R218" i="29"/>
  <c r="S218" i="29"/>
  <c r="T218" i="29"/>
  <c r="C219" i="29"/>
  <c r="D219" i="29"/>
  <c r="E219" i="29"/>
  <c r="F219" i="29"/>
  <c r="G219" i="29"/>
  <c r="H219" i="29"/>
  <c r="I219" i="29"/>
  <c r="J219" i="29"/>
  <c r="K219" i="29"/>
  <c r="L219" i="29"/>
  <c r="M219" i="29"/>
  <c r="N219" i="29"/>
  <c r="O219" i="29"/>
  <c r="P219" i="29"/>
  <c r="Q219" i="29"/>
  <c r="R219" i="29"/>
  <c r="S219" i="29"/>
  <c r="T219" i="29"/>
  <c r="C220" i="29"/>
  <c r="D220" i="29"/>
  <c r="E220" i="29"/>
  <c r="F220" i="29"/>
  <c r="G220" i="29"/>
  <c r="H220" i="29"/>
  <c r="I220" i="29"/>
  <c r="J220" i="29"/>
  <c r="K220" i="29"/>
  <c r="L220" i="29"/>
  <c r="M220" i="29"/>
  <c r="N220" i="29"/>
  <c r="O220" i="29"/>
  <c r="P220" i="29"/>
  <c r="Q220" i="29"/>
  <c r="R220" i="29"/>
  <c r="S220" i="29"/>
  <c r="T220" i="29"/>
  <c r="C221" i="29"/>
  <c r="D221" i="29"/>
  <c r="E221" i="29"/>
  <c r="F221" i="29"/>
  <c r="G221" i="29"/>
  <c r="H221" i="29"/>
  <c r="I221" i="29"/>
  <c r="J221" i="29"/>
  <c r="K221" i="29"/>
  <c r="L221" i="29"/>
  <c r="M221" i="29"/>
  <c r="N221" i="29"/>
  <c r="O221" i="29"/>
  <c r="P221" i="29"/>
  <c r="Q221" i="29"/>
  <c r="R221" i="29"/>
  <c r="S221" i="29"/>
  <c r="T221" i="29"/>
  <c r="B226" i="29"/>
  <c r="B227" i="29"/>
  <c r="B229" i="29"/>
  <c r="F229" i="29"/>
  <c r="B230" i="29"/>
  <c r="C230" i="29"/>
  <c r="D230" i="29"/>
  <c r="B231" i="29"/>
  <c r="C231" i="29"/>
  <c r="D231" i="29"/>
  <c r="B232" i="29"/>
  <c r="C232" i="29"/>
  <c r="D232" i="29"/>
  <c r="F232" i="29"/>
  <c r="B233" i="29"/>
  <c r="B234" i="29"/>
  <c r="C234" i="29"/>
  <c r="F234" i="29"/>
  <c r="B235" i="29"/>
  <c r="C235" i="29"/>
  <c r="D235" i="29"/>
  <c r="F235" i="29"/>
  <c r="B236" i="29"/>
  <c r="C236" i="29"/>
  <c r="D236" i="29"/>
  <c r="B237" i="29"/>
  <c r="C237" i="29"/>
  <c r="D237" i="29"/>
  <c r="A152" i="29"/>
  <c r="A153" i="29"/>
  <c r="A172" i="29"/>
  <c r="A174" i="29"/>
  <c r="A176" i="29"/>
  <c r="A177" i="29"/>
  <c r="A199" i="29"/>
  <c r="A201" i="29"/>
  <c r="A203" i="29"/>
  <c r="A220" i="29"/>
  <c r="A221" i="29"/>
  <c r="A151" i="29"/>
  <c r="D144" i="29"/>
  <c r="B145" i="29"/>
  <c r="C145" i="29"/>
  <c r="B146" i="29"/>
  <c r="C146" i="29"/>
  <c r="B147" i="29"/>
  <c r="C147" i="29"/>
  <c r="B148" i="29"/>
  <c r="C148" i="29"/>
  <c r="A143" i="29"/>
  <c r="B70" i="29"/>
  <c r="C70" i="29"/>
  <c r="D70" i="29"/>
  <c r="E70" i="29"/>
  <c r="F70" i="29"/>
  <c r="G70" i="29"/>
  <c r="H70" i="29"/>
  <c r="I70" i="29"/>
  <c r="J70" i="29"/>
  <c r="K70" i="29"/>
  <c r="L70" i="29"/>
  <c r="M70" i="29"/>
  <c r="N70" i="29"/>
  <c r="O70" i="29"/>
  <c r="P70" i="29"/>
  <c r="Q70" i="29"/>
  <c r="R70" i="29"/>
  <c r="S70" i="29"/>
  <c r="T70" i="29"/>
  <c r="B71" i="29"/>
  <c r="C71" i="29"/>
  <c r="D71" i="29"/>
  <c r="E71" i="29"/>
  <c r="F71" i="29"/>
  <c r="G71" i="29"/>
  <c r="H71" i="29"/>
  <c r="I71" i="29"/>
  <c r="J71" i="29"/>
  <c r="K71" i="29"/>
  <c r="L71" i="29"/>
  <c r="M71" i="29"/>
  <c r="N71" i="29"/>
  <c r="O71" i="29"/>
  <c r="P71" i="29"/>
  <c r="Q71" i="29"/>
  <c r="R71" i="29"/>
  <c r="S71" i="29"/>
  <c r="T71" i="29"/>
  <c r="C72" i="29"/>
  <c r="D72" i="29"/>
  <c r="E72" i="29"/>
  <c r="F72" i="29"/>
  <c r="G72" i="29"/>
  <c r="H72" i="29"/>
  <c r="I72" i="29"/>
  <c r="J72" i="29"/>
  <c r="K72" i="29"/>
  <c r="L72" i="29"/>
  <c r="M72" i="29"/>
  <c r="N72" i="29"/>
  <c r="O72" i="29"/>
  <c r="P72" i="29"/>
  <c r="Q72" i="29"/>
  <c r="R72" i="29"/>
  <c r="S72" i="29"/>
  <c r="T72" i="29"/>
  <c r="C73" i="29"/>
  <c r="D73" i="29"/>
  <c r="C74" i="29"/>
  <c r="D74" i="29"/>
  <c r="C75" i="29"/>
  <c r="D75" i="29"/>
  <c r="C76" i="29"/>
  <c r="D76" i="29"/>
  <c r="C77" i="29"/>
  <c r="D77" i="29"/>
  <c r="C78" i="29"/>
  <c r="D78" i="29"/>
  <c r="C79" i="29"/>
  <c r="D79" i="29"/>
  <c r="C80" i="29"/>
  <c r="D80" i="29"/>
  <c r="C81" i="29"/>
  <c r="D81" i="29"/>
  <c r="C82" i="29"/>
  <c r="D82" i="29"/>
  <c r="C83" i="29"/>
  <c r="D83" i="29"/>
  <c r="C84" i="29"/>
  <c r="D84" i="29"/>
  <c r="C85" i="29"/>
  <c r="D85" i="29"/>
  <c r="C86" i="29"/>
  <c r="D86" i="29"/>
  <c r="C87" i="29"/>
  <c r="D87" i="29"/>
  <c r="F96" i="29"/>
  <c r="G96" i="29"/>
  <c r="H96" i="29"/>
  <c r="I96" i="29"/>
  <c r="J96" i="29"/>
  <c r="K96" i="29"/>
  <c r="L96" i="29"/>
  <c r="M96" i="29"/>
  <c r="N96" i="29"/>
  <c r="O96" i="29"/>
  <c r="P96" i="29"/>
  <c r="Q96" i="29"/>
  <c r="R96" i="29"/>
  <c r="S96" i="29"/>
  <c r="T96" i="29"/>
  <c r="B97" i="29"/>
  <c r="C97" i="29"/>
  <c r="D97" i="29"/>
  <c r="F97" i="29"/>
  <c r="G97" i="29"/>
  <c r="H97" i="29"/>
  <c r="I97" i="29"/>
  <c r="J97" i="29"/>
  <c r="K97" i="29"/>
  <c r="L97" i="29"/>
  <c r="M97" i="29"/>
  <c r="N97" i="29"/>
  <c r="O97" i="29"/>
  <c r="P97" i="29"/>
  <c r="Q97" i="29"/>
  <c r="R97" i="29"/>
  <c r="S97" i="29"/>
  <c r="T97" i="29"/>
  <c r="C98" i="29"/>
  <c r="D98" i="29"/>
  <c r="E98" i="29"/>
  <c r="F98" i="29"/>
  <c r="G98" i="29"/>
  <c r="H98" i="29"/>
  <c r="I98" i="29"/>
  <c r="J98" i="29"/>
  <c r="K98" i="29"/>
  <c r="L98" i="29"/>
  <c r="M98" i="29"/>
  <c r="N98" i="29"/>
  <c r="O98" i="29"/>
  <c r="P98" i="29"/>
  <c r="Q98" i="29"/>
  <c r="R98" i="29"/>
  <c r="S98" i="29"/>
  <c r="T98" i="29"/>
  <c r="D99" i="29"/>
  <c r="D100" i="29"/>
  <c r="C118" i="29"/>
  <c r="D118" i="29"/>
  <c r="E118" i="29"/>
  <c r="F118" i="29"/>
  <c r="G118" i="29"/>
  <c r="H118" i="29"/>
  <c r="I118" i="29"/>
  <c r="J118" i="29"/>
  <c r="K118" i="29"/>
  <c r="L118" i="29"/>
  <c r="M118" i="29"/>
  <c r="N118" i="29"/>
  <c r="O118" i="29"/>
  <c r="P118" i="29"/>
  <c r="Q118" i="29"/>
  <c r="R118" i="29"/>
  <c r="S118" i="29"/>
  <c r="T118" i="29"/>
  <c r="U118" i="29"/>
  <c r="C119" i="29"/>
  <c r="D119" i="29"/>
  <c r="E119" i="29"/>
  <c r="F119" i="29"/>
  <c r="G119" i="29"/>
  <c r="H119" i="29"/>
  <c r="I119" i="29"/>
  <c r="J119" i="29"/>
  <c r="K119" i="29"/>
  <c r="L119" i="29"/>
  <c r="M119" i="29"/>
  <c r="N119" i="29"/>
  <c r="O119" i="29"/>
  <c r="P119" i="29"/>
  <c r="Q119" i="29"/>
  <c r="R119" i="29"/>
  <c r="S119" i="29"/>
  <c r="T119" i="29"/>
  <c r="U119" i="29"/>
  <c r="B120" i="29"/>
  <c r="C120" i="29"/>
  <c r="D120" i="29"/>
  <c r="E120" i="29"/>
  <c r="F120" i="29"/>
  <c r="G120" i="29"/>
  <c r="H120" i="29"/>
  <c r="I120" i="29"/>
  <c r="J120" i="29"/>
  <c r="K120" i="29"/>
  <c r="L120" i="29"/>
  <c r="M120" i="29"/>
  <c r="N120" i="29"/>
  <c r="O120" i="29"/>
  <c r="P120" i="29"/>
  <c r="Q120" i="29"/>
  <c r="R120" i="29"/>
  <c r="S120" i="29"/>
  <c r="T120" i="29"/>
  <c r="U120" i="29"/>
  <c r="V120" i="29"/>
  <c r="C121" i="29"/>
  <c r="D121" i="29"/>
  <c r="E121" i="29"/>
  <c r="F121" i="29"/>
  <c r="G121" i="29"/>
  <c r="H121" i="29"/>
  <c r="I121" i="29"/>
  <c r="J121" i="29"/>
  <c r="K121" i="29"/>
  <c r="L121" i="29"/>
  <c r="M121" i="29"/>
  <c r="N121" i="29"/>
  <c r="O121" i="29"/>
  <c r="P121" i="29"/>
  <c r="Q121" i="29"/>
  <c r="R121" i="29"/>
  <c r="S121" i="29"/>
  <c r="T121" i="29"/>
  <c r="U121" i="29"/>
  <c r="V121" i="29"/>
  <c r="C122" i="29"/>
  <c r="D122" i="29"/>
  <c r="E122" i="29"/>
  <c r="F122" i="29"/>
  <c r="G122" i="29"/>
  <c r="H122" i="29"/>
  <c r="I122" i="29"/>
  <c r="J122" i="29"/>
  <c r="K122" i="29"/>
  <c r="L122" i="29"/>
  <c r="M122" i="29"/>
  <c r="N122" i="29"/>
  <c r="O122" i="29"/>
  <c r="P122" i="29"/>
  <c r="Q122" i="29"/>
  <c r="R122" i="29"/>
  <c r="S122" i="29"/>
  <c r="T122" i="29"/>
  <c r="U122" i="29"/>
  <c r="V122" i="29"/>
  <c r="C123" i="29"/>
  <c r="D123" i="29"/>
  <c r="E123" i="29"/>
  <c r="F123" i="29"/>
  <c r="G123" i="29"/>
  <c r="H123" i="29"/>
  <c r="I123" i="29"/>
  <c r="J123" i="29"/>
  <c r="K123" i="29"/>
  <c r="L123" i="29"/>
  <c r="M123" i="29"/>
  <c r="N123" i="29"/>
  <c r="O123" i="29"/>
  <c r="P123" i="29"/>
  <c r="Q123" i="29"/>
  <c r="R123" i="29"/>
  <c r="S123" i="29"/>
  <c r="T123" i="29"/>
  <c r="U123" i="29"/>
  <c r="V123" i="29"/>
  <c r="C124" i="29"/>
  <c r="D124" i="29"/>
  <c r="E124" i="29"/>
  <c r="F124" i="29"/>
  <c r="G124" i="29"/>
  <c r="H124" i="29"/>
  <c r="I124" i="29"/>
  <c r="J124" i="29"/>
  <c r="K124" i="29"/>
  <c r="L124" i="29"/>
  <c r="M124" i="29"/>
  <c r="N124" i="29"/>
  <c r="O124" i="29"/>
  <c r="P124" i="29"/>
  <c r="Q124" i="29"/>
  <c r="R124" i="29"/>
  <c r="S124" i="29"/>
  <c r="T124" i="29"/>
  <c r="U124" i="29"/>
  <c r="V124" i="29"/>
  <c r="C125" i="29"/>
  <c r="D125" i="29"/>
  <c r="E125" i="29"/>
  <c r="F125" i="29"/>
  <c r="G125" i="29"/>
  <c r="H125" i="29"/>
  <c r="I125" i="29"/>
  <c r="J125" i="29"/>
  <c r="K125" i="29"/>
  <c r="L125" i="29"/>
  <c r="M125" i="29"/>
  <c r="N125" i="29"/>
  <c r="O125" i="29"/>
  <c r="P125" i="29"/>
  <c r="Q125" i="29"/>
  <c r="R125" i="29"/>
  <c r="S125" i="29"/>
  <c r="T125" i="29"/>
  <c r="U125" i="29"/>
  <c r="V125" i="29"/>
  <c r="C126" i="29"/>
  <c r="D126" i="29"/>
  <c r="E126" i="29"/>
  <c r="F126" i="29"/>
  <c r="G126" i="29"/>
  <c r="H126" i="29"/>
  <c r="I126" i="29"/>
  <c r="J126" i="29"/>
  <c r="K126" i="29"/>
  <c r="L126" i="29"/>
  <c r="M126" i="29"/>
  <c r="N126" i="29"/>
  <c r="O126" i="29"/>
  <c r="P126" i="29"/>
  <c r="Q126" i="29"/>
  <c r="R126" i="29"/>
  <c r="S126" i="29"/>
  <c r="T126" i="29"/>
  <c r="U126" i="29"/>
  <c r="V126" i="29"/>
  <c r="C127" i="29"/>
  <c r="D127" i="29"/>
  <c r="E127" i="29"/>
  <c r="F127" i="29"/>
  <c r="G127" i="29"/>
  <c r="H127" i="29"/>
  <c r="I127" i="29"/>
  <c r="J127" i="29"/>
  <c r="K127" i="29"/>
  <c r="L127" i="29"/>
  <c r="M127" i="29"/>
  <c r="N127" i="29"/>
  <c r="O127" i="29"/>
  <c r="P127" i="29"/>
  <c r="Q127" i="29"/>
  <c r="R127" i="29"/>
  <c r="S127" i="29"/>
  <c r="T127" i="29"/>
  <c r="U127" i="29"/>
  <c r="V127" i="29"/>
  <c r="C128" i="29"/>
  <c r="D128" i="29"/>
  <c r="E128" i="29"/>
  <c r="F128" i="29"/>
  <c r="G128" i="29"/>
  <c r="H128" i="29"/>
  <c r="I128" i="29"/>
  <c r="J128" i="29"/>
  <c r="K128" i="29"/>
  <c r="L128" i="29"/>
  <c r="M128" i="29"/>
  <c r="N128" i="29"/>
  <c r="O128" i="29"/>
  <c r="P128" i="29"/>
  <c r="Q128" i="29"/>
  <c r="R128" i="29"/>
  <c r="S128" i="29"/>
  <c r="T128" i="29"/>
  <c r="U128" i="29"/>
  <c r="V128" i="29"/>
  <c r="C129" i="29"/>
  <c r="D129" i="29"/>
  <c r="E129" i="29"/>
  <c r="F129" i="29"/>
  <c r="G129" i="29"/>
  <c r="H129" i="29"/>
  <c r="I129" i="29"/>
  <c r="J129" i="29"/>
  <c r="K129" i="29"/>
  <c r="L129" i="29"/>
  <c r="M129" i="29"/>
  <c r="N129" i="29"/>
  <c r="O129" i="29"/>
  <c r="P129" i="29"/>
  <c r="Q129" i="29"/>
  <c r="R129" i="29"/>
  <c r="S129" i="29"/>
  <c r="T129" i="29"/>
  <c r="U129" i="29"/>
  <c r="V129" i="29"/>
  <c r="C130" i="29"/>
  <c r="D130" i="29"/>
  <c r="E130" i="29"/>
  <c r="F130" i="29"/>
  <c r="G130" i="29"/>
  <c r="H130" i="29"/>
  <c r="I130" i="29"/>
  <c r="J130" i="29"/>
  <c r="K130" i="29"/>
  <c r="L130" i="29"/>
  <c r="M130" i="29"/>
  <c r="N130" i="29"/>
  <c r="O130" i="29"/>
  <c r="P130" i="29"/>
  <c r="Q130" i="29"/>
  <c r="R130" i="29"/>
  <c r="S130" i="29"/>
  <c r="T130" i="29"/>
  <c r="U130" i="29"/>
  <c r="V130" i="29"/>
  <c r="C131" i="29"/>
  <c r="D131" i="29"/>
  <c r="E131" i="29"/>
  <c r="F131" i="29"/>
  <c r="G131" i="29"/>
  <c r="H131" i="29"/>
  <c r="I131" i="29"/>
  <c r="J131" i="29"/>
  <c r="K131" i="29"/>
  <c r="L131" i="29"/>
  <c r="M131" i="29"/>
  <c r="N131" i="29"/>
  <c r="O131" i="29"/>
  <c r="P131" i="29"/>
  <c r="Q131" i="29"/>
  <c r="R131" i="29"/>
  <c r="S131" i="29"/>
  <c r="T131" i="29"/>
  <c r="U131" i="29"/>
  <c r="V131" i="29"/>
  <c r="C132" i="29"/>
  <c r="D132" i="29"/>
  <c r="E132" i="29"/>
  <c r="F132" i="29"/>
  <c r="G132" i="29"/>
  <c r="H132" i="29"/>
  <c r="I132" i="29"/>
  <c r="J132" i="29"/>
  <c r="K132" i="29"/>
  <c r="L132" i="29"/>
  <c r="M132" i="29"/>
  <c r="N132" i="29"/>
  <c r="O132" i="29"/>
  <c r="P132" i="29"/>
  <c r="Q132" i="29"/>
  <c r="R132" i="29"/>
  <c r="S132" i="29"/>
  <c r="T132" i="29"/>
  <c r="U132" i="29"/>
  <c r="V132" i="29"/>
  <c r="C133" i="29"/>
  <c r="D133" i="29"/>
  <c r="E133" i="29"/>
  <c r="F133" i="29"/>
  <c r="G133" i="29"/>
  <c r="H133" i="29"/>
  <c r="I133" i="29"/>
  <c r="J133" i="29"/>
  <c r="K133" i="29"/>
  <c r="L133" i="29"/>
  <c r="M133" i="29"/>
  <c r="N133" i="29"/>
  <c r="O133" i="29"/>
  <c r="P133" i="29"/>
  <c r="Q133" i="29"/>
  <c r="R133" i="29"/>
  <c r="S133" i="29"/>
  <c r="T133" i="29"/>
  <c r="U133" i="29"/>
  <c r="V133" i="29"/>
  <c r="C134" i="29"/>
  <c r="D134" i="29"/>
  <c r="E134" i="29"/>
  <c r="F134" i="29"/>
  <c r="G134" i="29"/>
  <c r="H134" i="29"/>
  <c r="I134" i="29"/>
  <c r="J134" i="29"/>
  <c r="K134" i="29"/>
  <c r="L134" i="29"/>
  <c r="M134" i="29"/>
  <c r="N134" i="29"/>
  <c r="O134" i="29"/>
  <c r="P134" i="29"/>
  <c r="Q134" i="29"/>
  <c r="R134" i="29"/>
  <c r="S134" i="29"/>
  <c r="T134" i="29"/>
  <c r="U134" i="29"/>
  <c r="V134" i="29"/>
  <c r="C135" i="29"/>
  <c r="D135" i="29"/>
  <c r="E135" i="29"/>
  <c r="F135" i="29"/>
  <c r="G135" i="29"/>
  <c r="H135" i="29"/>
  <c r="I135" i="29"/>
  <c r="J135" i="29"/>
  <c r="K135" i="29"/>
  <c r="L135" i="29"/>
  <c r="M135" i="29"/>
  <c r="N135" i="29"/>
  <c r="O135" i="29"/>
  <c r="P135" i="29"/>
  <c r="Q135" i="29"/>
  <c r="R135" i="29"/>
  <c r="S135" i="29"/>
  <c r="T135" i="29"/>
  <c r="U135" i="29"/>
  <c r="V135" i="29"/>
  <c r="C136" i="29"/>
  <c r="D136" i="29"/>
  <c r="E136" i="29"/>
  <c r="F136" i="29"/>
  <c r="G136" i="29"/>
  <c r="H136" i="29"/>
  <c r="I136" i="29"/>
  <c r="J136" i="29"/>
  <c r="K136" i="29"/>
  <c r="L136" i="29"/>
  <c r="M136" i="29"/>
  <c r="N136" i="29"/>
  <c r="O136" i="29"/>
  <c r="P136" i="29"/>
  <c r="Q136" i="29"/>
  <c r="R136" i="29"/>
  <c r="S136" i="29"/>
  <c r="T136" i="29"/>
  <c r="U136" i="29"/>
  <c r="V136" i="29"/>
  <c r="B137" i="29"/>
  <c r="C137" i="29"/>
  <c r="D137" i="29"/>
  <c r="E137" i="29"/>
  <c r="F137" i="29"/>
  <c r="G137" i="29"/>
  <c r="H137" i="29"/>
  <c r="I137" i="29"/>
  <c r="J137" i="29"/>
  <c r="K137" i="29"/>
  <c r="L137" i="29"/>
  <c r="M137" i="29"/>
  <c r="N137" i="29"/>
  <c r="O137" i="29"/>
  <c r="P137" i="29"/>
  <c r="Q137" i="29"/>
  <c r="R137" i="29"/>
  <c r="S137" i="29"/>
  <c r="T137" i="29"/>
  <c r="U137" i="29"/>
  <c r="V137" i="29"/>
  <c r="B138" i="29"/>
  <c r="C138" i="29"/>
  <c r="D138" i="29"/>
  <c r="E138" i="29"/>
  <c r="F138" i="29"/>
  <c r="G138" i="29"/>
  <c r="H138" i="29"/>
  <c r="I138" i="29"/>
  <c r="J138" i="29"/>
  <c r="K138" i="29"/>
  <c r="L138" i="29"/>
  <c r="M138" i="29"/>
  <c r="N138" i="29"/>
  <c r="O138" i="29"/>
  <c r="P138" i="29"/>
  <c r="Q138" i="29"/>
  <c r="R138" i="29"/>
  <c r="S138" i="29"/>
  <c r="T138" i="29"/>
  <c r="U138" i="29"/>
  <c r="V138" i="29"/>
  <c r="A70" i="29"/>
  <c r="A71" i="29"/>
  <c r="A90" i="29"/>
  <c r="A92" i="29"/>
  <c r="A94" i="29"/>
  <c r="A95" i="29"/>
  <c r="A97" i="29"/>
  <c r="A116" i="29"/>
  <c r="A120" i="29"/>
  <c r="A137" i="29"/>
  <c r="A138" i="29"/>
  <c r="A69" i="29"/>
  <c r="A46" i="29"/>
  <c r="B46" i="29"/>
  <c r="C46" i="29"/>
  <c r="A47" i="29"/>
  <c r="B47" i="29"/>
  <c r="C47" i="29"/>
  <c r="A48" i="29"/>
  <c r="B48" i="29"/>
  <c r="C48" i="29"/>
  <c r="A49" i="29"/>
  <c r="B49" i="29"/>
  <c r="C49" i="29"/>
  <c r="A50" i="29"/>
  <c r="B50" i="29"/>
  <c r="C50" i="29"/>
  <c r="A51" i="29"/>
  <c r="B51" i="29"/>
  <c r="C51" i="29"/>
  <c r="A52" i="29"/>
  <c r="B52" i="29"/>
  <c r="C52" i="29"/>
  <c r="A53" i="29"/>
  <c r="B53" i="29"/>
  <c r="C53" i="29"/>
  <c r="A54" i="29"/>
  <c r="B54" i="29"/>
  <c r="C54" i="29"/>
  <c r="A55" i="29"/>
  <c r="B55" i="29"/>
  <c r="C55" i="29"/>
  <c r="B45" i="29"/>
  <c r="C45" i="29"/>
  <c r="A45" i="29"/>
  <c r="E27" i="29"/>
  <c r="F27" i="29"/>
  <c r="A28" i="29"/>
  <c r="B28" i="29"/>
  <c r="C28" i="29"/>
  <c r="D28" i="29"/>
  <c r="E28" i="29"/>
  <c r="F28" i="29"/>
  <c r="A29" i="29"/>
  <c r="B29" i="29"/>
  <c r="C29" i="29"/>
  <c r="D29" i="29"/>
  <c r="E29" i="29"/>
  <c r="F29" i="29"/>
  <c r="A30" i="29"/>
  <c r="B30" i="29"/>
  <c r="C30" i="29"/>
  <c r="D30" i="29"/>
  <c r="E30" i="29"/>
  <c r="F30" i="29"/>
  <c r="A31" i="29"/>
  <c r="B31" i="29"/>
  <c r="C31" i="29"/>
  <c r="D31" i="29"/>
  <c r="E31" i="29"/>
  <c r="F31" i="29"/>
  <c r="A32" i="29"/>
  <c r="B32" i="29"/>
  <c r="C32" i="29"/>
  <c r="D32" i="29"/>
  <c r="E32" i="29"/>
  <c r="F32" i="29"/>
  <c r="A33" i="29"/>
  <c r="B33" i="29"/>
  <c r="C33" i="29"/>
  <c r="D33" i="29"/>
  <c r="E33" i="29"/>
  <c r="F33" i="29"/>
  <c r="A34" i="29"/>
  <c r="B34" i="29"/>
  <c r="C34" i="29"/>
  <c r="D34" i="29"/>
  <c r="E34" i="29"/>
  <c r="F34" i="29"/>
  <c r="A35" i="29"/>
  <c r="B35" i="29"/>
  <c r="C35" i="29"/>
  <c r="D35" i="29"/>
  <c r="E35" i="29"/>
  <c r="F35" i="29"/>
  <c r="A36" i="29"/>
  <c r="B36" i="29"/>
  <c r="C36" i="29"/>
  <c r="D36" i="29"/>
  <c r="E36" i="29"/>
  <c r="F36" i="29"/>
  <c r="A37" i="29"/>
  <c r="B37" i="29"/>
  <c r="C37" i="29"/>
  <c r="D37" i="29"/>
  <c r="E37" i="29"/>
  <c r="F37" i="29"/>
  <c r="A38" i="29"/>
  <c r="B38" i="29"/>
  <c r="C38" i="29"/>
  <c r="D38" i="29"/>
  <c r="E38" i="29"/>
  <c r="F38" i="29"/>
  <c r="A39" i="29"/>
  <c r="B39" i="29"/>
  <c r="C39" i="29"/>
  <c r="D39" i="29"/>
  <c r="E39" i="29"/>
  <c r="F39" i="29"/>
  <c r="A40" i="29"/>
  <c r="B40" i="29"/>
  <c r="C40" i="29"/>
  <c r="D40" i="29"/>
  <c r="E40" i="29"/>
  <c r="F40" i="29"/>
  <c r="A41" i="29"/>
  <c r="B41" i="29"/>
  <c r="C41" i="29"/>
  <c r="D41" i="29"/>
  <c r="E41" i="29"/>
  <c r="F41" i="29"/>
  <c r="E26" i="29"/>
  <c r="F26" i="29"/>
  <c r="B28" i="28" l="1"/>
  <c r="B27" i="28"/>
  <c r="B26" i="28"/>
  <c r="B25" i="28"/>
  <c r="B24" i="28"/>
  <c r="B23" i="28"/>
  <c r="B22" i="28"/>
  <c r="B21" i="28"/>
  <c r="B20" i="28"/>
  <c r="B19" i="28"/>
  <c r="B18" i="28"/>
  <c r="B17" i="28"/>
  <c r="B16" i="28"/>
  <c r="B15" i="28"/>
  <c r="B14" i="28"/>
  <c r="B13" i="28"/>
  <c r="U16" i="27"/>
  <c r="T153" i="29" s="1"/>
  <c r="T16" i="27"/>
  <c r="S16" i="27"/>
  <c r="R153" i="29" s="1"/>
  <c r="Q16" i="27"/>
  <c r="P153" i="29" s="1"/>
  <c r="P16" i="27"/>
  <c r="O16" i="27"/>
  <c r="N16" i="27"/>
  <c r="M153" i="29" s="1"/>
  <c r="R16" i="27"/>
  <c r="P157" i="29"/>
  <c r="T156" i="29"/>
  <c r="S156" i="29"/>
  <c r="R156" i="29"/>
  <c r="T155" i="29"/>
  <c r="R155" i="29"/>
  <c r="U17" i="27"/>
  <c r="T154" i="29" s="1"/>
  <c r="T17" i="27"/>
  <c r="S154" i="29" s="1"/>
  <c r="S17" i="27"/>
  <c r="R154" i="29" s="1"/>
  <c r="M157" i="29"/>
  <c r="O156" i="29"/>
  <c r="M156" i="29"/>
  <c r="O155" i="29"/>
  <c r="M155" i="29"/>
  <c r="Q17" i="27"/>
  <c r="P154" i="29" s="1"/>
  <c r="P17" i="27"/>
  <c r="O154" i="29" s="1"/>
  <c r="O17" i="27"/>
  <c r="N154" i="29" s="1"/>
  <c r="L153" i="29"/>
  <c r="K153" i="29"/>
  <c r="J153" i="29"/>
  <c r="I153" i="29"/>
  <c r="M17" i="27"/>
  <c r="L17" i="27"/>
  <c r="H154" i="29"/>
  <c r="G154" i="29"/>
  <c r="I32" i="27"/>
  <c r="H169" i="29" s="1"/>
  <c r="H32" i="27"/>
  <c r="G169" i="29" s="1"/>
  <c r="G32" i="27"/>
  <c r="F169" i="29" s="1"/>
  <c r="I31" i="27"/>
  <c r="H168" i="29" s="1"/>
  <c r="H31" i="27"/>
  <c r="G168" i="29" s="1"/>
  <c r="G31" i="27"/>
  <c r="F168" i="29" s="1"/>
  <c r="I30" i="27"/>
  <c r="H167" i="29" s="1"/>
  <c r="H30" i="27"/>
  <c r="G167" i="29" s="1"/>
  <c r="G30" i="27"/>
  <c r="F167" i="29" s="1"/>
  <c r="I29" i="27"/>
  <c r="H166" i="29" s="1"/>
  <c r="H29" i="27"/>
  <c r="G166" i="29" s="1"/>
  <c r="G29" i="27"/>
  <c r="F166" i="29" s="1"/>
  <c r="I28" i="27"/>
  <c r="H165" i="29" s="1"/>
  <c r="H28" i="27"/>
  <c r="G165" i="29" s="1"/>
  <c r="G28" i="27"/>
  <c r="F165" i="29" s="1"/>
  <c r="I27" i="27"/>
  <c r="H164" i="29" s="1"/>
  <c r="H27" i="27"/>
  <c r="G164" i="29" s="1"/>
  <c r="G27" i="27"/>
  <c r="F164" i="29" s="1"/>
  <c r="I26" i="27"/>
  <c r="H163" i="29" s="1"/>
  <c r="H26" i="27"/>
  <c r="G163" i="29" s="1"/>
  <c r="G26" i="27"/>
  <c r="F163" i="29" s="1"/>
  <c r="I25" i="27"/>
  <c r="H162" i="29" s="1"/>
  <c r="H25" i="27"/>
  <c r="G162" i="29" s="1"/>
  <c r="G25" i="27"/>
  <c r="F162" i="29" s="1"/>
  <c r="I24" i="27"/>
  <c r="H161" i="29" s="1"/>
  <c r="H24" i="27"/>
  <c r="G161" i="29" s="1"/>
  <c r="G24" i="27"/>
  <c r="F161" i="29" s="1"/>
  <c r="I23" i="27"/>
  <c r="H160" i="29" s="1"/>
  <c r="H23" i="27"/>
  <c r="G160" i="29" s="1"/>
  <c r="G23" i="27"/>
  <c r="F160" i="29" s="1"/>
  <c r="I22" i="27"/>
  <c r="H159" i="29" s="1"/>
  <c r="H22" i="27"/>
  <c r="G159" i="29" s="1"/>
  <c r="G22" i="27"/>
  <c r="F159" i="29" s="1"/>
  <c r="I21" i="27"/>
  <c r="H158" i="29" s="1"/>
  <c r="H21" i="27"/>
  <c r="G158" i="29" s="1"/>
  <c r="G21" i="27"/>
  <c r="F158" i="29" s="1"/>
  <c r="I20" i="27"/>
  <c r="H157" i="29" s="1"/>
  <c r="H20" i="27"/>
  <c r="G157" i="29" s="1"/>
  <c r="G20" i="27"/>
  <c r="F157" i="29" s="1"/>
  <c r="I19" i="27"/>
  <c r="H156" i="29" s="1"/>
  <c r="H19" i="27"/>
  <c r="G156" i="29" s="1"/>
  <c r="I18" i="27"/>
  <c r="H155" i="29" s="1"/>
  <c r="H18" i="27"/>
  <c r="G155" i="29" s="1"/>
  <c r="G18" i="27"/>
  <c r="F155" i="29" s="1"/>
  <c r="D196" i="29"/>
  <c r="D59" i="27"/>
  <c r="D195" i="29"/>
  <c r="D58" i="27"/>
  <c r="D194" i="29"/>
  <c r="D57" i="27"/>
  <c r="D193" i="29"/>
  <c r="D56" i="27"/>
  <c r="D192" i="29"/>
  <c r="D55" i="27"/>
  <c r="D191" i="29"/>
  <c r="D54" i="27"/>
  <c r="D190" i="29"/>
  <c r="D53" i="27"/>
  <c r="D189" i="29"/>
  <c r="D52" i="27"/>
  <c r="D188" i="29"/>
  <c r="D51" i="27"/>
  <c r="D187" i="29"/>
  <c r="D186" i="29"/>
  <c r="D49" i="27"/>
  <c r="D185" i="29"/>
  <c r="D48" i="27"/>
  <c r="D184" i="29"/>
  <c r="D47" i="27"/>
  <c r="D46" i="27"/>
  <c r="F43" i="27"/>
  <c r="E180" i="29" s="1"/>
  <c r="F42" i="27"/>
  <c r="E179" i="29" s="1"/>
  <c r="E42" i="27"/>
  <c r="D179" i="29" s="1"/>
  <c r="D42" i="27"/>
  <c r="C179" i="29" s="1"/>
  <c r="C42" i="27"/>
  <c r="B179" i="29" s="1"/>
  <c r="B42" i="27"/>
  <c r="A179" i="29" s="1"/>
  <c r="T169" i="29"/>
  <c r="S169" i="29"/>
  <c r="R169" i="29"/>
  <c r="Q169" i="29"/>
  <c r="P169" i="29"/>
  <c r="O169" i="29"/>
  <c r="N169" i="29"/>
  <c r="M169" i="29"/>
  <c r="L169" i="29"/>
  <c r="K169" i="29"/>
  <c r="J169" i="29"/>
  <c r="I169" i="29"/>
  <c r="F32" i="27"/>
  <c r="E169" i="29" s="1"/>
  <c r="B32" i="27"/>
  <c r="T168" i="29"/>
  <c r="S168" i="29"/>
  <c r="R168" i="29"/>
  <c r="Q168" i="29"/>
  <c r="P168" i="29"/>
  <c r="O168" i="29"/>
  <c r="N168" i="29"/>
  <c r="M168" i="29"/>
  <c r="L168" i="29"/>
  <c r="K168" i="29"/>
  <c r="J168" i="29"/>
  <c r="I168" i="29"/>
  <c r="F31" i="27"/>
  <c r="E168" i="29" s="1"/>
  <c r="B31" i="27"/>
  <c r="T167" i="29"/>
  <c r="S167" i="29"/>
  <c r="R167" i="29"/>
  <c r="Q167" i="29"/>
  <c r="P167" i="29"/>
  <c r="O167" i="29"/>
  <c r="N167" i="29"/>
  <c r="M167" i="29"/>
  <c r="L167" i="29"/>
  <c r="K167" i="29"/>
  <c r="J167" i="29"/>
  <c r="I167" i="29"/>
  <c r="F30" i="27"/>
  <c r="E167" i="29" s="1"/>
  <c r="B30" i="27"/>
  <c r="T166" i="29"/>
  <c r="S166" i="29"/>
  <c r="R166" i="29"/>
  <c r="Q166" i="29"/>
  <c r="P166" i="29"/>
  <c r="O166" i="29"/>
  <c r="N166" i="29"/>
  <c r="M166" i="29"/>
  <c r="L166" i="29"/>
  <c r="K166" i="29"/>
  <c r="J166" i="29"/>
  <c r="I166" i="29"/>
  <c r="F29" i="27"/>
  <c r="E166" i="29" s="1"/>
  <c r="B29" i="27"/>
  <c r="T165" i="29"/>
  <c r="S165" i="29"/>
  <c r="R165" i="29"/>
  <c r="Q165" i="29"/>
  <c r="P165" i="29"/>
  <c r="O165" i="29"/>
  <c r="N165" i="29"/>
  <c r="M165" i="29"/>
  <c r="L165" i="29"/>
  <c r="K165" i="29"/>
  <c r="J165" i="29"/>
  <c r="I165" i="29"/>
  <c r="F28" i="27"/>
  <c r="E165" i="29" s="1"/>
  <c r="B28" i="27"/>
  <c r="T164" i="29"/>
  <c r="S164" i="29"/>
  <c r="R164" i="29"/>
  <c r="Q164" i="29"/>
  <c r="P164" i="29"/>
  <c r="O164" i="29"/>
  <c r="N164" i="29"/>
  <c r="M164" i="29"/>
  <c r="L164" i="29"/>
  <c r="K164" i="29"/>
  <c r="J164" i="29"/>
  <c r="I164" i="29"/>
  <c r="F27" i="27"/>
  <c r="E164" i="29" s="1"/>
  <c r="B27" i="27"/>
  <c r="T163" i="29"/>
  <c r="S163" i="29"/>
  <c r="R163" i="29"/>
  <c r="Q163" i="29"/>
  <c r="P163" i="29"/>
  <c r="O163" i="29"/>
  <c r="N163" i="29"/>
  <c r="M163" i="29"/>
  <c r="L163" i="29"/>
  <c r="K163" i="29"/>
  <c r="J163" i="29"/>
  <c r="I163" i="29"/>
  <c r="F26" i="27"/>
  <c r="E163" i="29" s="1"/>
  <c r="B26" i="27"/>
  <c r="T162" i="29"/>
  <c r="S162" i="29"/>
  <c r="R162" i="29"/>
  <c r="Q162" i="29"/>
  <c r="P162" i="29"/>
  <c r="O162" i="29"/>
  <c r="N162" i="29"/>
  <c r="M162" i="29"/>
  <c r="L162" i="29"/>
  <c r="K162" i="29"/>
  <c r="J162" i="29"/>
  <c r="I162" i="29"/>
  <c r="F25" i="27"/>
  <c r="E162" i="29" s="1"/>
  <c r="B25" i="27"/>
  <c r="T161" i="29"/>
  <c r="S161" i="29"/>
  <c r="R161" i="29"/>
  <c r="Q161" i="29"/>
  <c r="P161" i="29"/>
  <c r="O161" i="29"/>
  <c r="N161" i="29"/>
  <c r="M161" i="29"/>
  <c r="L161" i="29"/>
  <c r="K161" i="29"/>
  <c r="J161" i="29"/>
  <c r="I161" i="29"/>
  <c r="F24" i="27"/>
  <c r="E161" i="29" s="1"/>
  <c r="B24" i="27"/>
  <c r="T160" i="29"/>
  <c r="S160" i="29"/>
  <c r="R160" i="29"/>
  <c r="Q160" i="29"/>
  <c r="P160" i="29"/>
  <c r="O160" i="29"/>
  <c r="N160" i="29"/>
  <c r="M160" i="29"/>
  <c r="L160" i="29"/>
  <c r="K160" i="29"/>
  <c r="J160" i="29"/>
  <c r="I160" i="29"/>
  <c r="F23" i="27"/>
  <c r="E160" i="29" s="1"/>
  <c r="B23" i="27"/>
  <c r="T159" i="29"/>
  <c r="S159" i="29"/>
  <c r="R159" i="29"/>
  <c r="Q159" i="29"/>
  <c r="P159" i="29"/>
  <c r="O159" i="29"/>
  <c r="N159" i="29"/>
  <c r="M159" i="29"/>
  <c r="L159" i="29"/>
  <c r="K159" i="29"/>
  <c r="J159" i="29"/>
  <c r="I159" i="29"/>
  <c r="F22" i="27"/>
  <c r="E159" i="29" s="1"/>
  <c r="B22" i="27"/>
  <c r="T158" i="29"/>
  <c r="S158" i="29"/>
  <c r="R158" i="29"/>
  <c r="Q158" i="29"/>
  <c r="P158" i="29"/>
  <c r="O158" i="29"/>
  <c r="N158" i="29"/>
  <c r="M158" i="29"/>
  <c r="L158" i="29"/>
  <c r="K158" i="29"/>
  <c r="J158" i="29"/>
  <c r="I158" i="29"/>
  <c r="F21" i="27"/>
  <c r="E158" i="29" s="1"/>
  <c r="B21" i="27"/>
  <c r="I157" i="29"/>
  <c r="F20" i="27"/>
  <c r="E157" i="29" s="1"/>
  <c r="B20" i="27"/>
  <c r="I156" i="29"/>
  <c r="F19" i="27"/>
  <c r="E156" i="29" s="1"/>
  <c r="B19" i="27"/>
  <c r="I155" i="29"/>
  <c r="F18" i="27"/>
  <c r="E155" i="29" s="1"/>
  <c r="B18" i="27"/>
  <c r="B17" i="27"/>
  <c r="R48" i="27" l="1"/>
  <c r="N48" i="27"/>
  <c r="J48" i="27"/>
  <c r="U48" i="27"/>
  <c r="Q48" i="27"/>
  <c r="M48" i="27"/>
  <c r="I48" i="27"/>
  <c r="T48" i="27"/>
  <c r="P48" i="27"/>
  <c r="L48" i="27"/>
  <c r="H48" i="27"/>
  <c r="K48" i="27"/>
  <c r="O48" i="27"/>
  <c r="G48" i="27"/>
  <c r="S48" i="27"/>
  <c r="U51" i="27"/>
  <c r="Q51" i="27"/>
  <c r="M51" i="27"/>
  <c r="I51" i="27"/>
  <c r="T51" i="27"/>
  <c r="P51" i="27"/>
  <c r="L51" i="27"/>
  <c r="H51" i="27"/>
  <c r="S51" i="27"/>
  <c r="O51" i="27"/>
  <c r="K51" i="27"/>
  <c r="G51" i="27"/>
  <c r="R51" i="27"/>
  <c r="N51" i="27"/>
  <c r="J51" i="27"/>
  <c r="S53" i="27"/>
  <c r="O53" i="27"/>
  <c r="K53" i="27"/>
  <c r="G53" i="27"/>
  <c r="R53" i="27"/>
  <c r="N53" i="27"/>
  <c r="J53" i="27"/>
  <c r="U53" i="27"/>
  <c r="Q53" i="27"/>
  <c r="M53" i="27"/>
  <c r="I53" i="27"/>
  <c r="T53" i="27"/>
  <c r="H53" i="27"/>
  <c r="P53" i="27"/>
  <c r="L53" i="27"/>
  <c r="C192" i="29"/>
  <c r="U55" i="27"/>
  <c r="Q55" i="27"/>
  <c r="M55" i="27"/>
  <c r="I55" i="27"/>
  <c r="T55" i="27"/>
  <c r="P55" i="27"/>
  <c r="L55" i="27"/>
  <c r="H55" i="27"/>
  <c r="S55" i="27"/>
  <c r="O55" i="27"/>
  <c r="K55" i="27"/>
  <c r="G55" i="27"/>
  <c r="J55" i="27"/>
  <c r="R55" i="27"/>
  <c r="N55" i="27"/>
  <c r="S57" i="27"/>
  <c r="O57" i="27"/>
  <c r="K57" i="27"/>
  <c r="G57" i="27"/>
  <c r="R57" i="27"/>
  <c r="N57" i="27"/>
  <c r="J57" i="27"/>
  <c r="U57" i="27"/>
  <c r="Q57" i="27"/>
  <c r="M57" i="27"/>
  <c r="I57" i="27"/>
  <c r="H57" i="27"/>
  <c r="T57" i="27"/>
  <c r="P57" i="27"/>
  <c r="L57" i="27"/>
  <c r="U59" i="27"/>
  <c r="Q59" i="27"/>
  <c r="M59" i="27"/>
  <c r="I59" i="27"/>
  <c r="T59" i="27"/>
  <c r="P59" i="27"/>
  <c r="L59" i="27"/>
  <c r="H59" i="27"/>
  <c r="S59" i="27"/>
  <c r="O59" i="27"/>
  <c r="K59" i="27"/>
  <c r="G59" i="27"/>
  <c r="R59" i="27"/>
  <c r="N59" i="27"/>
  <c r="J59" i="27"/>
  <c r="S49" i="27"/>
  <c r="O49" i="27"/>
  <c r="K49" i="27"/>
  <c r="G49" i="27"/>
  <c r="R49" i="27"/>
  <c r="N49" i="27"/>
  <c r="J49" i="27"/>
  <c r="U49" i="27"/>
  <c r="Q49" i="27"/>
  <c r="M49" i="27"/>
  <c r="I49" i="27"/>
  <c r="L49" i="27"/>
  <c r="T49" i="27"/>
  <c r="H49" i="27"/>
  <c r="P49" i="27"/>
  <c r="R52" i="27"/>
  <c r="N52" i="27"/>
  <c r="J52" i="27"/>
  <c r="U52" i="27"/>
  <c r="Q52" i="27"/>
  <c r="M52" i="27"/>
  <c r="I52" i="27"/>
  <c r="T52" i="27"/>
  <c r="P52" i="27"/>
  <c r="L52" i="27"/>
  <c r="H52" i="27"/>
  <c r="S52" i="27"/>
  <c r="K52" i="27"/>
  <c r="O52" i="27"/>
  <c r="G52" i="27"/>
  <c r="T54" i="27"/>
  <c r="P54" i="27"/>
  <c r="L54" i="27"/>
  <c r="H54" i="27"/>
  <c r="S54" i="27"/>
  <c r="O54" i="27"/>
  <c r="K54" i="27"/>
  <c r="G54" i="27"/>
  <c r="R54" i="27"/>
  <c r="N54" i="27"/>
  <c r="J54" i="27"/>
  <c r="U54" i="27"/>
  <c r="M54" i="27"/>
  <c r="Q54" i="27"/>
  <c r="I54" i="27"/>
  <c r="R56" i="27"/>
  <c r="N56" i="27"/>
  <c r="J56" i="27"/>
  <c r="U56" i="27"/>
  <c r="Q56" i="27"/>
  <c r="M56" i="27"/>
  <c r="I56" i="27"/>
  <c r="T56" i="27"/>
  <c r="P56" i="27"/>
  <c r="L56" i="27"/>
  <c r="H56" i="27"/>
  <c r="G56" i="27"/>
  <c r="O56" i="27"/>
  <c r="K56" i="27"/>
  <c r="S56" i="27"/>
  <c r="T58" i="27"/>
  <c r="P58" i="27"/>
  <c r="L58" i="27"/>
  <c r="H58" i="27"/>
  <c r="S58" i="27"/>
  <c r="O58" i="27"/>
  <c r="K58" i="27"/>
  <c r="G58" i="27"/>
  <c r="R58" i="27"/>
  <c r="N58" i="27"/>
  <c r="J58" i="27"/>
  <c r="U58" i="27"/>
  <c r="Q58" i="27"/>
  <c r="M58" i="27"/>
  <c r="I58" i="27"/>
  <c r="J154" i="29"/>
  <c r="K20" i="27"/>
  <c r="J157" i="29" s="1"/>
  <c r="K19" i="27"/>
  <c r="J156" i="29" s="1"/>
  <c r="K18" i="27"/>
  <c r="J155" i="29" s="1"/>
  <c r="L154" i="29"/>
  <c r="M20" i="27"/>
  <c r="L157" i="29" s="1"/>
  <c r="M19" i="27"/>
  <c r="L156" i="29" s="1"/>
  <c r="M18" i="27"/>
  <c r="L155" i="29" s="1"/>
  <c r="K154" i="29"/>
  <c r="L20" i="27"/>
  <c r="K157" i="29" s="1"/>
  <c r="L19" i="27"/>
  <c r="K156" i="29" s="1"/>
  <c r="L18" i="27"/>
  <c r="K155" i="29" s="1"/>
  <c r="U47" i="27"/>
  <c r="T184" i="29" s="1"/>
  <c r="Q47" i="27"/>
  <c r="P184" i="29" s="1"/>
  <c r="M47" i="27"/>
  <c r="I47" i="27"/>
  <c r="H184" i="29" s="1"/>
  <c r="O47" i="27"/>
  <c r="N184" i="29" s="1"/>
  <c r="G47" i="27"/>
  <c r="F184" i="29" s="1"/>
  <c r="R47" i="27"/>
  <c r="Q184" i="29" s="1"/>
  <c r="J47" i="27"/>
  <c r="I184" i="29" s="1"/>
  <c r="T47" i="27"/>
  <c r="P47" i="27"/>
  <c r="L47" i="27"/>
  <c r="K184" i="29" s="1"/>
  <c r="H47" i="27"/>
  <c r="G184" i="29" s="1"/>
  <c r="S47" i="27"/>
  <c r="K47" i="27"/>
  <c r="J184" i="29" s="1"/>
  <c r="N47" i="27"/>
  <c r="T46" i="27"/>
  <c r="S183" i="29" s="1"/>
  <c r="P46" i="27"/>
  <c r="O183" i="29" s="1"/>
  <c r="L46" i="27"/>
  <c r="H46" i="27"/>
  <c r="G183" i="29" s="1"/>
  <c r="R46" i="27"/>
  <c r="Q183" i="29" s="1"/>
  <c r="J46" i="27"/>
  <c r="Q46" i="27"/>
  <c r="P183" i="29" s="1"/>
  <c r="I46" i="27"/>
  <c r="H183" i="29" s="1"/>
  <c r="S46" i="27"/>
  <c r="O46" i="27"/>
  <c r="N183" i="29" s="1"/>
  <c r="K46" i="27"/>
  <c r="J183" i="29" s="1"/>
  <c r="G46" i="27"/>
  <c r="F183" i="29" s="1"/>
  <c r="N46" i="27"/>
  <c r="M183" i="29" s="1"/>
  <c r="U46" i="27"/>
  <c r="T183" i="29" s="1"/>
  <c r="M46" i="27"/>
  <c r="L183" i="29" s="1"/>
  <c r="S45" i="27"/>
  <c r="R182" i="29" s="1"/>
  <c r="O45" i="27"/>
  <c r="N182" i="29" s="1"/>
  <c r="K45" i="27"/>
  <c r="G45" i="27"/>
  <c r="F182" i="29" s="1"/>
  <c r="U45" i="27"/>
  <c r="T182" i="29" s="1"/>
  <c r="I45" i="27"/>
  <c r="H182" i="29" s="1"/>
  <c r="P45" i="27"/>
  <c r="O182" i="29" s="1"/>
  <c r="L45" i="27"/>
  <c r="K182" i="29" s="1"/>
  <c r="R45" i="27"/>
  <c r="Q182" i="29" s="1"/>
  <c r="N45" i="27"/>
  <c r="M182" i="29" s="1"/>
  <c r="J45" i="27"/>
  <c r="I182" i="29" s="1"/>
  <c r="Q45" i="27"/>
  <c r="P182" i="29" s="1"/>
  <c r="M45" i="27"/>
  <c r="L182" i="29" s="1"/>
  <c r="T45" i="27"/>
  <c r="S182" i="29" s="1"/>
  <c r="H45" i="27"/>
  <c r="G182" i="29" s="1"/>
  <c r="B50" i="28"/>
  <c r="B435" i="29" s="1"/>
  <c r="B411" i="29"/>
  <c r="B51" i="28"/>
  <c r="B436" i="29" s="1"/>
  <c r="B412" i="29"/>
  <c r="B49" i="28"/>
  <c r="B434" i="29" s="1"/>
  <c r="B410" i="29"/>
  <c r="B48" i="28"/>
  <c r="B433" i="29" s="1"/>
  <c r="B409" i="29"/>
  <c r="B47" i="28"/>
  <c r="B432" i="29" s="1"/>
  <c r="B408" i="29"/>
  <c r="B46" i="28"/>
  <c r="B431" i="29" s="1"/>
  <c r="B407" i="29"/>
  <c r="B45" i="28"/>
  <c r="B430" i="29" s="1"/>
  <c r="B406" i="29"/>
  <c r="B44" i="28"/>
  <c r="B429" i="29" s="1"/>
  <c r="B405" i="29"/>
  <c r="B43" i="28"/>
  <c r="B428" i="29" s="1"/>
  <c r="B404" i="29"/>
  <c r="B42" i="28"/>
  <c r="B427" i="29" s="1"/>
  <c r="B403" i="29"/>
  <c r="B41" i="28"/>
  <c r="B426" i="29" s="1"/>
  <c r="B402" i="29"/>
  <c r="B40" i="28"/>
  <c r="B425" i="29" s="1"/>
  <c r="B401" i="29"/>
  <c r="B52" i="28"/>
  <c r="B437" i="29" s="1"/>
  <c r="B413" i="29"/>
  <c r="B37" i="28"/>
  <c r="B422" i="29" s="1"/>
  <c r="B398" i="29"/>
  <c r="B39" i="28"/>
  <c r="B424" i="29" s="1"/>
  <c r="B400" i="29"/>
  <c r="B38" i="28"/>
  <c r="B423" i="29" s="1"/>
  <c r="B399" i="29"/>
  <c r="R157" i="29"/>
  <c r="B69" i="27"/>
  <c r="A206" i="29" s="1"/>
  <c r="A156" i="29"/>
  <c r="B47" i="27"/>
  <c r="A184" i="29" s="1"/>
  <c r="A157" i="29"/>
  <c r="B71" i="27"/>
  <c r="A208" i="29" s="1"/>
  <c r="A158" i="29"/>
  <c r="B49" i="27"/>
  <c r="A186" i="29" s="1"/>
  <c r="A159" i="29"/>
  <c r="B73" i="27"/>
  <c r="A210" i="29" s="1"/>
  <c r="A160" i="29"/>
  <c r="B51" i="27"/>
  <c r="A188" i="29" s="1"/>
  <c r="A161" i="29"/>
  <c r="B75" i="27"/>
  <c r="A212" i="29" s="1"/>
  <c r="A162" i="29"/>
  <c r="B53" i="27"/>
  <c r="A190" i="29" s="1"/>
  <c r="A163" i="29"/>
  <c r="B77" i="27"/>
  <c r="A214" i="29" s="1"/>
  <c r="A164" i="29"/>
  <c r="B55" i="27"/>
  <c r="A192" i="29" s="1"/>
  <c r="A165" i="29"/>
  <c r="B79" i="27"/>
  <c r="A216" i="29" s="1"/>
  <c r="A166" i="29"/>
  <c r="B57" i="27"/>
  <c r="A194" i="29" s="1"/>
  <c r="A167" i="29"/>
  <c r="B81" i="27"/>
  <c r="A218" i="29" s="1"/>
  <c r="A168" i="29"/>
  <c r="C183" i="29"/>
  <c r="T157" i="29"/>
  <c r="Q157" i="29"/>
  <c r="Q153" i="29"/>
  <c r="N157" i="29"/>
  <c r="N153" i="29"/>
  <c r="S157" i="29"/>
  <c r="S153" i="29"/>
  <c r="B45" i="27"/>
  <c r="A182" i="29" s="1"/>
  <c r="A155" i="29"/>
  <c r="B67" i="27"/>
  <c r="A204" i="29" s="1"/>
  <c r="A154" i="29"/>
  <c r="C182" i="29"/>
  <c r="S184" i="29"/>
  <c r="C184" i="29"/>
  <c r="S185" i="29"/>
  <c r="C185" i="29"/>
  <c r="S186" i="29"/>
  <c r="C186" i="29"/>
  <c r="S187" i="29"/>
  <c r="C187" i="29"/>
  <c r="S188" i="29"/>
  <c r="C188" i="29"/>
  <c r="S189" i="29"/>
  <c r="C189" i="29"/>
  <c r="Q190" i="29"/>
  <c r="C190" i="29"/>
  <c r="S191" i="29"/>
  <c r="C191" i="29"/>
  <c r="S193" i="29"/>
  <c r="C193" i="29"/>
  <c r="S194" i="29"/>
  <c r="C194" i="29"/>
  <c r="S195" i="29"/>
  <c r="C195" i="29"/>
  <c r="S196" i="29"/>
  <c r="C196" i="29"/>
  <c r="G19" i="27"/>
  <c r="F156" i="29" s="1"/>
  <c r="F154" i="29"/>
  <c r="O157" i="29"/>
  <c r="O153" i="29"/>
  <c r="B59" i="27"/>
  <c r="A196" i="29" s="1"/>
  <c r="A169" i="29"/>
  <c r="H190" i="29"/>
  <c r="F45" i="27"/>
  <c r="E182" i="29" s="1"/>
  <c r="M190" i="29"/>
  <c r="Q155" i="29"/>
  <c r="S155" i="29"/>
  <c r="Q156" i="29"/>
  <c r="N155" i="29"/>
  <c r="P155" i="29"/>
  <c r="N156" i="29"/>
  <c r="P156" i="29"/>
  <c r="L184" i="29"/>
  <c r="C20" i="27"/>
  <c r="C47" i="27" s="1"/>
  <c r="B184" i="29" s="1"/>
  <c r="C25" i="27"/>
  <c r="C52" i="27" s="1"/>
  <c r="B189" i="29" s="1"/>
  <c r="C22" i="27"/>
  <c r="C49" i="27" s="1"/>
  <c r="B186" i="29" s="1"/>
  <c r="C29" i="27"/>
  <c r="B166" i="29" s="1"/>
  <c r="C21" i="27"/>
  <c r="C24" i="27"/>
  <c r="C51" i="27" s="1"/>
  <c r="B188" i="29" s="1"/>
  <c r="C28" i="27"/>
  <c r="C55" i="27" s="1"/>
  <c r="B192" i="29" s="1"/>
  <c r="C32" i="27"/>
  <c r="C19" i="27"/>
  <c r="C23" i="27"/>
  <c r="C27" i="27"/>
  <c r="C54" i="27" s="1"/>
  <c r="B191" i="29" s="1"/>
  <c r="C31" i="27"/>
  <c r="C17" i="27"/>
  <c r="C18" i="27"/>
  <c r="C26" i="27"/>
  <c r="C30" i="27"/>
  <c r="H185" i="29"/>
  <c r="L185" i="29"/>
  <c r="P185" i="29"/>
  <c r="T185" i="29"/>
  <c r="H186" i="29"/>
  <c r="L186" i="29"/>
  <c r="P186" i="29"/>
  <c r="T186" i="29"/>
  <c r="H187" i="29"/>
  <c r="L187" i="29"/>
  <c r="P187" i="29"/>
  <c r="T187" i="29"/>
  <c r="H188" i="29"/>
  <c r="L188" i="29"/>
  <c r="P188" i="29"/>
  <c r="T188" i="29"/>
  <c r="H189" i="29"/>
  <c r="L189" i="29"/>
  <c r="P189" i="29"/>
  <c r="T189" i="29"/>
  <c r="G191" i="29"/>
  <c r="O191" i="29"/>
  <c r="G194" i="29"/>
  <c r="O194" i="29"/>
  <c r="G196" i="29"/>
  <c r="O196" i="29"/>
  <c r="R184" i="29"/>
  <c r="F185" i="29"/>
  <c r="J185" i="29"/>
  <c r="N185" i="29"/>
  <c r="R185" i="29"/>
  <c r="F186" i="29"/>
  <c r="J186" i="29"/>
  <c r="N186" i="29"/>
  <c r="R186" i="29"/>
  <c r="F187" i="29"/>
  <c r="J187" i="29"/>
  <c r="N187" i="29"/>
  <c r="R187" i="29"/>
  <c r="F188" i="29"/>
  <c r="J188" i="29"/>
  <c r="N188" i="29"/>
  <c r="R188" i="29"/>
  <c r="F189" i="29"/>
  <c r="J189" i="29"/>
  <c r="N189" i="29"/>
  <c r="R189" i="29"/>
  <c r="F190" i="29"/>
  <c r="J190" i="29"/>
  <c r="K191" i="29"/>
  <c r="K194" i="29"/>
  <c r="K196" i="29"/>
  <c r="B46" i="27"/>
  <c r="A183" i="29" s="1"/>
  <c r="R183" i="29"/>
  <c r="B54" i="27"/>
  <c r="A191" i="29" s="1"/>
  <c r="T192" i="29"/>
  <c r="R192" i="29"/>
  <c r="P192" i="29"/>
  <c r="N192" i="29"/>
  <c r="L192" i="29"/>
  <c r="J192" i="29"/>
  <c r="H192" i="29"/>
  <c r="F192" i="29"/>
  <c r="F55" i="27"/>
  <c r="E192" i="29" s="1"/>
  <c r="I192" i="29"/>
  <c r="M192" i="29"/>
  <c r="Q192" i="29"/>
  <c r="B56" i="27"/>
  <c r="A193" i="29" s="1"/>
  <c r="G193" i="29"/>
  <c r="K193" i="29"/>
  <c r="O193" i="29"/>
  <c r="T194" i="29"/>
  <c r="R194" i="29"/>
  <c r="P194" i="29"/>
  <c r="N194" i="29"/>
  <c r="L194" i="29"/>
  <c r="J194" i="29"/>
  <c r="H194" i="29"/>
  <c r="F194" i="29"/>
  <c r="F57" i="27"/>
  <c r="E194" i="29" s="1"/>
  <c r="I194" i="29"/>
  <c r="M194" i="29"/>
  <c r="Q194" i="29"/>
  <c r="B58" i="27"/>
  <c r="A195" i="29" s="1"/>
  <c r="G195" i="29"/>
  <c r="K195" i="29"/>
  <c r="O195" i="29"/>
  <c r="T196" i="29"/>
  <c r="R196" i="29"/>
  <c r="P196" i="29"/>
  <c r="N196" i="29"/>
  <c r="L196" i="29"/>
  <c r="J196" i="29"/>
  <c r="H196" i="29"/>
  <c r="F196" i="29"/>
  <c r="F59" i="27"/>
  <c r="E196" i="29" s="1"/>
  <c r="I196" i="29"/>
  <c r="M196" i="29"/>
  <c r="Q196" i="29"/>
  <c r="B68" i="27"/>
  <c r="A205" i="29" s="1"/>
  <c r="B70" i="27"/>
  <c r="A207" i="29" s="1"/>
  <c r="B72" i="27"/>
  <c r="A209" i="29" s="1"/>
  <c r="B74" i="27"/>
  <c r="A211" i="29" s="1"/>
  <c r="B76" i="27"/>
  <c r="A213" i="29" s="1"/>
  <c r="B78" i="27"/>
  <c r="A215" i="29" s="1"/>
  <c r="B80" i="27"/>
  <c r="A217" i="29" s="1"/>
  <c r="B82" i="27"/>
  <c r="A219" i="29" s="1"/>
  <c r="C79" i="27"/>
  <c r="B216" i="29" s="1"/>
  <c r="C57" i="27"/>
  <c r="B194" i="29" s="1"/>
  <c r="B44" i="27"/>
  <c r="A181" i="29" s="1"/>
  <c r="J182" i="29"/>
  <c r="F46" i="27"/>
  <c r="E183" i="29" s="1"/>
  <c r="I183" i="29"/>
  <c r="K183" i="29"/>
  <c r="F47" i="27"/>
  <c r="E184" i="29" s="1"/>
  <c r="M184" i="29"/>
  <c r="O184" i="29"/>
  <c r="B48" i="27"/>
  <c r="A185" i="29" s="1"/>
  <c r="F48" i="27"/>
  <c r="E185" i="29" s="1"/>
  <c r="G185" i="29"/>
  <c r="I185" i="29"/>
  <c r="K185" i="29"/>
  <c r="M185" i="29"/>
  <c r="O185" i="29"/>
  <c r="Q185" i="29"/>
  <c r="F49" i="27"/>
  <c r="E186" i="29" s="1"/>
  <c r="G186" i="29"/>
  <c r="I186" i="29"/>
  <c r="K186" i="29"/>
  <c r="M186" i="29"/>
  <c r="O186" i="29"/>
  <c r="Q186" i="29"/>
  <c r="B50" i="27"/>
  <c r="A187" i="29" s="1"/>
  <c r="F50" i="27"/>
  <c r="E187" i="29" s="1"/>
  <c r="G187" i="29"/>
  <c r="I187" i="29"/>
  <c r="K187" i="29"/>
  <c r="M187" i="29"/>
  <c r="O187" i="29"/>
  <c r="Q187" i="29"/>
  <c r="F51" i="27"/>
  <c r="E188" i="29" s="1"/>
  <c r="G188" i="29"/>
  <c r="I188" i="29"/>
  <c r="K188" i="29"/>
  <c r="M188" i="29"/>
  <c r="O188" i="29"/>
  <c r="Q188" i="29"/>
  <c r="B52" i="27"/>
  <c r="A189" i="29" s="1"/>
  <c r="F52" i="27"/>
  <c r="E189" i="29" s="1"/>
  <c r="G189" i="29"/>
  <c r="I189" i="29"/>
  <c r="K189" i="29"/>
  <c r="M189" i="29"/>
  <c r="O189" i="29"/>
  <c r="Q189" i="29"/>
  <c r="T190" i="29"/>
  <c r="R190" i="29"/>
  <c r="P190" i="29"/>
  <c r="N190" i="29"/>
  <c r="L190" i="29"/>
  <c r="F53" i="27"/>
  <c r="E190" i="29" s="1"/>
  <c r="G190" i="29"/>
  <c r="I190" i="29"/>
  <c r="K190" i="29"/>
  <c r="O190" i="29"/>
  <c r="S190" i="29"/>
  <c r="T191" i="29"/>
  <c r="R191" i="29"/>
  <c r="P191" i="29"/>
  <c r="N191" i="29"/>
  <c r="L191" i="29"/>
  <c r="J191" i="29"/>
  <c r="H191" i="29"/>
  <c r="F191" i="29"/>
  <c r="F54" i="27"/>
  <c r="E191" i="29" s="1"/>
  <c r="I191" i="29"/>
  <c r="M191" i="29"/>
  <c r="Q191" i="29"/>
  <c r="G192" i="29"/>
  <c r="K192" i="29"/>
  <c r="O192" i="29"/>
  <c r="S192" i="29"/>
  <c r="T193" i="29"/>
  <c r="R193" i="29"/>
  <c r="P193" i="29"/>
  <c r="N193" i="29"/>
  <c r="L193" i="29"/>
  <c r="J193" i="29"/>
  <c r="H193" i="29"/>
  <c r="F193" i="29"/>
  <c r="F56" i="27"/>
  <c r="E193" i="29" s="1"/>
  <c r="I193" i="29"/>
  <c r="M193" i="29"/>
  <c r="Q193" i="29"/>
  <c r="T195" i="29"/>
  <c r="R195" i="29"/>
  <c r="P195" i="29"/>
  <c r="N195" i="29"/>
  <c r="L195" i="29"/>
  <c r="J195" i="29"/>
  <c r="H195" i="29"/>
  <c r="F195" i="29"/>
  <c r="F58" i="27"/>
  <c r="E195" i="29" s="1"/>
  <c r="I195" i="29"/>
  <c r="M195" i="29"/>
  <c r="Q195" i="29"/>
  <c r="B7" i="26"/>
  <c r="C7" i="26"/>
  <c r="B326" i="29" s="1"/>
  <c r="B8" i="26"/>
  <c r="C8" i="26"/>
  <c r="B327" i="29" s="1"/>
  <c r="B9" i="26"/>
  <c r="C9" i="26"/>
  <c r="B328" i="29" s="1"/>
  <c r="B10" i="26"/>
  <c r="C10" i="26"/>
  <c r="B329" i="29" s="1"/>
  <c r="B11" i="26"/>
  <c r="C11" i="26"/>
  <c r="B330" i="29" s="1"/>
  <c r="B12" i="26"/>
  <c r="C12" i="26"/>
  <c r="B331" i="29" s="1"/>
  <c r="B13" i="26"/>
  <c r="C13" i="26"/>
  <c r="B332" i="29" s="1"/>
  <c r="B14" i="26"/>
  <c r="C14" i="26"/>
  <c r="B333" i="29" s="1"/>
  <c r="B15" i="26"/>
  <c r="C15" i="26"/>
  <c r="B334" i="29" s="1"/>
  <c r="B16" i="26"/>
  <c r="C16" i="26"/>
  <c r="B335" i="29" s="1"/>
  <c r="B17" i="26"/>
  <c r="C17" i="26"/>
  <c r="B336" i="29" s="1"/>
  <c r="B18" i="26"/>
  <c r="C18" i="26"/>
  <c r="B337" i="29" s="1"/>
  <c r="B19" i="26"/>
  <c r="C19" i="26"/>
  <c r="B338" i="29" s="1"/>
  <c r="B20" i="26"/>
  <c r="C20" i="26"/>
  <c r="B339" i="29" s="1"/>
  <c r="B21" i="26"/>
  <c r="C21" i="26"/>
  <c r="B340" i="29" s="1"/>
  <c r="C6" i="26"/>
  <c r="B325" i="29" s="1"/>
  <c r="B6" i="26"/>
  <c r="F7" i="26" l="1"/>
  <c r="E326" i="29" s="1"/>
  <c r="A339" i="29"/>
  <c r="E20" i="26"/>
  <c r="D339" i="29" s="1"/>
  <c r="F20" i="26"/>
  <c r="E339" i="29" s="1"/>
  <c r="D20" i="26"/>
  <c r="C339" i="29" s="1"/>
  <c r="A338" i="29"/>
  <c r="F19" i="26"/>
  <c r="E338" i="29" s="1"/>
  <c r="D19" i="26"/>
  <c r="C338" i="29" s="1"/>
  <c r="E19" i="26"/>
  <c r="D338" i="29" s="1"/>
  <c r="A337" i="29"/>
  <c r="E18" i="26"/>
  <c r="D337" i="29" s="1"/>
  <c r="F18" i="26"/>
  <c r="E337" i="29" s="1"/>
  <c r="D18" i="26"/>
  <c r="C337" i="29" s="1"/>
  <c r="A336" i="29"/>
  <c r="F17" i="26"/>
  <c r="E336" i="29" s="1"/>
  <c r="D17" i="26"/>
  <c r="C336" i="29" s="1"/>
  <c r="E17" i="26"/>
  <c r="D336" i="29" s="1"/>
  <c r="A335" i="29"/>
  <c r="E16" i="26"/>
  <c r="D335" i="29" s="1"/>
  <c r="F16" i="26"/>
  <c r="E335" i="29" s="1"/>
  <c r="D16" i="26"/>
  <c r="C335" i="29" s="1"/>
  <c r="A334" i="29"/>
  <c r="F15" i="26"/>
  <c r="E334" i="29" s="1"/>
  <c r="D15" i="26"/>
  <c r="C334" i="29" s="1"/>
  <c r="E15" i="26"/>
  <c r="D334" i="29" s="1"/>
  <c r="A333" i="29"/>
  <c r="E14" i="26"/>
  <c r="D333" i="29" s="1"/>
  <c r="F14" i="26"/>
  <c r="E333" i="29" s="1"/>
  <c r="D14" i="26"/>
  <c r="C333" i="29" s="1"/>
  <c r="A332" i="29"/>
  <c r="F13" i="26"/>
  <c r="E332" i="29" s="1"/>
  <c r="D13" i="26"/>
  <c r="C332" i="29" s="1"/>
  <c r="E13" i="26"/>
  <c r="D332" i="29" s="1"/>
  <c r="A331" i="29"/>
  <c r="E12" i="26"/>
  <c r="D331" i="29" s="1"/>
  <c r="F12" i="26"/>
  <c r="E331" i="29" s="1"/>
  <c r="D12" i="26"/>
  <c r="C331" i="29" s="1"/>
  <c r="A330" i="29"/>
  <c r="F11" i="26"/>
  <c r="E330" i="29" s="1"/>
  <c r="D11" i="26"/>
  <c r="C330" i="29" s="1"/>
  <c r="E11" i="26"/>
  <c r="D330" i="29" s="1"/>
  <c r="A329" i="29"/>
  <c r="E10" i="26"/>
  <c r="D329" i="29" s="1"/>
  <c r="F10" i="26"/>
  <c r="E329" i="29" s="1"/>
  <c r="D10" i="26"/>
  <c r="C329" i="29" s="1"/>
  <c r="A328" i="29"/>
  <c r="F9" i="26"/>
  <c r="E328" i="29" s="1"/>
  <c r="D9" i="26"/>
  <c r="C328" i="29" s="1"/>
  <c r="E9" i="26"/>
  <c r="D328" i="29" s="1"/>
  <c r="A327" i="29"/>
  <c r="E8" i="26"/>
  <c r="D327" i="29" s="1"/>
  <c r="F8" i="26"/>
  <c r="E327" i="29" s="1"/>
  <c r="D8" i="26"/>
  <c r="C327" i="29" s="1"/>
  <c r="A340" i="29"/>
  <c r="E21" i="26"/>
  <c r="D340" i="29" s="1"/>
  <c r="F21" i="26"/>
  <c r="E340" i="29" s="1"/>
  <c r="D21" i="26"/>
  <c r="C340" i="29" s="1"/>
  <c r="A325" i="29"/>
  <c r="D325" i="29"/>
  <c r="E325" i="29"/>
  <c r="A326" i="29"/>
  <c r="E7" i="26"/>
  <c r="D326" i="29" s="1"/>
  <c r="D7" i="26"/>
  <c r="C326" i="29" s="1"/>
  <c r="C56" i="27"/>
  <c r="B193" i="29" s="1"/>
  <c r="C76" i="27"/>
  <c r="B213" i="29" s="1"/>
  <c r="B163" i="29"/>
  <c r="C67" i="27"/>
  <c r="B204" i="29" s="1"/>
  <c r="B154" i="29"/>
  <c r="C77" i="27"/>
  <c r="B214" i="29" s="1"/>
  <c r="B164" i="29"/>
  <c r="C69" i="27"/>
  <c r="B206" i="29" s="1"/>
  <c r="B156" i="29"/>
  <c r="C78" i="27"/>
  <c r="B215" i="29" s="1"/>
  <c r="B165" i="29"/>
  <c r="C71" i="27"/>
  <c r="B208" i="29" s="1"/>
  <c r="B158" i="29"/>
  <c r="C72" i="27"/>
  <c r="B209" i="29" s="1"/>
  <c r="B159" i="29"/>
  <c r="C70" i="27"/>
  <c r="B207" i="29" s="1"/>
  <c r="B157" i="29"/>
  <c r="C80" i="27"/>
  <c r="B217" i="29" s="1"/>
  <c r="B167" i="29"/>
  <c r="C68" i="27"/>
  <c r="B205" i="29" s="1"/>
  <c r="B155" i="29"/>
  <c r="C81" i="27"/>
  <c r="B218" i="29" s="1"/>
  <c r="B168" i="29"/>
  <c r="C73" i="27"/>
  <c r="B210" i="29" s="1"/>
  <c r="B160" i="29"/>
  <c r="C74" i="27"/>
  <c r="B211" i="29" s="1"/>
  <c r="B161" i="29"/>
  <c r="C75" i="27"/>
  <c r="B212" i="29" s="1"/>
  <c r="B162" i="29"/>
  <c r="C59" i="27"/>
  <c r="B196" i="29" s="1"/>
  <c r="B169" i="29"/>
  <c r="C82" i="27"/>
  <c r="C53" i="27"/>
  <c r="B190" i="29" s="1"/>
  <c r="C48" i="27"/>
  <c r="B185" i="29" s="1"/>
  <c r="C46" i="27"/>
  <c r="B183" i="29" s="1"/>
  <c r="C44" i="27"/>
  <c r="B181" i="29" s="1"/>
  <c r="C58" i="27"/>
  <c r="B195" i="29" s="1"/>
  <c r="C50" i="27"/>
  <c r="B187" i="29" s="1"/>
  <c r="C45" i="27"/>
  <c r="B182" i="29" s="1"/>
  <c r="C66" i="25"/>
  <c r="B305" i="29" s="1"/>
  <c r="C67" i="25"/>
  <c r="B306" i="29" s="1"/>
  <c r="C68" i="25"/>
  <c r="B307" i="29" s="1"/>
  <c r="C69" i="25"/>
  <c r="B308" i="29" s="1"/>
  <c r="C70" i="25"/>
  <c r="B309" i="29" s="1"/>
  <c r="C71" i="25"/>
  <c r="B310" i="29" s="1"/>
  <c r="C72" i="25"/>
  <c r="B311" i="29" s="1"/>
  <c r="C73" i="25"/>
  <c r="B312" i="29" s="1"/>
  <c r="C74" i="25"/>
  <c r="B313" i="29" s="1"/>
  <c r="C75" i="25"/>
  <c r="B314" i="29" s="1"/>
  <c r="C76" i="25"/>
  <c r="B315" i="29" s="1"/>
  <c r="C77" i="25"/>
  <c r="B316" i="29" s="1"/>
  <c r="C78" i="25"/>
  <c r="B317" i="29" s="1"/>
  <c r="C79" i="25"/>
  <c r="B318" i="29" s="1"/>
  <c r="C80" i="25"/>
  <c r="B319" i="29" s="1"/>
  <c r="C65" i="25"/>
  <c r="B304" i="29" s="1"/>
  <c r="B66" i="25"/>
  <c r="A305" i="29" s="1"/>
  <c r="B67" i="25"/>
  <c r="A306" i="29" s="1"/>
  <c r="B69" i="25"/>
  <c r="B70" i="25"/>
  <c r="B71" i="25"/>
  <c r="B72" i="25"/>
  <c r="B73" i="25"/>
  <c r="B74" i="25"/>
  <c r="A313" i="29" s="1"/>
  <c r="B75" i="25"/>
  <c r="B76" i="25"/>
  <c r="A315" i="29" s="1"/>
  <c r="B77" i="25"/>
  <c r="B78" i="25"/>
  <c r="A317" i="29" s="1"/>
  <c r="B79" i="25"/>
  <c r="B80" i="25"/>
  <c r="A319" i="29" s="1"/>
  <c r="B65" i="25"/>
  <c r="A304" i="29" s="1"/>
  <c r="F316" i="29" l="1"/>
  <c r="A316" i="29"/>
  <c r="F312" i="29"/>
  <c r="A312" i="29"/>
  <c r="F308" i="29"/>
  <c r="A308" i="29"/>
  <c r="F311" i="29"/>
  <c r="A311" i="29"/>
  <c r="E70" i="25"/>
  <c r="D309" i="29" s="1"/>
  <c r="A309" i="29"/>
  <c r="F307" i="29"/>
  <c r="A307" i="29"/>
  <c r="F318" i="29"/>
  <c r="A318" i="29"/>
  <c r="F314" i="29"/>
  <c r="A314" i="29"/>
  <c r="F310" i="29"/>
  <c r="A310" i="29"/>
  <c r="F306" i="29"/>
  <c r="D307" i="29"/>
  <c r="E72" i="25"/>
  <c r="D311" i="29" s="1"/>
  <c r="F309" i="29"/>
  <c r="F305" i="29"/>
  <c r="H304" i="29"/>
  <c r="I304" i="29"/>
  <c r="J80" i="25"/>
  <c r="I319" i="29" s="1"/>
  <c r="I80" i="25"/>
  <c r="H319" i="29" s="1"/>
  <c r="J78" i="25"/>
  <c r="I317" i="29" s="1"/>
  <c r="I78" i="25"/>
  <c r="H317" i="29" s="1"/>
  <c r="J76" i="25"/>
  <c r="I315" i="29" s="1"/>
  <c r="I76" i="25"/>
  <c r="H315" i="29" s="1"/>
  <c r="J74" i="25"/>
  <c r="I313" i="29" s="1"/>
  <c r="I74" i="25"/>
  <c r="H313" i="29" s="1"/>
  <c r="J72" i="25"/>
  <c r="I311" i="29" s="1"/>
  <c r="I72" i="25"/>
  <c r="H311" i="29" s="1"/>
  <c r="J70" i="25"/>
  <c r="I309" i="29" s="1"/>
  <c r="I70" i="25"/>
  <c r="H309" i="29" s="1"/>
  <c r="I307" i="29"/>
  <c r="H307" i="29"/>
  <c r="I305" i="29"/>
  <c r="H305" i="29"/>
  <c r="D304" i="29"/>
  <c r="D306" i="29"/>
  <c r="E69" i="25"/>
  <c r="D308" i="29" s="1"/>
  <c r="E71" i="25"/>
  <c r="D310" i="29" s="1"/>
  <c r="E73" i="25"/>
  <c r="D312" i="29" s="1"/>
  <c r="E75" i="25"/>
  <c r="D314" i="29" s="1"/>
  <c r="E77" i="25"/>
  <c r="D316" i="29" s="1"/>
  <c r="E79" i="25"/>
  <c r="D318" i="29" s="1"/>
  <c r="E305" i="29"/>
  <c r="E307" i="29"/>
  <c r="F70" i="25"/>
  <c r="E309" i="29" s="1"/>
  <c r="F72" i="25"/>
  <c r="E311" i="29" s="1"/>
  <c r="F74" i="25"/>
  <c r="E313" i="29" s="1"/>
  <c r="F76" i="25"/>
  <c r="E315" i="29" s="1"/>
  <c r="F78" i="25"/>
  <c r="E317" i="29" s="1"/>
  <c r="F80" i="25"/>
  <c r="E319" i="29" s="1"/>
  <c r="F304" i="29"/>
  <c r="G305" i="29"/>
  <c r="G307" i="29"/>
  <c r="H70" i="25"/>
  <c r="G309" i="29" s="1"/>
  <c r="H72" i="25"/>
  <c r="G311" i="29" s="1"/>
  <c r="H74" i="25"/>
  <c r="G313" i="29" s="1"/>
  <c r="H76" i="25"/>
  <c r="G315" i="29" s="1"/>
  <c r="H78" i="25"/>
  <c r="G317" i="29" s="1"/>
  <c r="H80" i="25"/>
  <c r="G319" i="29" s="1"/>
  <c r="I79" i="25"/>
  <c r="H318" i="29" s="1"/>
  <c r="J79" i="25"/>
  <c r="I318" i="29" s="1"/>
  <c r="I77" i="25"/>
  <c r="H316" i="29" s="1"/>
  <c r="J77" i="25"/>
  <c r="I316" i="29" s="1"/>
  <c r="I75" i="25"/>
  <c r="H314" i="29" s="1"/>
  <c r="J75" i="25"/>
  <c r="I314" i="29" s="1"/>
  <c r="I73" i="25"/>
  <c r="H312" i="29" s="1"/>
  <c r="J73" i="25"/>
  <c r="I312" i="29" s="1"/>
  <c r="I71" i="25"/>
  <c r="H310" i="29" s="1"/>
  <c r="J71" i="25"/>
  <c r="I310" i="29" s="1"/>
  <c r="I69" i="25"/>
  <c r="H308" i="29" s="1"/>
  <c r="J69" i="25"/>
  <c r="I308" i="29" s="1"/>
  <c r="H306" i="29"/>
  <c r="I306" i="29"/>
  <c r="D305" i="29"/>
  <c r="E74" i="25"/>
  <c r="D313" i="29" s="1"/>
  <c r="E76" i="25"/>
  <c r="D315" i="29" s="1"/>
  <c r="E78" i="25"/>
  <c r="D317" i="29" s="1"/>
  <c r="E80" i="25"/>
  <c r="D319" i="29" s="1"/>
  <c r="E304" i="29"/>
  <c r="E306" i="29"/>
  <c r="F69" i="25"/>
  <c r="E308" i="29" s="1"/>
  <c r="F71" i="25"/>
  <c r="E310" i="29" s="1"/>
  <c r="F73" i="25"/>
  <c r="E312" i="29" s="1"/>
  <c r="F75" i="25"/>
  <c r="E314" i="29" s="1"/>
  <c r="F77" i="25"/>
  <c r="E316" i="29" s="1"/>
  <c r="F79" i="25"/>
  <c r="E318" i="29" s="1"/>
  <c r="F313" i="29"/>
  <c r="F315" i="29"/>
  <c r="F317" i="29"/>
  <c r="F319" i="29"/>
  <c r="G304" i="29"/>
  <c r="G306" i="29"/>
  <c r="H69" i="25"/>
  <c r="G308" i="29" s="1"/>
  <c r="H71" i="25"/>
  <c r="G310" i="29" s="1"/>
  <c r="H73" i="25"/>
  <c r="G312" i="29" s="1"/>
  <c r="H75" i="25"/>
  <c r="G314" i="29" s="1"/>
  <c r="H77" i="25"/>
  <c r="G316" i="29" s="1"/>
  <c r="H79" i="25"/>
  <c r="G318" i="29" s="1"/>
  <c r="B48" i="25"/>
  <c r="A287" i="29" s="1"/>
  <c r="B47" i="25"/>
  <c r="A286" i="29" s="1"/>
  <c r="B46" i="25"/>
  <c r="A285" i="29" s="1"/>
  <c r="B45" i="25"/>
  <c r="A284" i="29" s="1"/>
  <c r="B44" i="25"/>
  <c r="A283" i="29" s="1"/>
  <c r="B43" i="25"/>
  <c r="A282" i="29" s="1"/>
  <c r="B42" i="25"/>
  <c r="A281" i="29" s="1"/>
  <c r="B41" i="25"/>
  <c r="A280" i="29" s="1"/>
  <c r="B40" i="25"/>
  <c r="A279" i="29" s="1"/>
  <c r="B39" i="25"/>
  <c r="A278" i="29" s="1"/>
  <c r="B38" i="25"/>
  <c r="A277" i="29" s="1"/>
  <c r="B37" i="25"/>
  <c r="A276" i="29" s="1"/>
  <c r="B36" i="25"/>
  <c r="A275" i="29" s="1"/>
  <c r="B35" i="25"/>
  <c r="A274" i="29" s="1"/>
  <c r="B34" i="25"/>
  <c r="A273" i="29" s="1"/>
  <c r="B33" i="25"/>
  <c r="A272" i="29" s="1"/>
  <c r="G7" i="25"/>
  <c r="H73" i="29"/>
  <c r="H74" i="29"/>
  <c r="F246" i="29" l="1"/>
  <c r="B7" i="25"/>
  <c r="T87" i="29"/>
  <c r="S87" i="29"/>
  <c r="R87" i="29"/>
  <c r="Q87" i="29"/>
  <c r="P87" i="29"/>
  <c r="O87" i="29"/>
  <c r="N87" i="29"/>
  <c r="M87" i="29"/>
  <c r="L87" i="29"/>
  <c r="K87" i="29"/>
  <c r="J87" i="29"/>
  <c r="I87" i="29"/>
  <c r="H87" i="29"/>
  <c r="T86" i="29"/>
  <c r="S86" i="29"/>
  <c r="R86" i="29"/>
  <c r="Q86" i="29"/>
  <c r="P86" i="29"/>
  <c r="O86" i="29"/>
  <c r="N86" i="29"/>
  <c r="M86" i="29"/>
  <c r="L86" i="29"/>
  <c r="K86" i="29"/>
  <c r="J86" i="29"/>
  <c r="I86" i="29"/>
  <c r="H86" i="29"/>
  <c r="T85" i="29"/>
  <c r="S85" i="29"/>
  <c r="R85" i="29"/>
  <c r="Q85" i="29"/>
  <c r="P85" i="29"/>
  <c r="O85" i="29"/>
  <c r="N85" i="29"/>
  <c r="M85" i="29"/>
  <c r="L85" i="29"/>
  <c r="K85" i="29"/>
  <c r="J85" i="29"/>
  <c r="I85" i="29"/>
  <c r="H85" i="29"/>
  <c r="T84" i="29"/>
  <c r="S84" i="29"/>
  <c r="R84" i="29"/>
  <c r="Q84" i="29"/>
  <c r="P84" i="29"/>
  <c r="O84" i="29"/>
  <c r="N84" i="29"/>
  <c r="M84" i="29"/>
  <c r="L84" i="29"/>
  <c r="K84" i="29"/>
  <c r="J84" i="29"/>
  <c r="I84" i="29"/>
  <c r="H84" i="29"/>
  <c r="T83" i="29"/>
  <c r="S83" i="29"/>
  <c r="R83" i="29"/>
  <c r="Q83" i="29"/>
  <c r="P83" i="29"/>
  <c r="O83" i="29"/>
  <c r="N83" i="29"/>
  <c r="M83" i="29"/>
  <c r="L83" i="29"/>
  <c r="K83" i="29"/>
  <c r="J83" i="29"/>
  <c r="I83" i="29"/>
  <c r="H83" i="29"/>
  <c r="T82" i="29"/>
  <c r="S82" i="29"/>
  <c r="R82" i="29"/>
  <c r="Q82" i="29"/>
  <c r="P82" i="29"/>
  <c r="O82" i="29"/>
  <c r="N82" i="29"/>
  <c r="M82" i="29"/>
  <c r="L82" i="29"/>
  <c r="K82" i="29"/>
  <c r="J82" i="29"/>
  <c r="I82" i="29"/>
  <c r="H82" i="29"/>
  <c r="T81" i="29"/>
  <c r="S81" i="29"/>
  <c r="R81" i="29"/>
  <c r="Q81" i="29"/>
  <c r="P81" i="29"/>
  <c r="O81" i="29"/>
  <c r="N81" i="29"/>
  <c r="M81" i="29"/>
  <c r="L81" i="29"/>
  <c r="K81" i="29"/>
  <c r="J81" i="29"/>
  <c r="I81" i="29"/>
  <c r="H81" i="29"/>
  <c r="T80" i="29"/>
  <c r="S80" i="29"/>
  <c r="R80" i="29"/>
  <c r="Q80" i="29"/>
  <c r="P80" i="29"/>
  <c r="O80" i="29"/>
  <c r="N80" i="29"/>
  <c r="M80" i="29"/>
  <c r="L80" i="29"/>
  <c r="K80" i="29"/>
  <c r="J80" i="29"/>
  <c r="I80" i="29"/>
  <c r="H80" i="29"/>
  <c r="T79" i="29"/>
  <c r="S79" i="29"/>
  <c r="R79" i="29"/>
  <c r="Q79" i="29"/>
  <c r="P79" i="29"/>
  <c r="O79" i="29"/>
  <c r="N79" i="29"/>
  <c r="M79" i="29"/>
  <c r="L79" i="29"/>
  <c r="K79" i="29"/>
  <c r="J79" i="29"/>
  <c r="I79" i="29"/>
  <c r="H79" i="29"/>
  <c r="T78" i="29"/>
  <c r="S78" i="29"/>
  <c r="R78" i="29"/>
  <c r="Q78" i="29"/>
  <c r="P78" i="29"/>
  <c r="O78" i="29"/>
  <c r="N78" i="29"/>
  <c r="M78" i="29"/>
  <c r="L78" i="29"/>
  <c r="K78" i="29"/>
  <c r="J78" i="29"/>
  <c r="I78" i="29"/>
  <c r="H78" i="29"/>
  <c r="T77" i="29"/>
  <c r="S77" i="29"/>
  <c r="R77" i="29"/>
  <c r="Q77" i="29"/>
  <c r="P77" i="29"/>
  <c r="O77" i="29"/>
  <c r="N77" i="29"/>
  <c r="M77" i="29"/>
  <c r="L77" i="29"/>
  <c r="K77" i="29"/>
  <c r="J77" i="29"/>
  <c r="I77" i="29"/>
  <c r="H77" i="29"/>
  <c r="T76" i="29"/>
  <c r="S76" i="29"/>
  <c r="R76" i="29"/>
  <c r="Q76" i="29"/>
  <c r="P76" i="29"/>
  <c r="O76" i="29"/>
  <c r="N76" i="29"/>
  <c r="M76" i="29"/>
  <c r="L76" i="29"/>
  <c r="K76" i="29"/>
  <c r="J76" i="29"/>
  <c r="I76" i="29"/>
  <c r="H76" i="29"/>
  <c r="T75" i="29"/>
  <c r="S75" i="29"/>
  <c r="R75" i="29"/>
  <c r="Q75" i="29"/>
  <c r="P75" i="29"/>
  <c r="O75" i="29"/>
  <c r="N75" i="29"/>
  <c r="M75" i="29"/>
  <c r="L75" i="29"/>
  <c r="K75" i="29"/>
  <c r="J75" i="29"/>
  <c r="I75" i="29"/>
  <c r="H75" i="29"/>
  <c r="T74" i="29"/>
  <c r="S74" i="29"/>
  <c r="R74" i="29"/>
  <c r="Q74" i="29"/>
  <c r="P74" i="29"/>
  <c r="O74" i="29"/>
  <c r="N74" i="29"/>
  <c r="M74" i="29"/>
  <c r="L74" i="29"/>
  <c r="K74" i="29"/>
  <c r="J74" i="29"/>
  <c r="I74" i="29"/>
  <c r="T73" i="29"/>
  <c r="S73" i="29"/>
  <c r="R73" i="29"/>
  <c r="Q73" i="29"/>
  <c r="P73" i="29"/>
  <c r="O73" i="29"/>
  <c r="N73" i="29"/>
  <c r="M73" i="29"/>
  <c r="L73" i="29"/>
  <c r="K73" i="29"/>
  <c r="J73" i="29"/>
  <c r="I73" i="29"/>
  <c r="G87" i="29"/>
  <c r="F87" i="29"/>
  <c r="G86" i="29"/>
  <c r="F86" i="29"/>
  <c r="G85" i="29"/>
  <c r="F85" i="29"/>
  <c r="G84" i="29"/>
  <c r="F84" i="29"/>
  <c r="G83" i="29"/>
  <c r="F83" i="29"/>
  <c r="G82" i="29"/>
  <c r="F82" i="29"/>
  <c r="G81" i="29"/>
  <c r="F81" i="29"/>
  <c r="G80" i="29"/>
  <c r="F80" i="29"/>
  <c r="G79" i="29"/>
  <c r="F79" i="29"/>
  <c r="G78" i="29"/>
  <c r="F78" i="29"/>
  <c r="G77" i="29"/>
  <c r="F77" i="29"/>
  <c r="G76" i="29"/>
  <c r="F76" i="29"/>
  <c r="G75" i="29"/>
  <c r="G74" i="29"/>
  <c r="F74" i="29"/>
  <c r="G73" i="29"/>
  <c r="F73" i="29"/>
  <c r="F75" i="29"/>
  <c r="A246" i="29" l="1"/>
  <c r="B8" i="25"/>
  <c r="E8" i="25" s="1"/>
  <c r="A247" i="29" l="1"/>
  <c r="F8" i="25"/>
  <c r="D8" i="25"/>
  <c r="G8" i="25"/>
  <c r="B26" i="22"/>
  <c r="A465" i="29" s="1"/>
  <c r="B25" i="22"/>
  <c r="A464" i="29" s="1"/>
  <c r="B24" i="22"/>
  <c r="A463" i="29" s="1"/>
  <c r="B23" i="22"/>
  <c r="A462" i="29" s="1"/>
  <c r="B22" i="22"/>
  <c r="A461" i="29" s="1"/>
  <c r="B21" i="22"/>
  <c r="A460" i="29" s="1"/>
  <c r="B20" i="22"/>
  <c r="A459" i="29" s="1"/>
  <c r="B19" i="22"/>
  <c r="A458" i="29" s="1"/>
  <c r="B18" i="22"/>
  <c r="A457" i="29" s="1"/>
  <c r="B17" i="22"/>
  <c r="A456" i="29" s="1"/>
  <c r="B16" i="22"/>
  <c r="A455" i="29" s="1"/>
  <c r="B15" i="22"/>
  <c r="A454" i="29" s="1"/>
  <c r="B14" i="22"/>
  <c r="A453" i="29" s="1"/>
  <c r="B13" i="22"/>
  <c r="A452" i="29" s="1"/>
  <c r="B12" i="22"/>
  <c r="A451" i="29" s="1"/>
  <c r="B11" i="22"/>
  <c r="A450" i="29" s="1"/>
  <c r="B12" i="20"/>
  <c r="Q5" i="14"/>
  <c r="Q6" i="14"/>
  <c r="Q7" i="14"/>
  <c r="Q8" i="14"/>
  <c r="Q9" i="14"/>
  <c r="Q10" i="14"/>
  <c r="Q11" i="14"/>
  <c r="Q12" i="14"/>
  <c r="Q13" i="14"/>
  <c r="Q14" i="14"/>
  <c r="Q15" i="14"/>
  <c r="Q16" i="14"/>
  <c r="Q17" i="14"/>
  <c r="Q18" i="14"/>
  <c r="Q19" i="14"/>
  <c r="Q4" i="14"/>
  <c r="B27" i="20"/>
  <c r="B13" i="20"/>
  <c r="B14" i="20"/>
  <c r="B15" i="20"/>
  <c r="B16" i="20"/>
  <c r="B17" i="20"/>
  <c r="B18" i="20"/>
  <c r="B19" i="20"/>
  <c r="B20" i="20"/>
  <c r="B21" i="20"/>
  <c r="B22" i="20"/>
  <c r="B23" i="20"/>
  <c r="B24" i="20"/>
  <c r="B25" i="20"/>
  <c r="B26" i="20"/>
  <c r="B48" i="20" l="1"/>
  <c r="B384" i="29" s="1"/>
  <c r="B361" i="29"/>
  <c r="B49" i="20"/>
  <c r="B385" i="29" s="1"/>
  <c r="B362" i="29"/>
  <c r="B47" i="20"/>
  <c r="B383" i="29" s="1"/>
  <c r="B360" i="29"/>
  <c r="B46" i="20"/>
  <c r="B382" i="29" s="1"/>
  <c r="B359" i="29"/>
  <c r="B45" i="20"/>
  <c r="B381" i="29" s="1"/>
  <c r="B358" i="29"/>
  <c r="B44" i="20"/>
  <c r="B380" i="29" s="1"/>
  <c r="B357" i="29"/>
  <c r="B43" i="20"/>
  <c r="B379" i="29" s="1"/>
  <c r="B356" i="29"/>
  <c r="B42" i="20"/>
  <c r="B378" i="29" s="1"/>
  <c r="B355" i="29"/>
  <c r="B41" i="20"/>
  <c r="B377" i="29" s="1"/>
  <c r="B354" i="29"/>
  <c r="B40" i="20"/>
  <c r="B376" i="29" s="1"/>
  <c r="B353" i="29"/>
  <c r="B39" i="20"/>
  <c r="B375" i="29" s="1"/>
  <c r="B352" i="29"/>
  <c r="B38" i="20"/>
  <c r="B374" i="29" s="1"/>
  <c r="B351" i="29"/>
  <c r="B50" i="20"/>
  <c r="B386" i="29" s="1"/>
  <c r="B363" i="29"/>
  <c r="B37" i="20"/>
  <c r="B373" i="29" s="1"/>
  <c r="B350" i="29"/>
  <c r="B36" i="20"/>
  <c r="B372" i="29" s="1"/>
  <c r="B349" i="29"/>
  <c r="B35" i="20"/>
  <c r="B371" i="29" s="1"/>
  <c r="B348" i="29"/>
  <c r="C247" i="29"/>
  <c r="E247" i="29"/>
  <c r="B247" i="29"/>
  <c r="F247" i="29"/>
  <c r="D247" i="29"/>
  <c r="P18" i="14"/>
  <c r="P17" i="14"/>
  <c r="P16" i="14"/>
  <c r="P15" i="14"/>
  <c r="P14" i="14"/>
  <c r="P13" i="14"/>
  <c r="P12" i="14"/>
  <c r="P11" i="14"/>
  <c r="P10" i="14"/>
  <c r="P9" i="14"/>
  <c r="P8" i="14"/>
  <c r="P7" i="14"/>
  <c r="P6" i="14"/>
  <c r="P5" i="14"/>
  <c r="P4" i="14"/>
  <c r="D107" i="29" l="1"/>
  <c r="D40" i="15"/>
  <c r="F30" i="15"/>
  <c r="E97" i="29" s="1"/>
  <c r="F14" i="15"/>
  <c r="E81" i="29" s="1"/>
  <c r="B12" i="15"/>
  <c r="D113" i="29"/>
  <c r="D112" i="29"/>
  <c r="D111" i="29"/>
  <c r="D110" i="29"/>
  <c r="D109" i="29"/>
  <c r="D108" i="29"/>
  <c r="D106" i="29"/>
  <c r="D105" i="29"/>
  <c r="D104" i="29"/>
  <c r="D103" i="29"/>
  <c r="D102" i="29"/>
  <c r="D101" i="29"/>
  <c r="D46" i="15"/>
  <c r="D45" i="15"/>
  <c r="D44" i="15"/>
  <c r="D43" i="15"/>
  <c r="D42" i="15"/>
  <c r="D41" i="15"/>
  <c r="D39" i="15"/>
  <c r="D38" i="15"/>
  <c r="D37" i="15"/>
  <c r="D36" i="15"/>
  <c r="D35" i="15"/>
  <c r="D34" i="15"/>
  <c r="D33" i="15"/>
  <c r="D32" i="15"/>
  <c r="F29" i="15"/>
  <c r="E96" i="29" s="1"/>
  <c r="E29" i="15"/>
  <c r="D96" i="29" s="1"/>
  <c r="D29" i="15"/>
  <c r="C96" i="29" s="1"/>
  <c r="C29" i="15"/>
  <c r="B96" i="29" s="1"/>
  <c r="B29" i="15"/>
  <c r="A96" i="29" s="1"/>
  <c r="C106" i="29" l="1"/>
  <c r="R39" i="15"/>
  <c r="N39" i="15"/>
  <c r="J39" i="15"/>
  <c r="U39" i="15"/>
  <c r="Q39" i="15"/>
  <c r="M39" i="15"/>
  <c r="I39" i="15"/>
  <c r="T39" i="15"/>
  <c r="P39" i="15"/>
  <c r="L39" i="15"/>
  <c r="H39" i="15"/>
  <c r="S39" i="15"/>
  <c r="O39" i="15"/>
  <c r="K39" i="15"/>
  <c r="G39" i="15"/>
  <c r="C111" i="29"/>
  <c r="R44" i="15"/>
  <c r="N44" i="15"/>
  <c r="J44" i="15"/>
  <c r="U44" i="15"/>
  <c r="Q44" i="15"/>
  <c r="M44" i="15"/>
  <c r="I44" i="15"/>
  <c r="T44" i="15"/>
  <c r="P44" i="15"/>
  <c r="L44" i="15"/>
  <c r="H44" i="15"/>
  <c r="G44" i="15"/>
  <c r="O44" i="15"/>
  <c r="S44" i="15"/>
  <c r="K44" i="15"/>
  <c r="C103" i="29"/>
  <c r="S36" i="15"/>
  <c r="O36" i="15"/>
  <c r="K36" i="15"/>
  <c r="G36" i="15"/>
  <c r="R36" i="15"/>
  <c r="N36" i="15"/>
  <c r="J36" i="15"/>
  <c r="U36" i="15"/>
  <c r="Q36" i="15"/>
  <c r="M36" i="15"/>
  <c r="I36" i="15"/>
  <c r="P36" i="15"/>
  <c r="L36" i="15"/>
  <c r="H36" i="15"/>
  <c r="T36" i="15"/>
  <c r="C108" i="29"/>
  <c r="S41" i="15"/>
  <c r="O41" i="15"/>
  <c r="K41" i="15"/>
  <c r="G41" i="15"/>
  <c r="R41" i="15"/>
  <c r="N41" i="15"/>
  <c r="J41" i="15"/>
  <c r="U41" i="15"/>
  <c r="Q41" i="15"/>
  <c r="M41" i="15"/>
  <c r="I41" i="15"/>
  <c r="T41" i="15"/>
  <c r="H41" i="15"/>
  <c r="P41" i="15"/>
  <c r="L41" i="15"/>
  <c r="C112" i="29"/>
  <c r="S45" i="15"/>
  <c r="O45" i="15"/>
  <c r="K45" i="15"/>
  <c r="G45" i="15"/>
  <c r="R45" i="15"/>
  <c r="N45" i="15"/>
  <c r="J45" i="15"/>
  <c r="U45" i="15"/>
  <c r="Q45" i="15"/>
  <c r="M45" i="15"/>
  <c r="I45" i="15"/>
  <c r="H45" i="15"/>
  <c r="T45" i="15"/>
  <c r="P45" i="15"/>
  <c r="L45" i="15"/>
  <c r="C104" i="29"/>
  <c r="T37" i="15"/>
  <c r="P37" i="15"/>
  <c r="L37" i="15"/>
  <c r="H37" i="15"/>
  <c r="S37" i="15"/>
  <c r="O37" i="15"/>
  <c r="K37" i="15"/>
  <c r="G37" i="15"/>
  <c r="R37" i="15"/>
  <c r="N37" i="15"/>
  <c r="J37" i="15"/>
  <c r="Q37" i="15"/>
  <c r="M37" i="15"/>
  <c r="I37" i="15"/>
  <c r="U37" i="15"/>
  <c r="C109" i="29"/>
  <c r="T42" i="15"/>
  <c r="P42" i="15"/>
  <c r="L42" i="15"/>
  <c r="H42" i="15"/>
  <c r="S42" i="15"/>
  <c r="O42" i="15"/>
  <c r="K42" i="15"/>
  <c r="G42" i="15"/>
  <c r="R42" i="15"/>
  <c r="N42" i="15"/>
  <c r="J42" i="15"/>
  <c r="U42" i="15"/>
  <c r="M42" i="15"/>
  <c r="Q42" i="15"/>
  <c r="I42" i="15"/>
  <c r="C113" i="29"/>
  <c r="T46" i="15"/>
  <c r="P46" i="15"/>
  <c r="L46" i="15"/>
  <c r="H46" i="15"/>
  <c r="S46" i="15"/>
  <c r="O46" i="15"/>
  <c r="K46" i="15"/>
  <c r="G46" i="15"/>
  <c r="R46" i="15"/>
  <c r="N46" i="15"/>
  <c r="J46" i="15"/>
  <c r="I46" i="15"/>
  <c r="Q46" i="15"/>
  <c r="M46" i="15"/>
  <c r="U46" i="15"/>
  <c r="C105" i="29"/>
  <c r="U38" i="15"/>
  <c r="Q38" i="15"/>
  <c r="M38" i="15"/>
  <c r="I38" i="15"/>
  <c r="T38" i="15"/>
  <c r="P38" i="15"/>
  <c r="L38" i="15"/>
  <c r="H38" i="15"/>
  <c r="S38" i="15"/>
  <c r="O38" i="15"/>
  <c r="K38" i="15"/>
  <c r="G38" i="15"/>
  <c r="R38" i="15"/>
  <c r="N38" i="15"/>
  <c r="J38" i="15"/>
  <c r="C110" i="29"/>
  <c r="U43" i="15"/>
  <c r="Q43" i="15"/>
  <c r="M43" i="15"/>
  <c r="I43" i="15"/>
  <c r="T43" i="15"/>
  <c r="P43" i="15"/>
  <c r="L43" i="15"/>
  <c r="H43" i="15"/>
  <c r="S43" i="15"/>
  <c r="O43" i="15"/>
  <c r="K43" i="15"/>
  <c r="G43" i="15"/>
  <c r="R43" i="15"/>
  <c r="J43" i="15"/>
  <c r="N43" i="15"/>
  <c r="C102" i="29"/>
  <c r="R35" i="15"/>
  <c r="Q102" i="29" s="1"/>
  <c r="N35" i="15"/>
  <c r="J35" i="15"/>
  <c r="U35" i="15"/>
  <c r="Q35" i="15"/>
  <c r="P102" i="29" s="1"/>
  <c r="M35" i="15"/>
  <c r="I35" i="15"/>
  <c r="T35" i="15"/>
  <c r="P35" i="15"/>
  <c r="O102" i="29" s="1"/>
  <c r="L35" i="15"/>
  <c r="K102" i="29" s="1"/>
  <c r="H35" i="15"/>
  <c r="S35" i="15"/>
  <c r="O35" i="15"/>
  <c r="N102" i="29" s="1"/>
  <c r="K35" i="15"/>
  <c r="J102" i="29" s="1"/>
  <c r="G35" i="15"/>
  <c r="C107" i="29"/>
  <c r="T40" i="15"/>
  <c r="P40" i="15"/>
  <c r="O107" i="29" s="1"/>
  <c r="L40" i="15"/>
  <c r="K107" i="29" s="1"/>
  <c r="H40" i="15"/>
  <c r="G107" i="29" s="1"/>
  <c r="N40" i="15"/>
  <c r="U40" i="15"/>
  <c r="I40" i="15"/>
  <c r="H107" i="29" s="1"/>
  <c r="S40" i="15"/>
  <c r="O40" i="15"/>
  <c r="K40" i="15"/>
  <c r="J107" i="29" s="1"/>
  <c r="G40" i="15"/>
  <c r="F107" i="29" s="1"/>
  <c r="R40" i="15"/>
  <c r="Q107" i="29" s="1"/>
  <c r="J40" i="15"/>
  <c r="I107" i="29" s="1"/>
  <c r="Q40" i="15"/>
  <c r="P107" i="29" s="1"/>
  <c r="M40" i="15"/>
  <c r="L107" i="29" s="1"/>
  <c r="C101" i="29"/>
  <c r="R34" i="15"/>
  <c r="Q101" i="29" s="1"/>
  <c r="N34" i="15"/>
  <c r="J34" i="15"/>
  <c r="I101" i="29" s="1"/>
  <c r="U34" i="15"/>
  <c r="T101" i="29" s="1"/>
  <c r="Q34" i="15"/>
  <c r="P101" i="29" s="1"/>
  <c r="M34" i="15"/>
  <c r="I34" i="15"/>
  <c r="H101" i="29" s="1"/>
  <c r="T34" i="15"/>
  <c r="S101" i="29" s="1"/>
  <c r="P34" i="15"/>
  <c r="L34" i="15"/>
  <c r="K101" i="29" s="1"/>
  <c r="H34" i="15"/>
  <c r="G101" i="29" s="1"/>
  <c r="S34" i="15"/>
  <c r="R101" i="29" s="1"/>
  <c r="O34" i="15"/>
  <c r="K34" i="15"/>
  <c r="J101" i="29" s="1"/>
  <c r="G34" i="15"/>
  <c r="F101" i="29" s="1"/>
  <c r="C100" i="29"/>
  <c r="U33" i="15"/>
  <c r="T100" i="29" s="1"/>
  <c r="Q33" i="15"/>
  <c r="P100" i="29" s="1"/>
  <c r="M33" i="15"/>
  <c r="L100" i="29" s="1"/>
  <c r="I33" i="15"/>
  <c r="O33" i="15"/>
  <c r="N100" i="29" s="1"/>
  <c r="K33" i="15"/>
  <c r="N33" i="15"/>
  <c r="M100" i="29" s="1"/>
  <c r="J33" i="15"/>
  <c r="I100" i="29" s="1"/>
  <c r="T33" i="15"/>
  <c r="S100" i="29" s="1"/>
  <c r="P33" i="15"/>
  <c r="O100" i="29" s="1"/>
  <c r="L33" i="15"/>
  <c r="K100" i="29" s="1"/>
  <c r="H33" i="15"/>
  <c r="G100" i="29" s="1"/>
  <c r="S33" i="15"/>
  <c r="G33" i="15"/>
  <c r="F100" i="29" s="1"/>
  <c r="R33" i="15"/>
  <c r="C99" i="29"/>
  <c r="U32" i="15"/>
  <c r="T99" i="29" s="1"/>
  <c r="S32" i="15"/>
  <c r="R99" i="29" s="1"/>
  <c r="Q32" i="15"/>
  <c r="P99" i="29" s="1"/>
  <c r="O32" i="15"/>
  <c r="N99" i="29" s="1"/>
  <c r="M32" i="15"/>
  <c r="L99" i="29" s="1"/>
  <c r="K32" i="15"/>
  <c r="J99" i="29" s="1"/>
  <c r="I32" i="15"/>
  <c r="G32" i="15"/>
  <c r="F99" i="29" s="1"/>
  <c r="T32" i="15"/>
  <c r="S99" i="29" s="1"/>
  <c r="R32" i="15"/>
  <c r="Q99" i="29" s="1"/>
  <c r="P32" i="15"/>
  <c r="O99" i="29" s="1"/>
  <c r="N32" i="15"/>
  <c r="M99" i="29" s="1"/>
  <c r="L32" i="15"/>
  <c r="K99" i="29" s="1"/>
  <c r="J32" i="15"/>
  <c r="I99" i="29" s="1"/>
  <c r="H32" i="15"/>
  <c r="G99" i="29" s="1"/>
  <c r="B61" i="15"/>
  <c r="A128" i="29" s="1"/>
  <c r="A79" i="29"/>
  <c r="Q100" i="29"/>
  <c r="R100" i="29"/>
  <c r="J100" i="29"/>
  <c r="H100" i="29"/>
  <c r="F35" i="15"/>
  <c r="E102" i="29" s="1"/>
  <c r="S102" i="29"/>
  <c r="M102" i="29"/>
  <c r="I102" i="29"/>
  <c r="G102" i="29"/>
  <c r="T102" i="29"/>
  <c r="R102" i="29"/>
  <c r="L102" i="29"/>
  <c r="H102" i="29"/>
  <c r="F102" i="29"/>
  <c r="F37" i="15"/>
  <c r="E104" i="29" s="1"/>
  <c r="T104" i="29"/>
  <c r="R104" i="29"/>
  <c r="P104" i="29"/>
  <c r="N104" i="29"/>
  <c r="L104" i="29"/>
  <c r="J104" i="29"/>
  <c r="H104" i="29"/>
  <c r="F104" i="29"/>
  <c r="Q104" i="29"/>
  <c r="M104" i="29"/>
  <c r="I104" i="29"/>
  <c r="S104" i="29"/>
  <c r="O104" i="29"/>
  <c r="K104" i="29"/>
  <c r="G104" i="29"/>
  <c r="F39" i="15"/>
  <c r="E106" i="29" s="1"/>
  <c r="T106" i="29"/>
  <c r="R106" i="29"/>
  <c r="P106" i="29"/>
  <c r="N106" i="29"/>
  <c r="L106" i="29"/>
  <c r="J106" i="29"/>
  <c r="H106" i="29"/>
  <c r="F106" i="29"/>
  <c r="S106" i="29"/>
  <c r="O106" i="29"/>
  <c r="K106" i="29"/>
  <c r="G106" i="29"/>
  <c r="Q106" i="29"/>
  <c r="M106" i="29"/>
  <c r="I106" i="29"/>
  <c r="F42" i="15"/>
  <c r="E109" i="29" s="1"/>
  <c r="T109" i="29"/>
  <c r="R109" i="29"/>
  <c r="P109" i="29"/>
  <c r="N109" i="29"/>
  <c r="L109" i="29"/>
  <c r="J109" i="29"/>
  <c r="H109" i="29"/>
  <c r="F109" i="29"/>
  <c r="S109" i="29"/>
  <c r="Q109" i="29"/>
  <c r="O109" i="29"/>
  <c r="M109" i="29"/>
  <c r="K109" i="29"/>
  <c r="I109" i="29"/>
  <c r="G109" i="29"/>
  <c r="F44" i="15"/>
  <c r="E111" i="29" s="1"/>
  <c r="T111" i="29"/>
  <c r="R111" i="29"/>
  <c r="P111" i="29"/>
  <c r="N111" i="29"/>
  <c r="L111" i="29"/>
  <c r="J111" i="29"/>
  <c r="H111" i="29"/>
  <c r="F111" i="29"/>
  <c r="S111" i="29"/>
  <c r="Q111" i="29"/>
  <c r="O111" i="29"/>
  <c r="M111" i="29"/>
  <c r="K111" i="29"/>
  <c r="I111" i="29"/>
  <c r="G111" i="29"/>
  <c r="F46" i="15"/>
  <c r="E113" i="29" s="1"/>
  <c r="T113" i="29"/>
  <c r="R113" i="29"/>
  <c r="P113" i="29"/>
  <c r="N113" i="29"/>
  <c r="L113" i="29"/>
  <c r="J113" i="29"/>
  <c r="H113" i="29"/>
  <c r="F113" i="29"/>
  <c r="S113" i="29"/>
  <c r="Q113" i="29"/>
  <c r="O113" i="29"/>
  <c r="M113" i="29"/>
  <c r="K113" i="29"/>
  <c r="I113" i="29"/>
  <c r="G113" i="29"/>
  <c r="F40" i="15"/>
  <c r="E107" i="29" s="1"/>
  <c r="T107" i="29"/>
  <c r="R107" i="29"/>
  <c r="N107" i="29"/>
  <c r="S107" i="29"/>
  <c r="M107" i="29"/>
  <c r="E99" i="29"/>
  <c r="H99" i="29"/>
  <c r="E101" i="29"/>
  <c r="N101" i="29"/>
  <c r="L101" i="29"/>
  <c r="O101" i="29"/>
  <c r="M101" i="29"/>
  <c r="F36" i="15"/>
  <c r="E103" i="29" s="1"/>
  <c r="S103" i="29"/>
  <c r="Q103" i="29"/>
  <c r="T103" i="29"/>
  <c r="P103" i="29"/>
  <c r="N103" i="29"/>
  <c r="L103" i="29"/>
  <c r="J103" i="29"/>
  <c r="H103" i="29"/>
  <c r="F103" i="29"/>
  <c r="R103" i="29"/>
  <c r="O103" i="29"/>
  <c r="M103" i="29"/>
  <c r="K103" i="29"/>
  <c r="I103" i="29"/>
  <c r="G103" i="29"/>
  <c r="F38" i="15"/>
  <c r="E105" i="29" s="1"/>
  <c r="S105" i="29"/>
  <c r="Q105" i="29"/>
  <c r="O105" i="29"/>
  <c r="M105" i="29"/>
  <c r="K105" i="29"/>
  <c r="I105" i="29"/>
  <c r="G105" i="29"/>
  <c r="R105" i="29"/>
  <c r="N105" i="29"/>
  <c r="J105" i="29"/>
  <c r="F105" i="29"/>
  <c r="T105" i="29"/>
  <c r="P105" i="29"/>
  <c r="L105" i="29"/>
  <c r="H105" i="29"/>
  <c r="F41" i="15"/>
  <c r="E108" i="29" s="1"/>
  <c r="S108" i="29"/>
  <c r="Q108" i="29"/>
  <c r="O108" i="29"/>
  <c r="M108" i="29"/>
  <c r="K108" i="29"/>
  <c r="I108" i="29"/>
  <c r="G108" i="29"/>
  <c r="T108" i="29"/>
  <c r="R108" i="29"/>
  <c r="P108" i="29"/>
  <c r="N108" i="29"/>
  <c r="L108" i="29"/>
  <c r="J108" i="29"/>
  <c r="H108" i="29"/>
  <c r="F108" i="29"/>
  <c r="F43" i="15"/>
  <c r="E110" i="29" s="1"/>
  <c r="S110" i="29"/>
  <c r="Q110" i="29"/>
  <c r="O110" i="29"/>
  <c r="M110" i="29"/>
  <c r="K110" i="29"/>
  <c r="I110" i="29"/>
  <c r="G110" i="29"/>
  <c r="T110" i="29"/>
  <c r="R110" i="29"/>
  <c r="P110" i="29"/>
  <c r="N110" i="29"/>
  <c r="L110" i="29"/>
  <c r="J110" i="29"/>
  <c r="H110" i="29"/>
  <c r="F110" i="29"/>
  <c r="F45" i="15"/>
  <c r="E112" i="29" s="1"/>
  <c r="S112" i="29"/>
  <c r="Q112" i="29"/>
  <c r="O112" i="29"/>
  <c r="M112" i="29"/>
  <c r="K112" i="29"/>
  <c r="I112" i="29"/>
  <c r="G112" i="29"/>
  <c r="T112" i="29"/>
  <c r="R112" i="29"/>
  <c r="P112" i="29"/>
  <c r="N112" i="29"/>
  <c r="L112" i="29"/>
  <c r="J112" i="29"/>
  <c r="H112" i="29"/>
  <c r="F112" i="29"/>
  <c r="B38" i="15"/>
  <c r="A105" i="29" s="1"/>
  <c r="C12" i="15"/>
  <c r="E100" i="29"/>
  <c r="E73" i="29"/>
  <c r="E74" i="29"/>
  <c r="E75" i="29"/>
  <c r="F9" i="15"/>
  <c r="E76" i="29" s="1"/>
  <c r="F10" i="15"/>
  <c r="E77" i="29" s="1"/>
  <c r="F11" i="15"/>
  <c r="E78" i="29" s="1"/>
  <c r="F12" i="15"/>
  <c r="E79" i="29" s="1"/>
  <c r="F13" i="15"/>
  <c r="E80" i="29" s="1"/>
  <c r="F15" i="15"/>
  <c r="E82" i="29" s="1"/>
  <c r="F16" i="15"/>
  <c r="E83" i="29" s="1"/>
  <c r="F17" i="15"/>
  <c r="E84" i="29" s="1"/>
  <c r="F18" i="15"/>
  <c r="E85" i="29" s="1"/>
  <c r="F19" i="15"/>
  <c r="E86" i="29" s="1"/>
  <c r="F20" i="15"/>
  <c r="E87" i="29" s="1"/>
  <c r="B19" i="15"/>
  <c r="B20" i="15"/>
  <c r="B5" i="15"/>
  <c r="B6" i="15"/>
  <c r="C6" i="15" s="1"/>
  <c r="B7" i="15"/>
  <c r="B8" i="15"/>
  <c r="B9" i="15"/>
  <c r="B10" i="15"/>
  <c r="B11" i="15"/>
  <c r="B13" i="15"/>
  <c r="B14" i="15"/>
  <c r="B15" i="15"/>
  <c r="B16" i="15"/>
  <c r="B17" i="15"/>
  <c r="B18" i="15"/>
  <c r="C24" i="12"/>
  <c r="B64" i="15" l="1"/>
  <c r="A131" i="29" s="1"/>
  <c r="A82" i="29"/>
  <c r="B62" i="15"/>
  <c r="A129" i="29" s="1"/>
  <c r="A80" i="29"/>
  <c r="B57" i="15"/>
  <c r="A124" i="29" s="1"/>
  <c r="A75" i="29"/>
  <c r="B55" i="15"/>
  <c r="A122" i="29" s="1"/>
  <c r="A73" i="29"/>
  <c r="C61" i="15"/>
  <c r="B128" i="29" s="1"/>
  <c r="B79" i="29"/>
  <c r="B67" i="15"/>
  <c r="A134" i="29" s="1"/>
  <c r="A85" i="29"/>
  <c r="B65" i="15"/>
  <c r="A132" i="29" s="1"/>
  <c r="A83" i="29"/>
  <c r="B63" i="15"/>
  <c r="A130" i="29" s="1"/>
  <c r="A81" i="29"/>
  <c r="B60" i="15"/>
  <c r="A127" i="29" s="1"/>
  <c r="A78" i="29"/>
  <c r="B58" i="15"/>
  <c r="A125" i="29" s="1"/>
  <c r="A76" i="29"/>
  <c r="B56" i="15"/>
  <c r="A123" i="29" s="1"/>
  <c r="A74" i="29"/>
  <c r="B54" i="15"/>
  <c r="A121" i="29" s="1"/>
  <c r="A72" i="29"/>
  <c r="B66" i="15"/>
  <c r="A133" i="29" s="1"/>
  <c r="A84" i="29"/>
  <c r="B59" i="15"/>
  <c r="A126" i="29" s="1"/>
  <c r="A77" i="29"/>
  <c r="B68" i="15"/>
  <c r="A135" i="29" s="1"/>
  <c r="A86" i="29"/>
  <c r="B69" i="15"/>
  <c r="A136" i="29" s="1"/>
  <c r="A87" i="29"/>
  <c r="C38" i="15"/>
  <c r="B105" i="29" s="1"/>
  <c r="C17" i="15"/>
  <c r="B43" i="15"/>
  <c r="A110" i="29" s="1"/>
  <c r="C15" i="15"/>
  <c r="B41" i="15"/>
  <c r="A108" i="29" s="1"/>
  <c r="C11" i="15"/>
  <c r="B37" i="15"/>
  <c r="A104" i="29" s="1"/>
  <c r="C9" i="15"/>
  <c r="B35" i="15"/>
  <c r="A102" i="29" s="1"/>
  <c r="C7" i="15"/>
  <c r="B33" i="15"/>
  <c r="A100" i="29" s="1"/>
  <c r="C20" i="15"/>
  <c r="B46" i="15"/>
  <c r="A113" i="29" s="1"/>
  <c r="C18" i="15"/>
  <c r="B44" i="15"/>
  <c r="A111" i="29" s="1"/>
  <c r="C16" i="15"/>
  <c r="B42" i="15"/>
  <c r="A109" i="29" s="1"/>
  <c r="B40" i="15"/>
  <c r="A107" i="29" s="1"/>
  <c r="C14" i="15"/>
  <c r="C10" i="15"/>
  <c r="B36" i="15"/>
  <c r="A103" i="29" s="1"/>
  <c r="C8" i="15"/>
  <c r="B34" i="15"/>
  <c r="A101" i="29" s="1"/>
  <c r="B32" i="15"/>
  <c r="A99" i="29" s="1"/>
  <c r="C19" i="15"/>
  <c r="B45" i="15"/>
  <c r="A112" i="29" s="1"/>
  <c r="C13" i="15"/>
  <c r="B39" i="15"/>
  <c r="A106" i="29" s="1"/>
  <c r="C5" i="15"/>
  <c r="B31" i="15"/>
  <c r="A98" i="29" s="1"/>
  <c r="C54" i="15" l="1"/>
  <c r="B121" i="29" s="1"/>
  <c r="B72" i="29"/>
  <c r="C62" i="15"/>
  <c r="B129" i="29" s="1"/>
  <c r="B80" i="29"/>
  <c r="C68" i="15"/>
  <c r="B135" i="29" s="1"/>
  <c r="B86" i="29"/>
  <c r="C55" i="15"/>
  <c r="B122" i="29" s="1"/>
  <c r="B73" i="29"/>
  <c r="C57" i="15"/>
  <c r="B124" i="29" s="1"/>
  <c r="B75" i="29"/>
  <c r="C59" i="15"/>
  <c r="B126" i="29" s="1"/>
  <c r="B77" i="29"/>
  <c r="C65" i="15"/>
  <c r="B132" i="29" s="1"/>
  <c r="B83" i="29"/>
  <c r="C67" i="15"/>
  <c r="B134" i="29" s="1"/>
  <c r="B85" i="29"/>
  <c r="C56" i="15"/>
  <c r="B123" i="29" s="1"/>
  <c r="B74" i="29"/>
  <c r="C58" i="15"/>
  <c r="B125" i="29" s="1"/>
  <c r="B76" i="29"/>
  <c r="C60" i="15"/>
  <c r="B127" i="29" s="1"/>
  <c r="B78" i="29"/>
  <c r="C64" i="15"/>
  <c r="B131" i="29" s="1"/>
  <c r="B82" i="29"/>
  <c r="C66" i="15"/>
  <c r="B133" i="29" s="1"/>
  <c r="B84" i="29"/>
  <c r="C63" i="15"/>
  <c r="B130" i="29" s="1"/>
  <c r="B81" i="29"/>
  <c r="C69" i="15"/>
  <c r="B136" i="29" s="1"/>
  <c r="B87" i="29"/>
  <c r="C31" i="15"/>
  <c r="B98" i="29" s="1"/>
  <c r="C45" i="15"/>
  <c r="B112" i="29" s="1"/>
  <c r="C32" i="15"/>
  <c r="B99" i="29" s="1"/>
  <c r="C34" i="15"/>
  <c r="B101" i="29" s="1"/>
  <c r="C36" i="15"/>
  <c r="B103" i="29" s="1"/>
  <c r="C42" i="15"/>
  <c r="B109" i="29" s="1"/>
  <c r="C46" i="15"/>
  <c r="B113" i="29" s="1"/>
  <c r="C33" i="15"/>
  <c r="B100" i="29" s="1"/>
  <c r="C35" i="15"/>
  <c r="B102" i="29" s="1"/>
  <c r="C37" i="15"/>
  <c r="B104" i="29" s="1"/>
  <c r="C41" i="15"/>
  <c r="B108" i="29" s="1"/>
  <c r="C43" i="15"/>
  <c r="B110" i="29" s="1"/>
  <c r="C40" i="15"/>
  <c r="B107" i="29" s="1"/>
  <c r="C39" i="15"/>
  <c r="B106" i="29" s="1"/>
  <c r="C44" i="15"/>
  <c r="B111" i="29" s="1"/>
</calcChain>
</file>

<file path=xl/comments1.xml><?xml version="1.0" encoding="utf-8"?>
<comments xmlns="http://schemas.openxmlformats.org/spreadsheetml/2006/main">
  <authors>
    <author>Griffin, Jessica</author>
  </authors>
  <commentList>
    <comment ref="B7" authorId="0" shapeId="0">
      <text>
        <r>
          <rPr>
            <b/>
            <sz val="9"/>
            <color indexed="81"/>
            <rFont val="Tahoma"/>
            <family val="2"/>
          </rPr>
          <t>Griffin, Jessica:</t>
        </r>
        <r>
          <rPr>
            <sz val="9"/>
            <color indexed="81"/>
            <rFont val="Tahoma"/>
            <family val="2"/>
          </rPr>
          <t xml:space="preserve">
Make sure that the first room pool is the primary, standard pool. (this may not necessarily be the first one listed in the VID)</t>
        </r>
      </text>
    </comment>
  </commentList>
</comments>
</file>

<file path=xl/comments2.xml><?xml version="1.0" encoding="utf-8"?>
<comments xmlns="http://schemas.openxmlformats.org/spreadsheetml/2006/main">
  <authors>
    <author>Griffin, Jessica</author>
  </authors>
  <commentList>
    <comment ref="D3" authorId="0" shapeId="0">
      <text>
        <r>
          <rPr>
            <b/>
            <sz val="9"/>
            <color indexed="81"/>
            <rFont val="Tahoma"/>
            <family val="2"/>
          </rPr>
          <t>Griffin, Jessica:</t>
        </r>
        <r>
          <rPr>
            <sz val="9"/>
            <color indexed="81"/>
            <rFont val="Tahoma"/>
            <family val="2"/>
          </rPr>
          <t xml:space="preserve">
This is the amount above the standard room pool rate</t>
        </r>
      </text>
    </comment>
  </commentList>
</comments>
</file>

<file path=xl/comments3.xml><?xml version="1.0" encoding="utf-8"?>
<comments xmlns="http://schemas.openxmlformats.org/spreadsheetml/2006/main">
  <authors>
    <author>Griffin, Jessica</author>
  </authors>
  <commentList>
    <comment ref="B6" authorId="0" shapeId="0">
      <text>
        <r>
          <rPr>
            <b/>
            <sz val="9"/>
            <color indexed="81"/>
            <rFont val="Tahoma"/>
            <family val="2"/>
          </rPr>
          <t>Griffin, Jessica:</t>
        </r>
        <r>
          <rPr>
            <sz val="9"/>
            <color indexed="81"/>
            <rFont val="Tahoma"/>
            <family val="2"/>
          </rPr>
          <t xml:space="preserve">
The name should be exactly as you would like the guest to see it.</t>
        </r>
      </text>
    </comment>
    <comment ref="B7" authorId="0" shapeId="0">
      <text>
        <r>
          <rPr>
            <sz val="9"/>
            <color indexed="81"/>
            <rFont val="Tahoma"/>
            <family val="2"/>
          </rPr>
          <t>(weekday, weekend or 7 day, does the rate need to be booked in advance, are minimum number of nights required etc…)</t>
        </r>
      </text>
    </comment>
    <comment ref="D10" authorId="0" shapeId="0">
      <text>
        <r>
          <rPr>
            <b/>
            <sz val="9"/>
            <color indexed="81"/>
            <rFont val="Tahoma"/>
            <family val="2"/>
          </rPr>
          <t>Griffin, Jessica:</t>
        </r>
        <r>
          <rPr>
            <sz val="9"/>
            <color indexed="81"/>
            <rFont val="Tahoma"/>
            <family val="2"/>
          </rPr>
          <t xml:space="preserve">
This is the amount that the guest will pay for the package per night.</t>
        </r>
      </text>
    </comment>
    <comment ref="F10" authorId="0" shapeId="0">
      <text>
        <r>
          <rPr>
            <sz val="9"/>
            <color indexed="81"/>
            <rFont val="Tahoma"/>
            <family val="2"/>
          </rPr>
          <t xml:space="preserve">This is the amount of the rate that goes towards the room. It should always be less than the Single rate.
 </t>
        </r>
      </text>
    </comment>
  </commentList>
</comments>
</file>

<file path=xl/sharedStrings.xml><?xml version="1.0" encoding="utf-8"?>
<sst xmlns="http://schemas.openxmlformats.org/spreadsheetml/2006/main" count="1820" uniqueCount="665">
  <si>
    <t>Stay for Breakfast</t>
  </si>
  <si>
    <t>Quick Group</t>
  </si>
  <si>
    <t>Priceline Opaque</t>
  </si>
  <si>
    <t>VID Loading</t>
  </si>
  <si>
    <t>Room Pool Code</t>
  </si>
  <si>
    <t>Room Count</t>
  </si>
  <si>
    <t>Maximum Capacity</t>
  </si>
  <si>
    <t>Room Pool name</t>
  </si>
  <si>
    <t>Room pool description</t>
  </si>
  <si>
    <t>Total</t>
  </si>
  <si>
    <t>Total rooms:</t>
  </si>
  <si>
    <t>All data need to match Phase 1 packet</t>
  </si>
  <si>
    <t>Room pool code:</t>
  </si>
  <si>
    <t>Phase 2 packet completion instructions</t>
  </si>
  <si>
    <t>Room count</t>
  </si>
  <si>
    <t>enter the number of rooms in each single room pool</t>
  </si>
  <si>
    <t>Total rooms</t>
  </si>
  <si>
    <t>enter the total number of rooms in the hotel - contact MSAM if changes need to be made vs. Phase 1</t>
  </si>
  <si>
    <t>Maximum capacity</t>
  </si>
  <si>
    <t>Indicate the maximum number of people allowed in the corresponding rooms of the given room pool</t>
  </si>
  <si>
    <t>Do not repeat the default room pool name or the room pool view.
Use this only for very specific room pools; discuss choice with MSAM
Do not enter subjective adjectives, such as "Premium", "Luxury", "Deluxe", "Superior", etc. Research shows that subjective terms do not enable guests to differentiate between room types.
Use this for very specific names only, discuss choice with MSAM</t>
  </si>
  <si>
    <t>Room Pool description</t>
  </si>
  <si>
    <t>I</t>
  </si>
  <si>
    <t>I.1</t>
  </si>
  <si>
    <t>I.2</t>
  </si>
  <si>
    <t>I.3</t>
  </si>
  <si>
    <t>I.4</t>
  </si>
  <si>
    <t>I.5</t>
  </si>
  <si>
    <t>I.6</t>
  </si>
  <si>
    <t>A</t>
  </si>
  <si>
    <t>B</t>
  </si>
  <si>
    <t>C</t>
  </si>
  <si>
    <t>D</t>
  </si>
  <si>
    <t>E</t>
  </si>
  <si>
    <t>F</t>
  </si>
  <si>
    <t>G</t>
  </si>
  <si>
    <t>I.7</t>
  </si>
  <si>
    <t>Standard/ConciergePremium</t>
  </si>
  <si>
    <t>Define if the room pool is standard, concierge (Full Service, AK hotels only), or premium</t>
  </si>
  <si>
    <t>Standard/Concierge/Premium</t>
  </si>
  <si>
    <t>Standard</t>
  </si>
  <si>
    <t>Premium</t>
  </si>
  <si>
    <t>Room classification</t>
  </si>
  <si>
    <t>REGA</t>
  </si>
  <si>
    <t>REGB</t>
  </si>
  <si>
    <t>REGC</t>
  </si>
  <si>
    <t>REGD</t>
  </si>
  <si>
    <t>REGE</t>
  </si>
  <si>
    <t>REGF</t>
  </si>
  <si>
    <t>REGG</t>
  </si>
  <si>
    <t>REGH</t>
  </si>
  <si>
    <t>REGI</t>
  </si>
  <si>
    <t>REGJ</t>
  </si>
  <si>
    <t>REGK</t>
  </si>
  <si>
    <t>REGL</t>
  </si>
  <si>
    <t>REGM</t>
  </si>
  <si>
    <t>REGN</t>
  </si>
  <si>
    <t>REGO</t>
  </si>
  <si>
    <t>REGP</t>
  </si>
  <si>
    <t>REGQ</t>
  </si>
  <si>
    <t>REGR</t>
  </si>
  <si>
    <t>REGS</t>
  </si>
  <si>
    <t>REGT</t>
  </si>
  <si>
    <t>REGU</t>
  </si>
  <si>
    <t>REGV</t>
  </si>
  <si>
    <t>REGW</t>
  </si>
  <si>
    <t>REGX</t>
  </si>
  <si>
    <t>REGY</t>
  </si>
  <si>
    <t>REGZ</t>
  </si>
  <si>
    <t>Enter Season Dates Here</t>
  </si>
  <si>
    <t>Standard Supplement</t>
  </si>
  <si>
    <t>Room Pool</t>
  </si>
  <si>
    <t>Room Pool Classification</t>
  </si>
  <si>
    <t>Default Rates</t>
  </si>
  <si>
    <t xml:space="preserve">Retail Rate </t>
  </si>
  <si>
    <t>Specific</t>
  </si>
  <si>
    <t>Weekend Strategy</t>
  </si>
  <si>
    <t>WKND</t>
  </si>
  <si>
    <t>WKNE</t>
  </si>
  <si>
    <t>WKNF</t>
  </si>
  <si>
    <t>WKNG</t>
  </si>
  <si>
    <t>WKNH</t>
  </si>
  <si>
    <t>WKNI</t>
  </si>
  <si>
    <t>WKNJ</t>
  </si>
  <si>
    <t>WKNK</t>
  </si>
  <si>
    <t>WKNL</t>
  </si>
  <si>
    <t>WKNM</t>
  </si>
  <si>
    <t>WKNN</t>
  </si>
  <si>
    <t>WKNO</t>
  </si>
  <si>
    <t>WKNP</t>
  </si>
  <si>
    <t>WKNQ</t>
  </si>
  <si>
    <t>WKNR</t>
  </si>
  <si>
    <t>WKNS</t>
  </si>
  <si>
    <t>WKNT</t>
  </si>
  <si>
    <t>WKNU</t>
  </si>
  <si>
    <t>WKNV</t>
  </si>
  <si>
    <t>WKNW</t>
  </si>
  <si>
    <t>WKNX</t>
  </si>
  <si>
    <t>WKNY</t>
  </si>
  <si>
    <t>WKNZ</t>
  </si>
  <si>
    <t>WWKG</t>
  </si>
  <si>
    <t>WWKH</t>
  </si>
  <si>
    <t>Do not complete table below if having 7 day pricing</t>
  </si>
  <si>
    <t>Rate</t>
  </si>
  <si>
    <t>BKFP</t>
  </si>
  <si>
    <t>BKFQ</t>
  </si>
  <si>
    <t>BKSH</t>
  </si>
  <si>
    <t>BKSI</t>
  </si>
  <si>
    <t>BKSJ</t>
  </si>
  <si>
    <t>BKTL</t>
  </si>
  <si>
    <t>BKXF</t>
  </si>
  <si>
    <t>BKXN</t>
  </si>
  <si>
    <t>BKXO</t>
  </si>
  <si>
    <t>BKXP</t>
  </si>
  <si>
    <t>BCVY</t>
  </si>
  <si>
    <t>BDAZ</t>
  </si>
  <si>
    <t>YBKC</t>
  </si>
  <si>
    <t>YBKD</t>
  </si>
  <si>
    <t>YBKE</t>
  </si>
  <si>
    <t>YBKF</t>
  </si>
  <si>
    <t>YBKG</t>
  </si>
  <si>
    <t>YBKH</t>
  </si>
  <si>
    <t>YBKI</t>
  </si>
  <si>
    <t>YBKJ</t>
  </si>
  <si>
    <t>YBKK</t>
  </si>
  <si>
    <t>YBKL</t>
  </si>
  <si>
    <t>YBKM</t>
  </si>
  <si>
    <t>YBKN</t>
  </si>
  <si>
    <t>YBKO</t>
  </si>
  <si>
    <t>YBKP</t>
  </si>
  <si>
    <t>YBKQ</t>
  </si>
  <si>
    <t>YBKR</t>
  </si>
  <si>
    <t>YBKS</t>
  </si>
  <si>
    <t>YBKT</t>
  </si>
  <si>
    <t>YBKU</t>
  </si>
  <si>
    <t>YBKV</t>
  </si>
  <si>
    <t>YBKW</t>
  </si>
  <si>
    <t>YBKX</t>
  </si>
  <si>
    <t>YBKY</t>
  </si>
  <si>
    <t>YBKZ</t>
  </si>
  <si>
    <t>APND</t>
  </si>
  <si>
    <t>APNL</t>
  </si>
  <si>
    <t>APNM</t>
  </si>
  <si>
    <t>APNN</t>
  </si>
  <si>
    <t>APNO</t>
  </si>
  <si>
    <t>BUYM</t>
  </si>
  <si>
    <t>BUYN</t>
  </si>
  <si>
    <t>BUYO</t>
  </si>
  <si>
    <t>BUYP</t>
  </si>
  <si>
    <t>QPNA</t>
  </si>
  <si>
    <t>QPNB</t>
  </si>
  <si>
    <t>XAPA</t>
  </si>
  <si>
    <t>XAPB</t>
  </si>
  <si>
    <t>XAPC</t>
  </si>
  <si>
    <t>XAPD</t>
  </si>
  <si>
    <t>GOVB</t>
  </si>
  <si>
    <t>GOVC</t>
  </si>
  <si>
    <t>GOVD</t>
  </si>
  <si>
    <t>GOVE</t>
  </si>
  <si>
    <t>GOVF</t>
  </si>
  <si>
    <t>GOVG</t>
  </si>
  <si>
    <t>GOVH</t>
  </si>
  <si>
    <t>GOVI</t>
  </si>
  <si>
    <t>GOVJ</t>
  </si>
  <si>
    <t>GOVK</t>
  </si>
  <si>
    <t>GOVL</t>
  </si>
  <si>
    <t>GOVW</t>
  </si>
  <si>
    <t>GOVX</t>
  </si>
  <si>
    <t>GOVY</t>
  </si>
  <si>
    <t>GOVZ</t>
  </si>
  <si>
    <t>GVVK</t>
  </si>
  <si>
    <t>LTSA</t>
  </si>
  <si>
    <t>LTSB</t>
  </si>
  <si>
    <t>LTSC</t>
  </si>
  <si>
    <t>LTSD</t>
  </si>
  <si>
    <t>LTSE</t>
  </si>
  <si>
    <t>LTSF</t>
  </si>
  <si>
    <t>LTSG</t>
  </si>
  <si>
    <t>LTSH</t>
  </si>
  <si>
    <t>LTSI</t>
  </si>
  <si>
    <t>LTSJ</t>
  </si>
  <si>
    <t>LTSK</t>
  </si>
  <si>
    <t>LTSL</t>
  </si>
  <si>
    <t>LTSM</t>
  </si>
  <si>
    <t>LTSN</t>
  </si>
  <si>
    <t>LTSO</t>
  </si>
  <si>
    <t>LTSP</t>
  </si>
  <si>
    <t>LTSQ</t>
  </si>
  <si>
    <t>LTSR</t>
  </si>
  <si>
    <t>LTSS</t>
  </si>
  <si>
    <t>LTST</t>
  </si>
  <si>
    <t>LTSU</t>
  </si>
  <si>
    <t>LTSV</t>
  </si>
  <si>
    <t>LTSW</t>
  </si>
  <si>
    <t>LTSX</t>
  </si>
  <si>
    <t>LTSY</t>
  </si>
  <si>
    <t>LTSZ</t>
  </si>
  <si>
    <t>Retail</t>
  </si>
  <si>
    <t>Weekend</t>
  </si>
  <si>
    <t>BARA</t>
  </si>
  <si>
    <t>BARB</t>
  </si>
  <si>
    <t>BARC</t>
  </si>
  <si>
    <t>BARD</t>
  </si>
  <si>
    <t>BARE</t>
  </si>
  <si>
    <t>BARF</t>
  </si>
  <si>
    <t>BARG</t>
  </si>
  <si>
    <t>BARH</t>
  </si>
  <si>
    <t>BARI</t>
  </si>
  <si>
    <t>BARJ</t>
  </si>
  <si>
    <t>BARK</t>
  </si>
  <si>
    <t>BARL</t>
  </si>
  <si>
    <t>BARM</t>
  </si>
  <si>
    <t>BARN</t>
  </si>
  <si>
    <t>BARO</t>
  </si>
  <si>
    <t>BARP</t>
  </si>
  <si>
    <t>BARQ</t>
  </si>
  <si>
    <t>BARR</t>
  </si>
  <si>
    <t>BARS</t>
  </si>
  <si>
    <t>BART</t>
  </si>
  <si>
    <t>BARU</t>
  </si>
  <si>
    <t>BARV</t>
  </si>
  <si>
    <t>BARW</t>
  </si>
  <si>
    <t>BARX</t>
  </si>
  <si>
    <t>BARY</t>
  </si>
  <si>
    <t>BARZ</t>
  </si>
  <si>
    <t>BAVA</t>
  </si>
  <si>
    <t>BAVB</t>
  </si>
  <si>
    <t>BAVC</t>
  </si>
  <si>
    <t>BAVD</t>
  </si>
  <si>
    <t>BAVE</t>
  </si>
  <si>
    <t>BAVF</t>
  </si>
  <si>
    <t>BAVG</t>
  </si>
  <si>
    <t>BAVH</t>
  </si>
  <si>
    <t>BAVI</t>
  </si>
  <si>
    <t>BAVJ</t>
  </si>
  <si>
    <t>BAVK</t>
  </si>
  <si>
    <t>BAVL</t>
  </si>
  <si>
    <t>BAVM</t>
  </si>
  <si>
    <t>BAVN</t>
  </si>
  <si>
    <t>BAVO</t>
  </si>
  <si>
    <t>BAVP</t>
  </si>
  <si>
    <t>BAVQ</t>
  </si>
  <si>
    <t>BAVR</t>
  </si>
  <si>
    <t>BAVS</t>
  </si>
  <si>
    <t>BAVT</t>
  </si>
  <si>
    <t>BAVU</t>
  </si>
  <si>
    <t>BAVV</t>
  </si>
  <si>
    <t>BAVW</t>
  </si>
  <si>
    <t>BAVX</t>
  </si>
  <si>
    <t>BAVY</t>
  </si>
  <si>
    <t>BAVZ</t>
  </si>
  <si>
    <t>Standard Rooms</t>
  </si>
  <si>
    <t>Additional Rate 1</t>
  </si>
  <si>
    <t>Additional Rate 2</t>
  </si>
  <si>
    <t>Additional Rate 3</t>
  </si>
  <si>
    <t>E-Channel Rates</t>
  </si>
  <si>
    <t>Bundled Rates</t>
  </si>
  <si>
    <t>Receptive Operator Dynamic</t>
  </si>
  <si>
    <t>Average Pricepoint in the Market</t>
  </si>
  <si>
    <t>Currency</t>
  </si>
  <si>
    <t>Inventory Control Dates</t>
  </si>
  <si>
    <t>SPVA</t>
  </si>
  <si>
    <t>SPVB</t>
  </si>
  <si>
    <t>SPVC</t>
  </si>
  <si>
    <t>SPVD</t>
  </si>
  <si>
    <t>SPVE</t>
  </si>
  <si>
    <t>SPVG</t>
  </si>
  <si>
    <t>SPVH</t>
  </si>
  <si>
    <t>SPVI</t>
  </si>
  <si>
    <t>SPVJ</t>
  </si>
  <si>
    <t>SPVK</t>
  </si>
  <si>
    <t>SPVL</t>
  </si>
  <si>
    <t>SPVM</t>
  </si>
  <si>
    <t>SPVN</t>
  </si>
  <si>
    <t>SPVO</t>
  </si>
  <si>
    <t>SPVP</t>
  </si>
  <si>
    <t>SPVQ</t>
  </si>
  <si>
    <t>SPVF</t>
  </si>
  <si>
    <t>SPVZ</t>
  </si>
  <si>
    <t>EVNA</t>
  </si>
  <si>
    <t>EVNB</t>
  </si>
  <si>
    <t>EVNC</t>
  </si>
  <si>
    <t>EVND</t>
  </si>
  <si>
    <t>EVNE</t>
  </si>
  <si>
    <t>EVNF</t>
  </si>
  <si>
    <t>EVNG</t>
  </si>
  <si>
    <t>EVNH</t>
  </si>
  <si>
    <t>EVNI</t>
  </si>
  <si>
    <t>EVNJ</t>
  </si>
  <si>
    <t>EVNK</t>
  </si>
  <si>
    <t>EVNL</t>
  </si>
  <si>
    <t>EVNM</t>
  </si>
  <si>
    <t>EVNN</t>
  </si>
  <si>
    <t>EVNO</t>
  </si>
  <si>
    <t>EVNP</t>
  </si>
  <si>
    <t>EVNQ</t>
  </si>
  <si>
    <t>EVNR</t>
  </si>
  <si>
    <t>EVNS</t>
  </si>
  <si>
    <t>SVAA</t>
  </si>
  <si>
    <t>SVAB</t>
  </si>
  <si>
    <t>SVAC</t>
  </si>
  <si>
    <t>SVAD</t>
  </si>
  <si>
    <t>SVAE</t>
  </si>
  <si>
    <t>SVAF</t>
  </si>
  <si>
    <t>SVAG</t>
  </si>
  <si>
    <t>SVAH</t>
  </si>
  <si>
    <t>SVAI</t>
  </si>
  <si>
    <t>Event 1</t>
  </si>
  <si>
    <t>Restriction</t>
  </si>
  <si>
    <t>Guarantee Deposit Rule</t>
  </si>
  <si>
    <t>Cancellation Policy</t>
  </si>
  <si>
    <t>Event 2</t>
  </si>
  <si>
    <t>Event 3</t>
  </si>
  <si>
    <t>Event 4</t>
  </si>
  <si>
    <t>Event 5</t>
  </si>
  <si>
    <t>Event 6</t>
  </si>
  <si>
    <t>Event 7</t>
  </si>
  <si>
    <t>Event 8</t>
  </si>
  <si>
    <t>Event 9</t>
  </si>
  <si>
    <t>Event 10</t>
  </si>
  <si>
    <t>Enter event dates here</t>
  </si>
  <si>
    <t>Lowest Pricepoint to load</t>
  </si>
  <si>
    <t>Marriott Business Rate</t>
  </si>
  <si>
    <t>Date 2</t>
  </si>
  <si>
    <t>Date 3</t>
  </si>
  <si>
    <t>Date 4</t>
  </si>
  <si>
    <t>Date 5</t>
  </si>
  <si>
    <t>Date 6</t>
  </si>
  <si>
    <t>Date 7</t>
  </si>
  <si>
    <t>Date 8</t>
  </si>
  <si>
    <t>Date 9</t>
  </si>
  <si>
    <t>Date 10</t>
  </si>
  <si>
    <t>LRA</t>
  </si>
  <si>
    <t>Account Name</t>
  </si>
  <si>
    <t>Availability</t>
  </si>
  <si>
    <t>Commissionable</t>
  </si>
  <si>
    <t>Website</t>
  </si>
  <si>
    <t>Season 2</t>
  </si>
  <si>
    <t>Season 3</t>
  </si>
  <si>
    <t>Season 4</t>
  </si>
  <si>
    <t>Season 5</t>
  </si>
  <si>
    <t>GDS Requests / Additional Comments</t>
  </si>
  <si>
    <t>NLRA</t>
  </si>
  <si>
    <t>YES</t>
  </si>
  <si>
    <t>NO</t>
  </si>
  <si>
    <t>Season 1 "Default"</t>
  </si>
  <si>
    <t>Enter the name of the Account here</t>
  </si>
  <si>
    <t>Rate Seasons / Room pools</t>
  </si>
  <si>
    <t>Packages</t>
  </si>
  <si>
    <t>Single</t>
  </si>
  <si>
    <t>Double</t>
  </si>
  <si>
    <t>Name</t>
  </si>
  <si>
    <t>Loading instructions</t>
  </si>
  <si>
    <t>Enter package name here</t>
  </si>
  <si>
    <t>Weekday</t>
  </si>
  <si>
    <t>7 days a week</t>
  </si>
  <si>
    <t>II</t>
  </si>
  <si>
    <t>Retail Pricing Sheet</t>
  </si>
  <si>
    <t>II.1</t>
  </si>
  <si>
    <t>Retail Rate</t>
  </si>
  <si>
    <t>II.2</t>
  </si>
  <si>
    <t>II.3</t>
  </si>
  <si>
    <t>II.4</t>
  </si>
  <si>
    <t>II.5</t>
  </si>
  <si>
    <t>Defined the standard rate premium of the higher room pools as a supplement on you standard rate.
Ex. If GENR is $149 and EXEC is $189, enter the difference in rate: $189-$149 = $40.</t>
  </si>
  <si>
    <t>II.6</t>
  </si>
  <si>
    <t>II.7</t>
  </si>
  <si>
    <t>Seasons</t>
  </si>
  <si>
    <t>Default Rate</t>
  </si>
  <si>
    <t>Define here the most common benchmark ratail rate that will be sold at the property.
This rate will apply all the time, except on dates when a specific seasons is defined (II.7).
If no KDATE season is set in II.7, the rates defined under this will be used for KDATE roll-in.</t>
  </si>
  <si>
    <r>
      <t xml:space="preserve">Enter Season dates when default rate does not apply. Seasons do not have to be contiguous. Do NOT repeat dates/seasons where Default rate should apply.
Then define the season type as Standard or High (Line 4): This will determine with Standard or High Season supplement should apply for the price supplements for the higher room pools. Rates will be automatically calculated. </t>
    </r>
    <r>
      <rPr>
        <b/>
        <sz val="10"/>
        <color rgb="FFFF0000"/>
        <rFont val="Arial"/>
        <family val="2"/>
      </rPr>
      <t>Do NOT select HIGH if High season supplements have not been defined in II.5!</t>
    </r>
    <r>
      <rPr>
        <sz val="10"/>
        <rFont val="Arial"/>
        <family val="2"/>
      </rPr>
      <t xml:space="preserve">
Select Specific if defining specific rates per room which are not line with the Standard or High Season supplements, then enter the rates manually.</t>
    </r>
  </si>
  <si>
    <t>II.8</t>
  </si>
  <si>
    <t>Weekend Rate Strategy</t>
  </si>
  <si>
    <t>This section will be used to determine the Weekend rate Strategy of the hotel.</t>
  </si>
  <si>
    <t>Sunday</t>
  </si>
  <si>
    <t>Monday</t>
  </si>
  <si>
    <t>Tuesday</t>
  </si>
  <si>
    <t>Wednesday</t>
  </si>
  <si>
    <t>Thursday</t>
  </si>
  <si>
    <t>Friday</t>
  </si>
  <si>
    <t>Saturday</t>
  </si>
  <si>
    <t>II.9</t>
  </si>
  <si>
    <t>II.10</t>
  </si>
  <si>
    <t>Weekend Day Definition</t>
  </si>
  <si>
    <t xml:space="preserve">Use this field to determine which day of the week to consider as Revenue Management Weekend Day.
Typically, weekend days are defined the night prior to an actual weekend day.
Ex: if Saturday and Sunday are Weekend days, then Friday and Saturday nights would be defined. </t>
  </si>
  <si>
    <t>II.11</t>
  </si>
  <si>
    <t>Weekend rates</t>
  </si>
  <si>
    <t>III</t>
  </si>
  <si>
    <t>Standard Disct and Offer Rates</t>
  </si>
  <si>
    <t>Use this sheet to define additional sell strategy rates and review standard offers</t>
  </si>
  <si>
    <t>IV</t>
  </si>
  <si>
    <t>V</t>
  </si>
  <si>
    <t>V.</t>
  </si>
  <si>
    <t>V.1</t>
  </si>
  <si>
    <t>V.6</t>
  </si>
  <si>
    <t>V.7</t>
  </si>
  <si>
    <t>V.8</t>
  </si>
  <si>
    <t>V.9</t>
  </si>
  <si>
    <t>VI</t>
  </si>
  <si>
    <t>An Inventory Control Date, or ICD is a date on which the hotel can limit the number of rooms sold to Marriott Rewards to 10% of the total inventory (no limits apply on non-ICD dates).</t>
  </si>
  <si>
    <t>Provide up to 10 dates per year.</t>
  </si>
  <si>
    <t>Important: In case of change in demand, cancellation of special event, new event.. ICD dates can be updated at any time as long at the authorized number of days (usually 10) is not exceeded.
However, ICD dates are NOT to be considered as part of standard inventory strategy and should not be altered without a valid, substantial reason. Marriott Rewards can be requesting justification for change in dates and abuse will not be tolerated.</t>
  </si>
  <si>
    <t>VII.9</t>
  </si>
  <si>
    <t>VIII.10</t>
  </si>
  <si>
    <t>Description</t>
  </si>
  <si>
    <t>Weekend Pricing</t>
  </si>
  <si>
    <t>Set-up details will be reviewed with SRM during initial call</t>
  </si>
  <si>
    <t>Advance Purchase Rate</t>
  </si>
  <si>
    <t>Fixed</t>
  </si>
  <si>
    <t>Discount</t>
  </si>
  <si>
    <t>%</t>
  </si>
  <si>
    <t>$</t>
  </si>
  <si>
    <t>Number of day out</t>
  </si>
  <si>
    <t>Weekday and Weekend</t>
  </si>
  <si>
    <t>Room pools</t>
  </si>
  <si>
    <t>Standard + Concierge</t>
  </si>
  <si>
    <t>All</t>
  </si>
  <si>
    <t>Net rate (F&amp;B allocation)</t>
  </si>
  <si>
    <t>off Gross</t>
  </si>
  <si>
    <t>Notes/comments</t>
  </si>
  <si>
    <t>Long Term Stay</t>
  </si>
  <si>
    <t>Minimum Number of nights</t>
  </si>
  <si>
    <t>Notes:</t>
  </si>
  <si>
    <t>Long Term Stay (RI + TPS)</t>
  </si>
  <si>
    <t>Allow overbooking up to</t>
  </si>
  <si>
    <t>rooms</t>
  </si>
  <si>
    <t>if staying more than</t>
  </si>
  <si>
    <t>nights</t>
  </si>
  <si>
    <t>and if booking more than</t>
  </si>
  <si>
    <t>days out</t>
  </si>
  <si>
    <t>Long Terms Stay rates at extended stay hotels allow to secure extended stay business meeting certain criteria should there no longer be availability on a given day within the requested stay date of that given extended stay request</t>
  </si>
  <si>
    <t>Premium Rooms</t>
  </si>
  <si>
    <t>When these "safetynet" ratecodes are used, send email to:</t>
  </si>
  <si>
    <t>enter email address here</t>
  </si>
  <si>
    <t>Federal Government</t>
  </si>
  <si>
    <t>Season</t>
  </si>
  <si>
    <t>Season 1</t>
  </si>
  <si>
    <t>State Per Diem</t>
  </si>
  <si>
    <t>FOSSE Hotels: per diem rates must be built on all room pools at per diem level</t>
  </si>
  <si>
    <t>Marriott
e-breaks</t>
  </si>
  <si>
    <t>Additional Discount Rates</t>
  </si>
  <si>
    <t>Unbundled Rates</t>
  </si>
  <si>
    <t>Advance Purchase</t>
  </si>
  <si>
    <t>Breakfast for one / Stay for Breakfast</t>
  </si>
  <si>
    <t>Bundled
(off retail)</t>
  </si>
  <si>
    <t>Dynamic Wholesale Rates</t>
  </si>
  <si>
    <t>Tour Operatory Dynamic</t>
  </si>
  <si>
    <t>N/A</t>
  </si>
  <si>
    <t>Five pricepoints will be loaded from the lowest indicate pricepoint upwards</t>
  </si>
  <si>
    <t>Unbundled rates:</t>
  </si>
  <si>
    <t>Rates sold by Marriott's preferred OTA partners room only, discount or with a  package element included by the hotel</t>
  </si>
  <si>
    <t>Current partners</t>
  </si>
  <si>
    <t>Rates sold by Marriott's preferred OTA partners packaged with Airfare, Rental Car… by the OTA. The OTA will take the properties' undisclosed rates and will present a "bundled" rate to the customer who will never see the room portion of the final rate</t>
  </si>
  <si>
    <t>Dynamic Wholesale rates</t>
  </si>
  <si>
    <t>Hotels can now distribute dynamic rates and availability with real-time electronic connectivity to select tour operators and wholesalers. Reach the leisure customer through these centralized pricing and distribution programs. Hotels can now offer yieldable, floating net rates to select tour operators and receptive operator wholesalers to expand their global leisure reach.  Programs include: Gullivers/Octopus Travel, Receptive Operator Dynamic, Tour Operator Dynamic.  
All Rates are Yieldable based on hotel demand.</t>
  </si>
  <si>
    <t>Single Net</t>
  </si>
  <si>
    <t>Double Net</t>
  </si>
  <si>
    <t>Tier Structure</t>
  </si>
  <si>
    <t>Tier 1</t>
  </si>
  <si>
    <t>Tier 2</t>
  </si>
  <si>
    <t>Tier 3</t>
  </si>
  <si>
    <t>Tier 4</t>
  </si>
  <si>
    <t>1-4</t>
  </si>
  <si>
    <t>5-11</t>
  </si>
  <si>
    <t>30+</t>
  </si>
  <si>
    <t>Standard discount vs. Tier 1</t>
  </si>
  <si>
    <t>Applies to Tier 1 only</t>
  </si>
  <si>
    <t>Alternate Season</t>
  </si>
  <si>
    <t>RAMP / Pricing Meeting</t>
  </si>
  <si>
    <t>Date Submitted to Revenue Management</t>
  </si>
  <si>
    <t>Hotel Name</t>
  </si>
  <si>
    <t>Hotel MARSHA Code</t>
  </si>
  <si>
    <t>Completed by:</t>
  </si>
  <si>
    <t>Phone</t>
  </si>
  <si>
    <t>E-mail address</t>
  </si>
  <si>
    <t>Brand</t>
  </si>
  <si>
    <t>Marriott Hotels &amp; Resorts</t>
  </si>
  <si>
    <t>JW Marriott</t>
  </si>
  <si>
    <t>Renaissance</t>
  </si>
  <si>
    <t>Courtyard</t>
  </si>
  <si>
    <t>Fairfield Inn</t>
  </si>
  <si>
    <t>Residence Inn</t>
  </si>
  <si>
    <t>SpringHill Suites</t>
  </si>
  <si>
    <t>TownePlace Suites</t>
  </si>
  <si>
    <t>Step 1: Select the appropriate Brand type:</t>
  </si>
  <si>
    <t>Step 2: complete the packet starting with the General Set-up</t>
  </si>
  <si>
    <t>Division/Continent</t>
  </si>
  <si>
    <t>NALO</t>
  </si>
  <si>
    <t>CALA</t>
  </si>
  <si>
    <t>Europe</t>
  </si>
  <si>
    <t>MEA</t>
  </si>
  <si>
    <t>AP</t>
  </si>
  <si>
    <t>VID</t>
  </si>
  <si>
    <t>inventory control dates</t>
  </si>
  <si>
    <t>Retail pricing non-extended stay</t>
  </si>
  <si>
    <t>Retail pricing exetend stay</t>
  </si>
  <si>
    <t>rates:</t>
  </si>
  <si>
    <t>Standard discount</t>
  </si>
  <si>
    <t>e-channels</t>
  </si>
  <si>
    <t>LNR</t>
  </si>
  <si>
    <t>non-RI/TPS</t>
  </si>
  <si>
    <t>LNRS RI+ TPS</t>
  </si>
  <si>
    <t>Estay hotels LTS</t>
  </si>
  <si>
    <t>Name and title:</t>
  </si>
  <si>
    <t>Name&amp;Title:</t>
  </si>
  <si>
    <t>Phase 2 DATA SHEET</t>
  </si>
  <si>
    <t>Weekend Rate</t>
  </si>
  <si>
    <t>off retail rate</t>
  </si>
  <si>
    <t>Select 7 days a week if offering the same discount weekday and weekend</t>
  </si>
  <si>
    <t>Premium over Retail rate</t>
  </si>
  <si>
    <t>Only change fields in blue or with drop-down menu</t>
  </si>
  <si>
    <t>The Retail Rate Pricing Sheet: use this to define you retail rates.
Room Pool and Room pool classification are prepopulated based on data entered on the General Set-up sheet.</t>
  </si>
  <si>
    <t>The loading strategy will be reviewed with Revenue Management during the Phase 2 Revenue Management Review Call</t>
  </si>
  <si>
    <t>Please provide the rates at which the hotel should be selling on the defined weekend dates.
Do not complete if selling the same rate on weekdays and weekends most of the year, in this case, add additional "season" on the retail section to price those dates differently.</t>
  </si>
  <si>
    <t>Non-extended stay</t>
  </si>
  <si>
    <t>Define the standard tier structure and corresponding discount off Tier 1 in each tier</t>
  </si>
  <si>
    <t>Long Term Stay Rate</t>
  </si>
  <si>
    <t>These rates work as "safety net" to prevent the loss of extended stay business.
Define the criteria, which, if met, would allow overbooking the hotel to secure the desired extended stay business.</t>
  </si>
  <si>
    <r>
      <t xml:space="preserve">Enter Season dates when default rate does not apply. Seasons do not have to be contiguous. Do NOT repeat dates/seasons where Default rate should apply.
Then define the season type as Standard or High (Line 4): This will determine with Standard or High Season supplement should apply for the price supplements for the higher room pools. Rates will be automatically calculated. </t>
    </r>
    <r>
      <rPr>
        <b/>
        <sz val="10"/>
        <color rgb="FFFF0000"/>
        <rFont val="Arial"/>
        <family val="2"/>
      </rPr>
      <t>Do NOT select HIGH if High season supplements have not been defined!</t>
    </r>
    <r>
      <rPr>
        <sz val="10"/>
        <rFont val="Arial"/>
        <family val="2"/>
      </rPr>
      <t xml:space="preserve">
Select Specific if defining specific rates per room which are not line with the Standard or High Season supplements, then enter the rates manually.</t>
    </r>
  </si>
  <si>
    <t>Define which room pool and rates to sell on e-channels/OTA</t>
  </si>
  <si>
    <t>Special Corporate</t>
  </si>
  <si>
    <t>List all the contracted local negotiated special corporate rates - do not include accounts which are centrally negotiated.
To review the list of centrally negotiated accounts, please refer to MarRFP - Pricing</t>
  </si>
  <si>
    <t>Instructions</t>
  </si>
  <si>
    <t>General Set-up</t>
  </si>
  <si>
    <t>Special events</t>
  </si>
  <si>
    <t>Define rates on special event dates. These are dates with very high compression of demand. On these special event rates, hotel will be only selling through Marriott Direct Channels: Central Reservations, Marriott.com and on property.
Define guarantee rules (deposit requirement if needed) and cancellation policies.
Note: Guarantee rules and cancellations policies have to be set in a way they secure and protect revenue for the hotel, are in line with competition, and can easily be understood by the guest.</t>
  </si>
  <si>
    <t>Extended stay hotels</t>
  </si>
  <si>
    <t>use the 4 letter MARSHA room pool codes defined in phase 1. These codes are for internal purposes only and do not impact the way customers will see these.
Courtyad, Full Service and Autograph Collection Hotels must have GENR as standard room pool these codes are for internal purposes only and do not impact the way customers will see this</t>
  </si>
  <si>
    <t>III.</t>
  </si>
  <si>
    <t>I.V</t>
  </si>
  <si>
    <t>Standard Discounts</t>
  </si>
  <si>
    <t>Concierge/Club</t>
  </si>
  <si>
    <t>This section will be used to determine the Weekend rates of the hotel.
Detailed strategy set-up will be discussed with the Senior Revenue Manager</t>
  </si>
  <si>
    <t>Standard/ Concierge/ Premium</t>
  </si>
  <si>
    <t>Hotel Excellence Program (Fam-Tastic and Plan-Tastic)</t>
  </si>
  <si>
    <t>grmrs.hq@marriott.com</t>
  </si>
  <si>
    <t>Step 3: Submit the phase 2 document to:</t>
  </si>
  <si>
    <t>Please copy your MSAM on this submission:</t>
  </si>
  <si>
    <t>Beth Taylor</t>
  </si>
  <si>
    <t>Laidinha Buono</t>
  </si>
  <si>
    <t>Comments / notes / follow-up</t>
  </si>
  <si>
    <t>Phase 2.0</t>
  </si>
  <si>
    <t>New Phase 2 document - fall 2013</t>
  </si>
  <si>
    <t>beta test</t>
  </si>
  <si>
    <t>rolled out version</t>
  </si>
  <si>
    <t>locked phase 2 - only fields remain unlocked for update / data entry</t>
  </si>
  <si>
    <t>Removed GTA - progam discontinued</t>
  </si>
  <si>
    <t>To review the list of Experience packages, visit the following pages on MGS:</t>
  </si>
  <si>
    <t>https://extranet.marriott.com/mgs/marrdocs/mgs/common/SalesMktgRevMgmt/Marketing/GlobalPartnerships/ExperiencesbyMarriott/EBMPackageBriefs.pdf</t>
  </si>
  <si>
    <t>Packages: added link to experience pkg info on mgs</t>
  </si>
  <si>
    <r>
      <t xml:space="preserve">Enter Season Dates Here
</t>
    </r>
    <r>
      <rPr>
        <i/>
        <sz val="9"/>
        <color rgb="FF0070C0"/>
        <rFont val="Arial"/>
        <family val="2"/>
      </rPr>
      <t>(multiple date ranges with same pricing can be combined)</t>
    </r>
  </si>
  <si>
    <t>Alternate Supplement
(optional)</t>
  </si>
  <si>
    <r>
      <t xml:space="preserve">List and define the packages (room+value-add) that will be offered.
Review "Experience Packages" requirements on Marriott Global Source
</t>
    </r>
    <r>
      <rPr>
        <b/>
        <sz val="10"/>
        <rFont val="Arial"/>
        <family val="2"/>
      </rPr>
      <t>Enter rates as premium/supplement over retail rate</t>
    </r>
  </si>
  <si>
    <t>Alternate</t>
  </si>
  <si>
    <t>Define this only, and only if the price premiums/supplements over the standard room pool varry by season.
Standard Supplement (II.2) should then reflect the most frequently used premiums.
Use this II.5 fields to enter an alternate set of premiums.
If left blank, the standard premiums in II.4 will always apply.
Please note that it is not recommended to have too many different price supplements: like benchmark rate these should remain rational, guest should understand these and the changes in these. Front Desk also needs to be able to easily understand these and be trained on in order to optimize upsell.
If there is a need to define other supplements on given dates, use the Seasons columns to define those.</t>
  </si>
  <si>
    <t>changed verbiage from high to alternate for second set of premiums/supplements</t>
  </si>
  <si>
    <t>Removed Vacation by marriott from echannel merchant due to program change</t>
  </si>
  <si>
    <t>updated instructions following changes</t>
  </si>
  <si>
    <t>added note/comment section on instruction tab</t>
  </si>
  <si>
    <t>added GRMRS email address on welcome page as well as MSAM name</t>
  </si>
  <si>
    <t>full service + select service macro fix</t>
  </si>
  <si>
    <t>Beth.Taylor@marriott.com</t>
  </si>
  <si>
    <t>Laidinha.Buono@marriott.com</t>
  </si>
  <si>
    <t>unprotected cells below ICD table to allow for additional dates if needed</t>
  </si>
  <si>
    <t>added room pool selection option for Advance Purchase rates</t>
  </si>
  <si>
    <t>ICD dates: first year is now unprotected, allowing to be set based on hotel's opening year</t>
  </si>
  <si>
    <t>Nick Battiste</t>
  </si>
  <si>
    <t>General Set-up screen: Color coding added if room count does not match total listed (if D4 different than C24)</t>
  </si>
  <si>
    <t>replaced MSAM name by emails, updated new MSAM</t>
  </si>
  <si>
    <t>Updated MACROS: will hide regular LTS and  SFB for extended stay hotels</t>
  </si>
  <si>
    <t>Added unable decimal macros to Retail Pricing Sheet and Retail Pricing RI+TPS sheets (no revert action macro created)</t>
  </si>
  <si>
    <t>Added additional comment to OTA section (expedia, and minium room threshold comments)</t>
  </si>
  <si>
    <t>Nicholas.Battiste@marriott.com</t>
  </si>
  <si>
    <t>Macro fix for echannels on Extended stay macro</t>
  </si>
  <si>
    <t>Kelly Horaney</t>
  </si>
  <si>
    <t>If you have been allocated more than 10 days please add here.</t>
  </si>
  <si>
    <t>Opening Date</t>
  </si>
  <si>
    <t>12-29</t>
  </si>
  <si>
    <t>Marriott Senior Discount - 15% off Retail rate</t>
  </si>
  <si>
    <t>Studio</t>
  </si>
  <si>
    <t>Studio + One Bedroom</t>
  </si>
  <si>
    <t>AAA</t>
  </si>
  <si>
    <t>A second set of AAA rates will be loaded that are equal to the retail rates.</t>
  </si>
  <si>
    <t>Priceline’s “blind” bid concept enables Marriott to sell regular and need-time inventory to price sensitive segments without disclosing the Marriott name or overtly sending the message of “Marriott on sale”.</t>
  </si>
  <si>
    <r>
      <rPr>
        <sz val="12"/>
        <rFont val="Arial"/>
        <family val="2"/>
      </rPr>
      <t>Priceline</t>
    </r>
    <r>
      <rPr>
        <sz val="10"/>
        <rFont val="Arial"/>
        <family val="2"/>
      </rPr>
      <t xml:space="preserve">
For more info please click go here:
</t>
    </r>
    <r>
      <rPr>
        <sz val="8"/>
        <rFont val="Arial"/>
        <family val="2"/>
      </rPr>
      <t>https://extranet.marriott.com/mgs/common/sales-mktg-and-rev-mgmt/ecommerce/online-travel-agencies/priceline.html</t>
    </r>
  </si>
  <si>
    <t>Yes</t>
  </si>
  <si>
    <t>Date 1</t>
  </si>
  <si>
    <t>For details on the various commission/net rates for each of these OTAs and Wholesalers, please review the Phase 2 Job Aid</t>
  </si>
  <si>
    <r>
      <t xml:space="preserve">Priceline Opaque 
</t>
    </r>
    <r>
      <rPr>
        <sz val="10"/>
        <rFont val="Arial"/>
        <family val="2"/>
      </rPr>
      <t>(leave at 0 of you do not wish to participate)</t>
    </r>
  </si>
  <si>
    <t>Tour Operator Dynamic</t>
  </si>
  <si>
    <r>
      <t xml:space="preserve">Alternate Supplement 
</t>
    </r>
    <r>
      <rPr>
        <i/>
        <sz val="9"/>
        <rFont val="Arial"/>
        <family val="2"/>
      </rPr>
      <t>(optional)</t>
    </r>
  </si>
  <si>
    <t>Alternate Supplement</t>
  </si>
  <si>
    <t>Indicate the information about room pool description of Phase 1 describing the bed types</t>
  </si>
  <si>
    <t>Room Pool Bed Types</t>
  </si>
  <si>
    <t>Autograph Collection</t>
  </si>
  <si>
    <t xml:space="preserve">Joe Marra </t>
  </si>
  <si>
    <t xml:space="preserve">Joseph.A.Marra@marriott.com  </t>
  </si>
  <si>
    <t>Jenny Manikham</t>
  </si>
  <si>
    <t>Kelly.Horaney@marriott.com</t>
  </si>
  <si>
    <t xml:space="preserve">Jenny.Manikham@marriott.com    </t>
  </si>
  <si>
    <t>Participation in RMRS</t>
  </si>
  <si>
    <t>Participation in RMRS?</t>
  </si>
  <si>
    <t>No</t>
  </si>
  <si>
    <t>Standard Redemption</t>
  </si>
  <si>
    <t>Optional Upgrade Cash</t>
  </si>
  <si>
    <t>Optional Upgrade Points</t>
  </si>
  <si>
    <t>Exclude</t>
  </si>
  <si>
    <t>Required Upgrade Cash &amp; Points</t>
  </si>
  <si>
    <t>Optional Upgrade Cash &amp; Points</t>
  </si>
  <si>
    <t>Special Corporate and Wholesale Rates</t>
  </si>
  <si>
    <t>Special Corporate &amp; Wholesale Rates</t>
  </si>
  <si>
    <t>VIP Athletic Rate</t>
  </si>
  <si>
    <t>Marriott Rewards Standard Pools</t>
  </si>
  <si>
    <t>For each room pool determine if it will be offered as a standard rewards redemption room pool, a required or optional upgrade, or if it will be excluded.</t>
  </si>
  <si>
    <t>Rewards Standard Pools</t>
  </si>
  <si>
    <t>For wholesaler rates, please list the number of guaranteed rooms and housing protection status under Availability or Additional Comments</t>
  </si>
  <si>
    <t>Expedia, Orbitz, Priceline, Booking.com</t>
  </si>
  <si>
    <t>Expedia, Orbitz, Priceline, Vacations by Marriott</t>
  </si>
  <si>
    <t>Email Address of the person you would like alerted when the package books.</t>
  </si>
  <si>
    <r>
      <t xml:space="preserve">Package Description: </t>
    </r>
    <r>
      <rPr>
        <sz val="10"/>
        <rFont val="Arial"/>
        <family val="2"/>
      </rPr>
      <t>list the included value adds the way you want it displayed to the customer. This includes all amentities, services and discounts.</t>
    </r>
  </si>
  <si>
    <t>Notes/comments/caps</t>
  </si>
  <si>
    <t>Friends &amp; Family</t>
  </si>
  <si>
    <t>•</t>
  </si>
  <si>
    <t>Notes / Comments (please include rate category)</t>
  </si>
  <si>
    <t>Website (required)</t>
  </si>
  <si>
    <t>Travel Industry Discount</t>
  </si>
  <si>
    <t>Email</t>
  </si>
  <si>
    <t>Delta</t>
  </si>
  <si>
    <t>Ritz Carlton</t>
  </si>
  <si>
    <t>Nancy Woodard</t>
  </si>
  <si>
    <t>Debbie Newton</t>
  </si>
  <si>
    <t>John Zangas</t>
  </si>
  <si>
    <t>nancy.woodard@marriott.com</t>
  </si>
  <si>
    <t>debbie.newton@marriott.com</t>
  </si>
  <si>
    <t>john.zangas@marriott.com</t>
  </si>
  <si>
    <t>Maybe</t>
  </si>
  <si>
    <t>High Demand Dates</t>
  </si>
  <si>
    <t>Dynamic Leisure Program</t>
  </si>
  <si>
    <t>AC Hotels</t>
  </si>
  <si>
    <t>MOXY</t>
  </si>
  <si>
    <t>Breakfast for one</t>
  </si>
  <si>
    <t>Type of Opening</t>
  </si>
  <si>
    <t>Executive Excellence Program</t>
  </si>
  <si>
    <t>NNGFI</t>
    <phoneticPr fontId="47" type="noConversion"/>
  </si>
  <si>
    <t>Fairfield by Marriott Nanning Nan Hu Park</t>
    <phoneticPr fontId="47" type="noConversion"/>
  </si>
  <si>
    <t>AP</t>
    <phoneticPr fontId="47" type="noConversion"/>
  </si>
  <si>
    <t>86 15659162386</t>
    <phoneticPr fontId="47" type="noConversion"/>
  </si>
  <si>
    <t>perrygao@ccinn.cn</t>
    <phoneticPr fontId="47" type="noConversion"/>
  </si>
  <si>
    <t>Perry Gao / GM</t>
    <phoneticPr fontId="47" type="noConversion"/>
  </si>
  <si>
    <t>New Build</t>
  </si>
  <si>
    <t>KING</t>
    <phoneticPr fontId="47" type="noConversion"/>
  </si>
  <si>
    <t>DBDB</t>
    <phoneticPr fontId="47" type="noConversion"/>
  </si>
  <si>
    <t>PMRS</t>
    <phoneticPr fontId="47" type="noConversion"/>
  </si>
  <si>
    <t>Deluxe Room</t>
    <phoneticPr fontId="47" type="noConversion"/>
  </si>
  <si>
    <t>Business Room</t>
    <phoneticPr fontId="47" type="noConversion"/>
  </si>
  <si>
    <t>Business Room</t>
    <phoneticPr fontId="47" type="noConversion"/>
  </si>
  <si>
    <t>King Bed</t>
    <phoneticPr fontId="47" type="noConversion"/>
  </si>
  <si>
    <t>Double Bed</t>
    <phoneticPr fontId="47" type="noConversion"/>
  </si>
  <si>
    <t>King Bed</t>
    <phoneticPr fontId="47" type="noConversion"/>
  </si>
  <si>
    <t>NO</t>
    <phoneticPr fontId="47" type="noConversion"/>
  </si>
  <si>
    <r>
      <t>F</t>
    </r>
    <r>
      <rPr>
        <sz val="10"/>
        <rFont val="Arial"/>
        <family val="2"/>
      </rPr>
      <t>ree Breakfast for guest</t>
    </r>
    <phoneticPr fontId="47" type="noConversion"/>
  </si>
  <si>
    <r>
      <t>N</t>
    </r>
    <r>
      <rPr>
        <sz val="10"/>
        <rFont val="Arial"/>
        <family val="2"/>
      </rPr>
      <t>O</t>
    </r>
    <phoneticPr fontId="47" type="noConversion"/>
  </si>
  <si>
    <r>
      <t>N</t>
    </r>
    <r>
      <rPr>
        <sz val="10"/>
        <rFont val="Arial"/>
        <family val="2"/>
      </rPr>
      <t>O</t>
    </r>
    <phoneticPr fontId="47" type="noConversion"/>
  </si>
  <si>
    <r>
      <t>N</t>
    </r>
    <r>
      <rPr>
        <sz val="10"/>
        <rFont val="Arial"/>
        <family val="2"/>
      </rPr>
      <t>O</t>
    </r>
    <phoneticPr fontId="47" type="noConversion"/>
  </si>
  <si>
    <r>
      <t>N</t>
    </r>
    <r>
      <rPr>
        <sz val="10"/>
        <rFont val="Arial"/>
        <family val="2"/>
      </rPr>
      <t>O</t>
    </r>
    <phoneticPr fontId="4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</si>
</sst>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quot;$&quot;#,##0_);[Red]\(&quot;$&quot;#,##0\)"/>
    <numFmt numFmtId="177" formatCode="&quot;$&quot;#,##0"/>
    <numFmt numFmtId="178" formatCode="[$-409]d\-mmm\-yy;@"/>
    <numFmt numFmtId="179" formatCode="&quot;$&quot;#,##0.00"/>
  </numFmts>
  <fonts count="48" x14ac:knownFonts="1">
    <font>
      <sz val="10"/>
      <name val="Arial"/>
    </font>
    <font>
      <sz val="11"/>
      <color theme="1"/>
      <name val="宋体"/>
      <family val="2"/>
      <scheme val="minor"/>
    </font>
    <font>
      <sz val="10"/>
      <name val="Arial"/>
      <family val="2"/>
    </font>
    <font>
      <u/>
      <sz val="10"/>
      <color indexed="12"/>
      <name val="Arial"/>
      <family val="2"/>
    </font>
    <font>
      <sz val="8"/>
      <name val="Arial"/>
      <family val="2"/>
    </font>
    <font>
      <b/>
      <sz val="10"/>
      <name val="Arial"/>
      <family val="2"/>
    </font>
    <font>
      <sz val="10"/>
      <name val="Arial"/>
      <family val="2"/>
    </font>
    <font>
      <b/>
      <sz val="12"/>
      <name val="Arial"/>
      <family val="2"/>
    </font>
    <font>
      <i/>
      <sz val="10"/>
      <name val="Arial"/>
      <family val="2"/>
    </font>
    <font>
      <b/>
      <sz val="9"/>
      <name val="Arial"/>
      <family val="2"/>
    </font>
    <font>
      <sz val="10"/>
      <color rgb="FF0070C0"/>
      <name val="Arial"/>
      <family val="2"/>
    </font>
    <font>
      <b/>
      <sz val="10"/>
      <color rgb="FF0070C0"/>
      <name val="Arial"/>
      <family val="2"/>
    </font>
    <font>
      <u/>
      <sz val="14"/>
      <color rgb="FFFF0000"/>
      <name val="Arial"/>
      <family val="2"/>
    </font>
    <font>
      <i/>
      <sz val="9"/>
      <name val="Arial"/>
      <family val="2"/>
    </font>
    <font>
      <b/>
      <sz val="9"/>
      <color rgb="FF0070C0"/>
      <name val="Arial"/>
      <family val="2"/>
    </font>
    <font>
      <b/>
      <i/>
      <sz val="10"/>
      <color rgb="FFC00000"/>
      <name val="Arial"/>
      <family val="2"/>
    </font>
    <font>
      <i/>
      <sz val="10"/>
      <color rgb="FF0070C0"/>
      <name val="Arial"/>
      <family val="2"/>
    </font>
    <font>
      <u/>
      <sz val="10"/>
      <name val="Arial"/>
      <family val="2"/>
    </font>
    <font>
      <b/>
      <u/>
      <sz val="10"/>
      <name val="Arial"/>
      <family val="2"/>
    </font>
    <font>
      <b/>
      <u/>
      <sz val="14"/>
      <color rgb="FFFF0000"/>
      <name val="Arial"/>
      <family val="2"/>
    </font>
    <font>
      <i/>
      <sz val="11"/>
      <color rgb="FF0070C0"/>
      <name val="Arial"/>
      <family val="2"/>
    </font>
    <font>
      <b/>
      <u/>
      <sz val="12"/>
      <name val="Arial"/>
      <family val="2"/>
    </font>
    <font>
      <b/>
      <u/>
      <sz val="10"/>
      <color rgb="FF0070C0"/>
      <name val="Arial"/>
      <family val="2"/>
    </font>
    <font>
      <b/>
      <sz val="10"/>
      <color rgb="FFFF0000"/>
      <name val="Arial"/>
      <family val="2"/>
    </font>
    <font>
      <b/>
      <sz val="11"/>
      <color rgb="FF0070C0"/>
      <name val="Arial"/>
      <family val="2"/>
    </font>
    <font>
      <b/>
      <u/>
      <sz val="14"/>
      <name val="Arial"/>
      <family val="2"/>
    </font>
    <font>
      <b/>
      <i/>
      <sz val="9"/>
      <color rgb="FF0070C0"/>
      <name val="Arial"/>
      <family val="2"/>
    </font>
    <font>
      <b/>
      <sz val="8"/>
      <name val="Arial"/>
      <family val="2"/>
    </font>
    <font>
      <b/>
      <u/>
      <sz val="10"/>
      <color theme="0"/>
      <name val="Arial"/>
      <family val="2"/>
    </font>
    <font>
      <b/>
      <u/>
      <sz val="11"/>
      <name val="Arial"/>
      <family val="2"/>
    </font>
    <font>
      <b/>
      <i/>
      <sz val="10"/>
      <color rgb="FF0070C0"/>
      <name val="Arial"/>
      <family val="2"/>
    </font>
    <font>
      <b/>
      <u/>
      <sz val="9"/>
      <name val="Arial"/>
      <family val="2"/>
    </font>
    <font>
      <b/>
      <u/>
      <sz val="12"/>
      <color rgb="FF0070C0"/>
      <name val="Arial"/>
      <family val="2"/>
    </font>
    <font>
      <b/>
      <sz val="11"/>
      <color rgb="FFFF0000"/>
      <name val="Arial"/>
      <family val="2"/>
    </font>
    <font>
      <sz val="10"/>
      <color rgb="FF000000"/>
      <name val="Arial"/>
      <family val="2"/>
    </font>
    <font>
      <b/>
      <u/>
      <sz val="10"/>
      <color rgb="FFFF0000"/>
      <name val="Arial"/>
      <family val="2"/>
    </font>
    <font>
      <b/>
      <u/>
      <sz val="11"/>
      <color indexed="12"/>
      <name val="Arial"/>
      <family val="2"/>
    </font>
    <font>
      <b/>
      <sz val="11"/>
      <name val="Arial"/>
      <family val="2"/>
    </font>
    <font>
      <b/>
      <i/>
      <u/>
      <sz val="10"/>
      <name val="Arial"/>
      <family val="2"/>
    </font>
    <font>
      <i/>
      <sz val="9"/>
      <color rgb="FF0070C0"/>
      <name val="Arial"/>
      <family val="2"/>
    </font>
    <font>
      <b/>
      <sz val="12"/>
      <color rgb="FF0070C0"/>
      <name val="Arial"/>
      <family val="2"/>
    </font>
    <font>
      <i/>
      <u/>
      <sz val="10"/>
      <color rgb="FFFF0000"/>
      <name val="Arial"/>
      <family val="2"/>
    </font>
    <font>
      <sz val="12"/>
      <name val="Arial"/>
      <family val="2"/>
    </font>
    <font>
      <sz val="9"/>
      <color indexed="81"/>
      <name val="Tahoma"/>
      <family val="2"/>
    </font>
    <font>
      <b/>
      <sz val="9"/>
      <color indexed="81"/>
      <name val="Tahoma"/>
      <family val="2"/>
    </font>
    <font>
      <sz val="11"/>
      <name val="Calibri"/>
      <family val="2"/>
    </font>
    <font>
      <sz val="10"/>
      <name val="Arial"/>
      <family val="2"/>
    </font>
    <font>
      <sz val="9"/>
      <name val="宋体"/>
      <family val="3"/>
      <charset val="134"/>
    </font>
  </fonts>
  <fills count="17">
    <fill>
      <patternFill patternType="none"/>
    </fill>
    <fill>
      <patternFill patternType="gray125"/>
    </fill>
    <fill>
      <patternFill patternType="solid">
        <fgColor indexed="43"/>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1"/>
        <bgColor indexed="64"/>
      </patternFill>
    </fill>
    <fill>
      <patternFill patternType="solid">
        <fgColor rgb="FFFF0000"/>
        <bgColor indexed="64"/>
      </patternFill>
    </fill>
    <fill>
      <patternFill patternType="solid">
        <fgColor rgb="FFFFFF66"/>
        <bgColor indexed="64"/>
      </patternFill>
    </fill>
    <fill>
      <patternFill patternType="solid">
        <fgColor rgb="FFE0EBF8"/>
        <bgColor indexed="64"/>
      </patternFill>
    </fill>
  </fills>
  <borders count="8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diagonal/>
    </border>
    <border>
      <left/>
      <right/>
      <top/>
      <bottom style="thin">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46" fillId="0" borderId="0" applyFont="0" applyFill="0" applyBorder="0" applyAlignment="0" applyProtection="0"/>
  </cellStyleXfs>
  <cellXfs count="763">
    <xf numFmtId="0" fontId="0" fillId="0" borderId="0" xfId="0"/>
    <xf numFmtId="0" fontId="0" fillId="0" borderId="0" xfId="0" applyAlignment="1">
      <alignment wrapText="1"/>
    </xf>
    <xf numFmtId="0" fontId="6" fillId="0" borderId="0" xfId="0" applyFont="1"/>
    <xf numFmtId="0" fontId="7" fillId="3" borderId="39" xfId="0" applyFont="1" applyFill="1" applyBorder="1"/>
    <xf numFmtId="0" fontId="7" fillId="3" borderId="38" xfId="0" applyFont="1" applyFill="1" applyBorder="1" applyAlignment="1">
      <alignment horizontal="center"/>
    </xf>
    <xf numFmtId="0" fontId="0" fillId="4" borderId="0" xfId="0" applyFill="1"/>
    <xf numFmtId="0" fontId="5" fillId="4" borderId="0" xfId="0" applyFont="1" applyFill="1"/>
    <xf numFmtId="0" fontId="6" fillId="4" borderId="0" xfId="0" applyFont="1" applyFill="1"/>
    <xf numFmtId="0" fontId="5" fillId="4" borderId="0" xfId="0" applyFont="1" applyFill="1" applyBorder="1" applyAlignment="1">
      <alignment vertical="center" wrapText="1"/>
    </xf>
    <xf numFmtId="0" fontId="10" fillId="4" borderId="0" xfId="0" applyFont="1" applyFill="1" applyBorder="1" applyAlignment="1">
      <alignment horizontal="center"/>
    </xf>
    <xf numFmtId="0" fontId="0" fillId="0" borderId="6"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0" fillId="0" borderId="10" xfId="0" applyBorder="1" applyAlignment="1">
      <alignment horizontal="center" vertical="center"/>
    </xf>
    <xf numFmtId="0" fontId="0" fillId="0" borderId="15" xfId="0" applyBorder="1" applyAlignment="1">
      <alignment horizontal="center" vertical="center"/>
    </xf>
    <xf numFmtId="177" fontId="0" fillId="6" borderId="54" xfId="0" applyNumberFormat="1" applyFill="1" applyBorder="1" applyAlignment="1">
      <alignment horizontal="center" vertical="center"/>
    </xf>
    <xf numFmtId="177" fontId="0" fillId="6" borderId="55" xfId="0" applyNumberFormat="1" applyFill="1" applyBorder="1" applyAlignment="1">
      <alignment horizontal="center" vertical="center"/>
    </xf>
    <xf numFmtId="0" fontId="9" fillId="2" borderId="25" xfId="0" applyFont="1" applyFill="1" applyBorder="1" applyAlignment="1">
      <alignment horizontal="center" vertical="center" wrapText="1"/>
    </xf>
    <xf numFmtId="0" fontId="9" fillId="2" borderId="51" xfId="0" applyFont="1" applyFill="1" applyBorder="1" applyAlignment="1">
      <alignment horizontal="center" vertical="center" wrapText="1"/>
    </xf>
    <xf numFmtId="0" fontId="9" fillId="2" borderId="27" xfId="0" applyFont="1" applyFill="1" applyBorder="1" applyAlignment="1">
      <alignment horizontal="center" vertical="center" wrapText="1"/>
    </xf>
    <xf numFmtId="0" fontId="9" fillId="7" borderId="25"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6" fillId="0" borderId="0" xfId="0" applyFont="1" applyAlignment="1">
      <alignment horizontal="center" vertical="center"/>
    </xf>
    <xf numFmtId="0" fontId="9"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4" borderId="0" xfId="0" applyFill="1" applyAlignment="1">
      <alignment vertical="center" wrapText="1"/>
    </xf>
    <xf numFmtId="0" fontId="0" fillId="4" borderId="0" xfId="0" applyFill="1" applyAlignment="1">
      <alignment horizontal="center" vertical="center"/>
    </xf>
    <xf numFmtId="0" fontId="12" fillId="4" borderId="0" xfId="0" applyFont="1" applyFill="1"/>
    <xf numFmtId="0" fontId="15" fillId="4" borderId="0" xfId="0" applyFont="1" applyFill="1"/>
    <xf numFmtId="0" fontId="9" fillId="9" borderId="39" xfId="0" applyFont="1" applyFill="1" applyBorder="1" applyAlignment="1">
      <alignment vertical="center" wrapText="1"/>
    </xf>
    <xf numFmtId="0" fontId="9" fillId="9" borderId="12" xfId="0" applyFont="1" applyFill="1" applyBorder="1" applyAlignment="1">
      <alignment vertical="center" wrapText="1"/>
    </xf>
    <xf numFmtId="0" fontId="0" fillId="4" borderId="0" xfId="0" applyFill="1" applyAlignment="1">
      <alignment horizontal="center" vertical="center" wrapText="1"/>
    </xf>
    <xf numFmtId="0" fontId="2" fillId="4" borderId="0" xfId="0" applyFont="1" applyFill="1"/>
    <xf numFmtId="0" fontId="2" fillId="0" borderId="0" xfId="0" applyFont="1"/>
    <xf numFmtId="0" fontId="0" fillId="3" borderId="6" xfId="0" applyFill="1" applyBorder="1" applyAlignment="1">
      <alignment horizontal="center" vertical="center"/>
    </xf>
    <xf numFmtId="0" fontId="9" fillId="7" borderId="22"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51" xfId="0" applyFont="1" applyFill="1" applyBorder="1" applyAlignment="1">
      <alignment horizontal="center" vertical="center" wrapText="1"/>
    </xf>
    <xf numFmtId="0" fontId="19" fillId="4" borderId="0" xfId="0" applyFont="1" applyFill="1"/>
    <xf numFmtId="0" fontId="0" fillId="4" borderId="0" xfId="0" applyFill="1" applyBorder="1"/>
    <xf numFmtId="0" fontId="0" fillId="4" borderId="0" xfId="0" applyFill="1" applyAlignment="1">
      <alignment horizont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4" fontId="0" fillId="0" borderId="6" xfId="0" applyNumberFormat="1" applyBorder="1"/>
    <xf numFmtId="4" fontId="0" fillId="0" borderId="6" xfId="0" applyNumberFormat="1" applyFill="1" applyBorder="1"/>
    <xf numFmtId="4" fontId="0" fillId="0" borderId="20" xfId="0" applyNumberFormat="1" applyBorder="1"/>
    <xf numFmtId="4" fontId="0" fillId="0" borderId="9" xfId="0" applyNumberFormat="1" applyBorder="1"/>
    <xf numFmtId="4" fontId="0" fillId="0" borderId="22" xfId="0" applyNumberFormat="1" applyBorder="1"/>
    <xf numFmtId="4" fontId="0" fillId="0" borderId="10" xfId="0" applyNumberFormat="1" applyBorder="1"/>
    <xf numFmtId="4" fontId="0" fillId="0" borderId="11" xfId="0" applyNumberFormat="1" applyBorder="1"/>
    <xf numFmtId="4" fontId="0" fillId="0" borderId="45" xfId="0" applyNumberFormat="1" applyBorder="1"/>
    <xf numFmtId="0" fontId="5" fillId="8" borderId="25" xfId="0" applyFont="1" applyFill="1" applyBorder="1" applyAlignment="1">
      <alignment horizontal="center" vertical="center" wrapText="1"/>
    </xf>
    <xf numFmtId="0" fontId="5" fillId="8" borderId="52" xfId="0" applyFont="1" applyFill="1" applyBorder="1" applyAlignment="1">
      <alignment horizontal="center" vertical="center" wrapText="1"/>
    </xf>
    <xf numFmtId="0" fontId="2" fillId="4" borderId="0" xfId="0" applyFont="1" applyFill="1" applyAlignment="1">
      <alignment horizontal="center"/>
    </xf>
    <xf numFmtId="0" fontId="24" fillId="3" borderId="6" xfId="0" applyFont="1" applyFill="1" applyBorder="1" applyAlignment="1">
      <alignment horizontal="center" vertical="center"/>
    </xf>
    <xf numFmtId="0" fontId="0" fillId="4" borderId="0" xfId="0" applyFill="1" applyAlignment="1"/>
    <xf numFmtId="0" fontId="2" fillId="4" borderId="0" xfId="0" applyFont="1" applyFill="1" applyAlignment="1">
      <alignment wrapText="1"/>
    </xf>
    <xf numFmtId="0" fontId="2" fillId="4" borderId="0" xfId="0" applyFont="1" applyFill="1" applyBorder="1" applyAlignment="1">
      <alignment vertical="center" wrapText="1"/>
    </xf>
    <xf numFmtId="0" fontId="0" fillId="11" borderId="0" xfId="0" applyFill="1"/>
    <xf numFmtId="0" fontId="2" fillId="4" borderId="0" xfId="0" applyFont="1" applyFill="1" applyAlignment="1"/>
    <xf numFmtId="0" fontId="2" fillId="0" borderId="0" xfId="0" quotePrefix="1" applyFont="1"/>
    <xf numFmtId="0" fontId="0" fillId="0" borderId="62" xfId="0" applyBorder="1"/>
    <xf numFmtId="0" fontId="0" fillId="0" borderId="0" xfId="0" applyBorder="1"/>
    <xf numFmtId="0" fontId="2" fillId="0" borderId="47" xfId="0" applyFont="1" applyBorder="1"/>
    <xf numFmtId="0" fontId="0" fillId="0" borderId="60" xfId="0" applyBorder="1"/>
    <xf numFmtId="0" fontId="0" fillId="0" borderId="50" xfId="0" applyBorder="1"/>
    <xf numFmtId="0" fontId="17" fillId="3" borderId="47" xfId="0" applyFont="1" applyFill="1" applyBorder="1" applyAlignment="1"/>
    <xf numFmtId="0" fontId="0" fillId="11" borderId="0" xfId="0" applyFill="1" applyBorder="1"/>
    <xf numFmtId="0" fontId="2" fillId="11" borderId="0" xfId="0" applyFont="1" applyFill="1" applyBorder="1"/>
    <xf numFmtId="0" fontId="0" fillId="11" borderId="0" xfId="0" applyFill="1" applyBorder="1" applyAlignment="1">
      <alignment horizontal="center" vertical="center"/>
    </xf>
    <xf numFmtId="0" fontId="11" fillId="11" borderId="0" xfId="0" applyFont="1" applyFill="1" applyBorder="1"/>
    <xf numFmtId="0" fontId="0" fillId="11" borderId="0" xfId="0" applyFill="1" applyBorder="1" applyAlignment="1"/>
    <xf numFmtId="0" fontId="2" fillId="11" borderId="0" xfId="0" applyFont="1" applyFill="1"/>
    <xf numFmtId="0" fontId="0" fillId="3" borderId="35" xfId="0" applyFill="1" applyBorder="1" applyAlignment="1"/>
    <xf numFmtId="0" fontId="0" fillId="11" borderId="0" xfId="0" applyFill="1" applyAlignment="1">
      <alignment wrapText="1"/>
    </xf>
    <xf numFmtId="0" fontId="0" fillId="3" borderId="18" xfId="0" applyFill="1" applyBorder="1"/>
    <xf numFmtId="0" fontId="0" fillId="3" borderId="8" xfId="0" applyFill="1" applyBorder="1"/>
    <xf numFmtId="0" fontId="0" fillId="3" borderId="20" xfId="0" applyFill="1" applyBorder="1"/>
    <xf numFmtId="0" fontId="0" fillId="3" borderId="9" xfId="0" applyFill="1" applyBorder="1"/>
    <xf numFmtId="0" fontId="0" fillId="3" borderId="22" xfId="0" applyFill="1" applyBorder="1"/>
    <xf numFmtId="0" fontId="0" fillId="3" borderId="11" xfId="0" applyFill="1" applyBorder="1"/>
    <xf numFmtId="0" fontId="2" fillId="0" borderId="0" xfId="0" applyFont="1" applyAlignment="1">
      <alignment horizontal="center" vertical="center"/>
    </xf>
    <xf numFmtId="0" fontId="5" fillId="3" borderId="18"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11" fillId="3" borderId="68" xfId="0" applyFont="1" applyFill="1" applyBorder="1" applyAlignment="1">
      <alignment horizontal="center" vertical="center"/>
    </xf>
    <xf numFmtId="0" fontId="11" fillId="3" borderId="7" xfId="0" applyFont="1" applyFill="1" applyBorder="1" applyAlignment="1">
      <alignment horizontal="center" vertical="center"/>
    </xf>
    <xf numFmtId="0" fontId="11" fillId="3" borderId="8" xfId="0" applyFont="1" applyFill="1" applyBorder="1" applyAlignment="1">
      <alignment horizontal="center" vertical="center"/>
    </xf>
    <xf numFmtId="0" fontId="11" fillId="3" borderId="20"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9" xfId="0" applyFont="1" applyFill="1" applyBorder="1" applyAlignment="1">
      <alignment horizontal="center" vertical="center"/>
    </xf>
    <xf numFmtId="0" fontId="11" fillId="3" borderId="31" xfId="0" applyFont="1" applyFill="1" applyBorder="1" applyAlignment="1">
      <alignment horizontal="center" vertical="center"/>
    </xf>
    <xf numFmtId="0" fontId="5" fillId="3" borderId="70" xfId="0" applyFont="1" applyFill="1" applyBorder="1" applyAlignment="1">
      <alignment horizontal="center" vertical="center" wrapText="1"/>
    </xf>
    <xf numFmtId="0" fontId="5" fillId="3" borderId="26" xfId="0" applyFont="1" applyFill="1" applyBorder="1" applyAlignment="1">
      <alignment horizontal="center" vertical="center" wrapText="1"/>
    </xf>
    <xf numFmtId="0" fontId="5" fillId="3" borderId="71" xfId="0" applyFont="1" applyFill="1" applyBorder="1" applyAlignment="1">
      <alignment horizontal="center" vertical="center" wrapText="1"/>
    </xf>
    <xf numFmtId="0" fontId="5" fillId="3" borderId="20" xfId="0" applyFont="1" applyFill="1" applyBorder="1" applyAlignment="1">
      <alignment horizontal="center" vertical="center"/>
    </xf>
    <xf numFmtId="0" fontId="5" fillId="3" borderId="9" xfId="0" applyFont="1" applyFill="1" applyBorder="1" applyAlignment="1">
      <alignment horizontal="center" vertical="center"/>
    </xf>
    <xf numFmtId="0" fontId="19" fillId="11" borderId="0" xfId="0" applyFont="1" applyFill="1" applyBorder="1" applyAlignment="1">
      <alignment horizontal="left" wrapText="1"/>
    </xf>
    <xf numFmtId="0" fontId="5" fillId="3" borderId="6"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0" fillId="3" borderId="53" xfId="0" applyFill="1" applyBorder="1"/>
    <xf numFmtId="0" fontId="0" fillId="3" borderId="45" xfId="0" applyFill="1" applyBorder="1"/>
    <xf numFmtId="0" fontId="0" fillId="3" borderId="57" xfId="0" applyFill="1" applyBorder="1"/>
    <xf numFmtId="0" fontId="0" fillId="3" borderId="67" xfId="0" applyFill="1" applyBorder="1"/>
    <xf numFmtId="0" fontId="0" fillId="3" borderId="24" xfId="0" applyFill="1" applyBorder="1"/>
    <xf numFmtId="0" fontId="5" fillId="8" borderId="72" xfId="0" applyFont="1" applyFill="1" applyBorder="1" applyAlignment="1">
      <alignment horizontal="center" vertical="center" wrapText="1"/>
    </xf>
    <xf numFmtId="0" fontId="2" fillId="3" borderId="3" xfId="0" applyFont="1" applyFill="1" applyBorder="1"/>
    <xf numFmtId="0" fontId="5" fillId="3" borderId="0" xfId="0" applyFont="1" applyFill="1" applyBorder="1"/>
    <xf numFmtId="0" fontId="9" fillId="3" borderId="25" xfId="0" applyFont="1" applyFill="1" applyBorder="1" applyAlignment="1">
      <alignment horizontal="center" vertical="center" wrapText="1"/>
    </xf>
    <xf numFmtId="0" fontId="9" fillId="3" borderId="51" xfId="0" applyFont="1" applyFill="1" applyBorder="1" applyAlignment="1">
      <alignment horizontal="center" wrapText="1"/>
    </xf>
    <xf numFmtId="0" fontId="9" fillId="3" borderId="51" xfId="0" applyFont="1" applyFill="1" applyBorder="1" applyAlignment="1">
      <alignment horizontal="center" vertical="center" wrapText="1"/>
    </xf>
    <xf numFmtId="0" fontId="9" fillId="3" borderId="52" xfId="0" applyFont="1" applyFill="1" applyBorder="1" applyAlignment="1">
      <alignment horizontal="center" vertical="center" wrapText="1"/>
    </xf>
    <xf numFmtId="0" fontId="27" fillId="3" borderId="51" xfId="0" applyFont="1" applyFill="1" applyBorder="1" applyAlignment="1">
      <alignment horizontal="center" vertical="center" wrapText="1"/>
    </xf>
    <xf numFmtId="0" fontId="18" fillId="8" borderId="1" xfId="0" applyFont="1" applyFill="1" applyBorder="1"/>
    <xf numFmtId="0" fontId="2" fillId="8" borderId="2" xfId="0" applyFont="1" applyFill="1" applyBorder="1" applyAlignment="1">
      <alignment horizontal="center"/>
    </xf>
    <xf numFmtId="0" fontId="0" fillId="8" borderId="2" xfId="0" applyFill="1" applyBorder="1"/>
    <xf numFmtId="0" fontId="0" fillId="8" borderId="41" xfId="0" applyFill="1" applyBorder="1"/>
    <xf numFmtId="0" fontId="5" fillId="8" borderId="2" xfId="0" applyFont="1" applyFill="1" applyBorder="1"/>
    <xf numFmtId="0" fontId="0" fillId="8" borderId="2" xfId="0" applyFill="1" applyBorder="1" applyAlignment="1"/>
    <xf numFmtId="0" fontId="9" fillId="2" borderId="72" xfId="0" applyFont="1" applyFill="1" applyBorder="1" applyAlignment="1">
      <alignment horizontal="center" vertical="center" wrapText="1"/>
    </xf>
    <xf numFmtId="0" fontId="5" fillId="3" borderId="6" xfId="0" applyFont="1" applyFill="1" applyBorder="1" applyAlignment="1">
      <alignment vertical="center"/>
    </xf>
    <xf numFmtId="0" fontId="0" fillId="13" borderId="6" xfId="0" applyFill="1" applyBorder="1"/>
    <xf numFmtId="177" fontId="0" fillId="4" borderId="0" xfId="0" applyNumberFormat="1" applyFill="1"/>
    <xf numFmtId="0" fontId="9" fillId="7" borderId="56" xfId="0" applyFont="1" applyFill="1" applyBorder="1" applyAlignment="1">
      <alignment horizontal="center" vertical="center" wrapText="1"/>
    </xf>
    <xf numFmtId="0" fontId="9" fillId="7" borderId="63" xfId="0" applyFont="1" applyFill="1" applyBorder="1" applyAlignment="1">
      <alignment horizontal="center" vertical="center" wrapText="1"/>
    </xf>
    <xf numFmtId="0" fontId="9" fillId="7" borderId="64" xfId="0" applyFont="1" applyFill="1" applyBorder="1" applyAlignment="1">
      <alignment horizontal="center" vertical="center" wrapText="1"/>
    </xf>
    <xf numFmtId="0" fontId="9" fillId="7" borderId="51" xfId="0" applyFont="1" applyFill="1" applyBorder="1" applyAlignment="1">
      <alignment horizontal="center" vertical="center" wrapText="1"/>
    </xf>
    <xf numFmtId="0" fontId="9" fillId="7" borderId="52" xfId="0" applyFont="1" applyFill="1" applyBorder="1" applyAlignment="1">
      <alignment horizontal="center" vertical="center" wrapText="1"/>
    </xf>
    <xf numFmtId="0" fontId="28" fillId="14" borderId="0" xfId="0" applyFont="1" applyFill="1"/>
    <xf numFmtId="4" fontId="0" fillId="0" borderId="57" xfId="0" applyNumberFormat="1" applyBorder="1"/>
    <xf numFmtId="4" fontId="0" fillId="0" borderId="67" xfId="0" applyNumberFormat="1" applyBorder="1"/>
    <xf numFmtId="4" fontId="0" fillId="0" borderId="24" xfId="0" applyNumberFormat="1" applyBorder="1"/>
    <xf numFmtId="0" fontId="11" fillId="10" borderId="25" xfId="0" applyFont="1" applyFill="1" applyBorder="1" applyAlignment="1">
      <alignment horizontal="center" vertical="center" wrapText="1"/>
    </xf>
    <xf numFmtId="0" fontId="11" fillId="10" borderId="51" xfId="0" applyFont="1" applyFill="1" applyBorder="1" applyAlignment="1">
      <alignment horizontal="center" vertical="center" wrapText="1"/>
    </xf>
    <xf numFmtId="0" fontId="11" fillId="10" borderId="52" xfId="0" applyFont="1" applyFill="1" applyBorder="1" applyAlignment="1">
      <alignment horizontal="center" vertical="center" wrapText="1"/>
    </xf>
    <xf numFmtId="4" fontId="0" fillId="0" borderId="36" xfId="0" applyNumberFormat="1" applyBorder="1"/>
    <xf numFmtId="4" fontId="0" fillId="0" borderId="30" xfId="0" applyNumberFormat="1" applyBorder="1"/>
    <xf numFmtId="4" fontId="0" fillId="0" borderId="73" xfId="0" applyNumberFormat="1" applyBorder="1"/>
    <xf numFmtId="4" fontId="0" fillId="0" borderId="18" xfId="0" applyNumberFormat="1" applyBorder="1"/>
    <xf numFmtId="4" fontId="0" fillId="0" borderId="7" xfId="0" applyNumberFormat="1" applyFill="1" applyBorder="1"/>
    <xf numFmtId="4" fontId="0" fillId="0" borderId="7" xfId="0" applyNumberFormat="1" applyBorder="1"/>
    <xf numFmtId="4" fontId="0" fillId="0" borderId="8" xfId="0" applyNumberFormat="1" applyBorder="1"/>
    <xf numFmtId="0" fontId="2" fillId="11" borderId="0" xfId="0" applyFont="1" applyFill="1" applyAlignment="1">
      <alignment vertical="center"/>
    </xf>
    <xf numFmtId="0" fontId="1" fillId="0" borderId="0" xfId="0" applyFont="1" applyBorder="1" applyAlignment="1">
      <alignment horizontal="center" vertical="center"/>
    </xf>
    <xf numFmtId="0" fontId="9" fillId="2" borderId="39"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2" borderId="38" xfId="0" applyFont="1" applyFill="1" applyBorder="1" applyAlignment="1">
      <alignment horizontal="center" vertical="center" wrapText="1"/>
    </xf>
    <xf numFmtId="0" fontId="0" fillId="0" borderId="61" xfId="0" applyBorder="1"/>
    <xf numFmtId="0" fontId="0" fillId="0" borderId="47" xfId="0" applyBorder="1"/>
    <xf numFmtId="0" fontId="0" fillId="0" borderId="57" xfId="0" applyBorder="1"/>
    <xf numFmtId="0" fontId="0" fillId="0" borderId="36" xfId="0" applyBorder="1"/>
    <xf numFmtId="0" fontId="0" fillId="0" borderId="14" xfId="0" applyBorder="1"/>
    <xf numFmtId="0" fontId="18" fillId="0" borderId="61" xfId="0" applyFont="1" applyBorder="1"/>
    <xf numFmtId="0" fontId="18" fillId="0" borderId="6" xfId="0" applyFont="1" applyBorder="1"/>
    <xf numFmtId="0" fontId="2" fillId="0" borderId="61" xfId="0" applyFont="1" applyBorder="1"/>
    <xf numFmtId="0" fontId="18" fillId="0" borderId="0" xfId="0" applyFont="1"/>
    <xf numFmtId="0" fontId="2" fillId="3" borderId="65" xfId="0" applyFont="1" applyFill="1" applyBorder="1"/>
    <xf numFmtId="0" fontId="2" fillId="3" borderId="60" xfId="0" applyFont="1" applyFill="1" applyBorder="1" applyAlignment="1">
      <alignment horizontal="center"/>
    </xf>
    <xf numFmtId="0" fontId="0" fillId="3" borderId="60" xfId="0" applyFill="1" applyBorder="1"/>
    <xf numFmtId="0" fontId="0" fillId="3" borderId="0" xfId="0" applyFill="1" applyBorder="1"/>
    <xf numFmtId="0" fontId="0" fillId="3" borderId="4" xfId="0" applyFill="1" applyBorder="1"/>
    <xf numFmtId="0" fontId="0" fillId="3" borderId="5" xfId="0" applyFill="1" applyBorder="1"/>
    <xf numFmtId="0" fontId="0" fillId="3" borderId="40" xfId="0" applyFill="1" applyBorder="1"/>
    <xf numFmtId="0" fontId="2" fillId="3" borderId="34" xfId="0" applyFont="1" applyFill="1" applyBorder="1" applyAlignment="1">
      <alignment wrapText="1"/>
    </xf>
    <xf numFmtId="0" fontId="2" fillId="3" borderId="55" xfId="0" applyFont="1" applyFill="1" applyBorder="1" applyAlignment="1">
      <alignment vertical="center" wrapText="1"/>
    </xf>
    <xf numFmtId="0" fontId="2" fillId="3" borderId="34" xfId="0" applyFont="1" applyFill="1" applyBorder="1" applyAlignment="1">
      <alignment vertical="center"/>
    </xf>
    <xf numFmtId="0" fontId="18" fillId="8" borderId="46" xfId="0" applyFont="1" applyFill="1" applyBorder="1"/>
    <xf numFmtId="0" fontId="0" fillId="3" borderId="2" xfId="0" applyFill="1" applyBorder="1"/>
    <xf numFmtId="0" fontId="0" fillId="0" borderId="6" xfId="0" applyBorder="1"/>
    <xf numFmtId="0" fontId="0" fillId="0" borderId="9" xfId="0" applyBorder="1"/>
    <xf numFmtId="0" fontId="18" fillId="3" borderId="3" xfId="0" applyFont="1" applyFill="1" applyBorder="1" applyAlignment="1">
      <alignment horizontal="center"/>
    </xf>
    <xf numFmtId="0" fontId="18" fillId="3" borderId="50" xfId="0" applyFont="1" applyFill="1" applyBorder="1" applyAlignment="1">
      <alignment horizontal="center"/>
    </xf>
    <xf numFmtId="0" fontId="2" fillId="3" borderId="47" xfId="0" applyFont="1" applyFill="1" applyBorder="1"/>
    <xf numFmtId="0" fontId="18" fillId="3" borderId="47" xfId="0" applyFont="1" applyFill="1" applyBorder="1" applyAlignment="1">
      <alignment horizontal="center"/>
    </xf>
    <xf numFmtId="0" fontId="18" fillId="3" borderId="35" xfId="0" applyFont="1" applyFill="1" applyBorder="1" applyAlignment="1">
      <alignment horizontal="center"/>
    </xf>
    <xf numFmtId="0" fontId="18" fillId="3" borderId="3" xfId="0" applyFont="1" applyFill="1" applyBorder="1"/>
    <xf numFmtId="0" fontId="2" fillId="3" borderId="0" xfId="0" applyFont="1" applyFill="1" applyBorder="1"/>
    <xf numFmtId="0" fontId="2" fillId="3" borderId="35" xfId="0" applyFont="1" applyFill="1" applyBorder="1"/>
    <xf numFmtId="0" fontId="2" fillId="3" borderId="55" xfId="0" applyFont="1" applyFill="1" applyBorder="1" applyAlignment="1">
      <alignment horizontal="left" vertical="center" wrapText="1"/>
    </xf>
    <xf numFmtId="0" fontId="0" fillId="3" borderId="37" xfId="0" applyFill="1" applyBorder="1" applyAlignment="1">
      <alignment horizontal="center" vertical="center"/>
    </xf>
    <xf numFmtId="0" fontId="2" fillId="3" borderId="34" xfId="0" applyFont="1" applyFill="1" applyBorder="1" applyAlignment="1">
      <alignment horizontal="left" vertical="center" wrapText="1"/>
    </xf>
    <xf numFmtId="0" fontId="0" fillId="3" borderId="43" xfId="0" applyFill="1" applyBorder="1" applyAlignment="1">
      <alignment horizontal="center" vertical="center"/>
    </xf>
    <xf numFmtId="0" fontId="2" fillId="3" borderId="6" xfId="0" applyFont="1" applyFill="1" applyBorder="1" applyAlignment="1">
      <alignment horizontal="center" vertical="center"/>
    </xf>
    <xf numFmtId="0" fontId="18" fillId="8" borderId="1" xfId="0" applyFont="1" applyFill="1" applyBorder="1" applyAlignment="1">
      <alignment vertical="center"/>
    </xf>
    <xf numFmtId="0" fontId="0" fillId="3" borderId="36" xfId="0" applyFill="1" applyBorder="1"/>
    <xf numFmtId="0" fontId="0" fillId="3" borderId="2" xfId="0" applyFill="1" applyBorder="1" applyAlignment="1">
      <alignment vertical="center"/>
    </xf>
    <xf numFmtId="0" fontId="0" fillId="0" borderId="67" xfId="0" applyBorder="1"/>
    <xf numFmtId="0" fontId="0" fillId="0" borderId="30" xfId="0" applyBorder="1"/>
    <xf numFmtId="0" fontId="0" fillId="0" borderId="21" xfId="0" applyBorder="1"/>
    <xf numFmtId="0" fontId="2" fillId="3" borderId="20" xfId="0" applyFont="1" applyFill="1" applyBorder="1" applyAlignment="1">
      <alignment vertical="center"/>
    </xf>
    <xf numFmtId="14" fontId="0" fillId="0" borderId="6" xfId="0" applyNumberFormat="1" applyBorder="1"/>
    <xf numFmtId="0" fontId="0" fillId="0" borderId="18" xfId="0" applyBorder="1"/>
    <xf numFmtId="0" fontId="0" fillId="0" borderId="7" xfId="0" applyBorder="1"/>
    <xf numFmtId="0" fontId="0" fillId="0" borderId="8" xfId="0" applyBorder="1"/>
    <xf numFmtId="0" fontId="0" fillId="0" borderId="20" xfId="0" applyBorder="1"/>
    <xf numFmtId="14" fontId="0" fillId="0" borderId="20" xfId="0" applyNumberFormat="1" applyBorder="1"/>
    <xf numFmtId="14" fontId="0" fillId="0" borderId="9" xfId="0" applyNumberFormat="1" applyBorder="1"/>
    <xf numFmtId="14" fontId="0" fillId="0" borderId="22" xfId="0" applyNumberFormat="1" applyBorder="1"/>
    <xf numFmtId="14" fontId="0" fillId="0" borderId="10" xfId="0" applyNumberFormat="1" applyBorder="1"/>
    <xf numFmtId="14" fontId="0" fillId="0" borderId="11" xfId="0" applyNumberFormat="1" applyBorder="1"/>
    <xf numFmtId="0" fontId="18" fillId="0" borderId="60" xfId="0" applyFont="1" applyBorder="1"/>
    <xf numFmtId="0" fontId="29" fillId="0" borderId="0" xfId="0" applyFont="1"/>
    <xf numFmtId="0" fontId="2" fillId="0" borderId="0" xfId="0" applyFont="1" applyAlignment="1">
      <alignment horizontal="right"/>
    </xf>
    <xf numFmtId="0" fontId="5" fillId="3" borderId="75" xfId="0" applyFont="1" applyFill="1" applyBorder="1" applyAlignment="1">
      <alignment horizontal="center" vertical="center"/>
    </xf>
    <xf numFmtId="0" fontId="5" fillId="3" borderId="59" xfId="0" applyFont="1" applyFill="1" applyBorder="1" applyAlignment="1">
      <alignment horizontal="center" vertical="center"/>
    </xf>
    <xf numFmtId="0" fontId="2" fillId="3" borderId="0" xfId="0" quotePrefix="1" applyFont="1" applyFill="1" applyBorder="1" applyAlignment="1">
      <alignment horizontal="center" vertical="center"/>
    </xf>
    <xf numFmtId="0" fontId="8" fillId="11" borderId="0" xfId="0" applyFont="1" applyFill="1"/>
    <xf numFmtId="0" fontId="0" fillId="3" borderId="0" xfId="0" applyFill="1"/>
    <xf numFmtId="0" fontId="0" fillId="3" borderId="0" xfId="0" applyFill="1" applyAlignment="1">
      <alignment wrapText="1"/>
    </xf>
    <xf numFmtId="0" fontId="32" fillId="3" borderId="0" xfId="0" applyFont="1" applyFill="1"/>
    <xf numFmtId="0" fontId="6" fillId="3" borderId="0" xfId="0" applyFont="1" applyFill="1"/>
    <xf numFmtId="0" fontId="33" fillId="3" borderId="0" xfId="0" applyFont="1" applyFill="1"/>
    <xf numFmtId="0" fontId="6" fillId="3" borderId="0" xfId="0" applyFont="1" applyFill="1" applyAlignment="1">
      <alignment wrapText="1"/>
    </xf>
    <xf numFmtId="0" fontId="2" fillId="3" borderId="6" xfId="0" applyFont="1" applyFill="1" applyBorder="1" applyAlignment="1">
      <alignment vertical="center" wrapText="1"/>
    </xf>
    <xf numFmtId="0" fontId="2" fillId="3" borderId="21" xfId="0" applyFont="1" applyFill="1" applyBorder="1" applyAlignment="1">
      <alignment vertical="center"/>
    </xf>
    <xf numFmtId="0" fontId="2" fillId="3" borderId="1" xfId="0" applyFont="1" applyFill="1" applyBorder="1" applyAlignment="1">
      <alignment vertical="center"/>
    </xf>
    <xf numFmtId="0" fontId="0" fillId="3" borderId="16" xfId="0" applyFill="1" applyBorder="1" applyAlignment="1">
      <alignment vertical="center" wrapText="1"/>
    </xf>
    <xf numFmtId="0" fontId="2" fillId="3" borderId="58" xfId="0" applyFont="1" applyFill="1" applyBorder="1" applyAlignment="1">
      <alignment vertical="center" wrapText="1"/>
    </xf>
    <xf numFmtId="0" fontId="2" fillId="3" borderId="59" xfId="0" applyFont="1" applyFill="1" applyBorder="1" applyAlignment="1">
      <alignment vertical="center" wrapText="1"/>
    </xf>
    <xf numFmtId="0" fontId="0" fillId="3" borderId="34" xfId="0" applyFill="1" applyBorder="1" applyAlignment="1">
      <alignment vertical="center"/>
    </xf>
    <xf numFmtId="0" fontId="0" fillId="3" borderId="30" xfId="0" applyFill="1" applyBorder="1" applyAlignment="1">
      <alignment vertical="center"/>
    </xf>
    <xf numFmtId="0" fontId="2" fillId="3" borderId="9" xfId="0" applyFont="1" applyFill="1" applyBorder="1" applyAlignment="1">
      <alignment vertical="center" wrapText="1"/>
    </xf>
    <xf numFmtId="0" fontId="2" fillId="3" borderId="26" xfId="0" applyFont="1" applyFill="1" applyBorder="1" applyAlignment="1">
      <alignment vertical="center" wrapText="1"/>
    </xf>
    <xf numFmtId="0" fontId="0" fillId="3" borderId="50" xfId="0" applyFill="1" applyBorder="1" applyAlignment="1">
      <alignment vertical="center"/>
    </xf>
    <xf numFmtId="0" fontId="0" fillId="3" borderId="26" xfId="0" applyFill="1" applyBorder="1" applyAlignment="1">
      <alignment vertical="center" wrapText="1"/>
    </xf>
    <xf numFmtId="0" fontId="2" fillId="3" borderId="14" xfId="0" applyFont="1" applyFill="1" applyBorder="1" applyAlignment="1">
      <alignment vertical="center"/>
    </xf>
    <xf numFmtId="0" fontId="2" fillId="3" borderId="15" xfId="0" applyFont="1" applyFill="1" applyBorder="1" applyAlignment="1">
      <alignment vertical="center" wrapText="1"/>
    </xf>
    <xf numFmtId="0" fontId="2" fillId="3" borderId="19" xfId="0" applyFont="1" applyFill="1" applyBorder="1" applyAlignment="1">
      <alignment vertical="center"/>
    </xf>
    <xf numFmtId="0" fontId="2" fillId="3" borderId="7" xfId="0" applyFont="1" applyFill="1" applyBorder="1" applyAlignment="1">
      <alignment vertical="center" wrapText="1"/>
    </xf>
    <xf numFmtId="0" fontId="0" fillId="3" borderId="21" xfId="0" applyFill="1" applyBorder="1" applyAlignment="1">
      <alignment vertical="center"/>
    </xf>
    <xf numFmtId="0" fontId="2" fillId="3" borderId="72" xfId="0" applyFont="1" applyFill="1" applyBorder="1" applyAlignment="1">
      <alignment vertical="center"/>
    </xf>
    <xf numFmtId="0" fontId="2" fillId="3" borderId="51" xfId="0" applyFont="1" applyFill="1" applyBorder="1" applyAlignment="1">
      <alignment vertical="center" wrapText="1"/>
    </xf>
    <xf numFmtId="0" fontId="0" fillId="3" borderId="72" xfId="0" applyFill="1" applyBorder="1" applyAlignment="1">
      <alignment vertical="center"/>
    </xf>
    <xf numFmtId="0" fontId="0" fillId="3" borderId="51" xfId="0" applyFill="1" applyBorder="1" applyAlignment="1">
      <alignment vertical="center" wrapText="1"/>
    </xf>
    <xf numFmtId="0" fontId="2" fillId="3" borderId="52" xfId="0" applyFont="1" applyFill="1" applyBorder="1" applyAlignment="1">
      <alignment vertical="center" wrapText="1"/>
    </xf>
    <xf numFmtId="0" fontId="0" fillId="3" borderId="52" xfId="0" applyFill="1" applyBorder="1" applyAlignment="1">
      <alignment vertical="center" wrapText="1"/>
    </xf>
    <xf numFmtId="0" fontId="2" fillId="3" borderId="8" xfId="0" applyFont="1" applyFill="1" applyBorder="1" applyAlignment="1">
      <alignment vertical="center" wrapText="1"/>
    </xf>
    <xf numFmtId="0" fontId="2" fillId="3" borderId="45" xfId="0" applyFont="1" applyFill="1" applyBorder="1" applyAlignment="1">
      <alignment vertical="center" wrapText="1"/>
    </xf>
    <xf numFmtId="0" fontId="2" fillId="3" borderId="71" xfId="0" applyFont="1" applyFill="1" applyBorder="1" applyAlignment="1">
      <alignment vertical="center" wrapText="1"/>
    </xf>
    <xf numFmtId="0" fontId="6" fillId="3" borderId="76" xfId="0" applyFont="1" applyFill="1" applyBorder="1" applyAlignment="1">
      <alignment vertical="center"/>
    </xf>
    <xf numFmtId="0" fontId="6" fillId="3" borderId="16" xfId="0" applyFont="1" applyFill="1" applyBorder="1" applyAlignment="1">
      <alignment vertical="center" wrapText="1"/>
    </xf>
    <xf numFmtId="0" fontId="0" fillId="3" borderId="55" xfId="0" applyFill="1" applyBorder="1" applyAlignment="1">
      <alignment vertical="center"/>
    </xf>
    <xf numFmtId="0" fontId="0" fillId="3" borderId="36" xfId="0" applyFill="1" applyBorder="1" applyAlignment="1">
      <alignment vertical="center"/>
    </xf>
    <xf numFmtId="0" fontId="0" fillId="3" borderId="14" xfId="0" applyFill="1" applyBorder="1" applyAlignment="1">
      <alignment vertical="center"/>
    </xf>
    <xf numFmtId="0" fontId="6" fillId="3" borderId="15" xfId="0" applyFont="1" applyFill="1" applyBorder="1" applyAlignment="1">
      <alignment vertical="center" wrapText="1"/>
    </xf>
    <xf numFmtId="0" fontId="0" fillId="3" borderId="3" xfId="0" applyFill="1" applyBorder="1" applyAlignment="1">
      <alignment vertical="center"/>
    </xf>
    <xf numFmtId="0" fontId="0" fillId="3" borderId="0" xfId="0" applyFill="1" applyBorder="1" applyAlignment="1">
      <alignment vertical="center"/>
    </xf>
    <xf numFmtId="0" fontId="23" fillId="3" borderId="71" xfId="0" applyFont="1" applyFill="1" applyBorder="1" applyAlignment="1">
      <alignment vertical="center" wrapText="1"/>
    </xf>
    <xf numFmtId="0" fontId="2" fillId="3" borderId="4" xfId="0" applyFont="1" applyFill="1" applyBorder="1" applyAlignment="1">
      <alignment vertical="center"/>
    </xf>
    <xf numFmtId="0" fontId="0" fillId="3" borderId="5" xfId="0" applyFill="1" applyBorder="1" applyAlignment="1">
      <alignment vertical="center"/>
    </xf>
    <xf numFmtId="0" fontId="0" fillId="3" borderId="77" xfId="0" applyFill="1" applyBorder="1" applyAlignment="1">
      <alignment vertical="center"/>
    </xf>
    <xf numFmtId="0" fontId="0" fillId="3" borderId="63" xfId="0" applyFill="1" applyBorder="1" applyAlignment="1">
      <alignment vertical="center" wrapText="1"/>
    </xf>
    <xf numFmtId="0" fontId="0" fillId="3" borderId="4" xfId="0" applyFill="1" applyBorder="1" applyAlignment="1">
      <alignment vertical="center"/>
    </xf>
    <xf numFmtId="0" fontId="2" fillId="3" borderId="77" xfId="0" applyFont="1" applyFill="1" applyBorder="1" applyAlignment="1">
      <alignment vertical="center"/>
    </xf>
    <xf numFmtId="0" fontId="2" fillId="3" borderId="63" xfId="0" applyFont="1" applyFill="1" applyBorder="1" applyAlignment="1">
      <alignment vertical="center" wrapText="1"/>
    </xf>
    <xf numFmtId="0" fontId="2" fillId="3" borderId="64" xfId="0" applyFont="1" applyFill="1" applyBorder="1" applyAlignment="1">
      <alignment vertical="center" wrapText="1"/>
    </xf>
    <xf numFmtId="0" fontId="0" fillId="3" borderId="29" xfId="0" applyFill="1" applyBorder="1" applyAlignment="1">
      <alignment vertical="center"/>
    </xf>
    <xf numFmtId="0" fontId="0" fillId="3" borderId="39" xfId="0" applyFill="1" applyBorder="1" applyAlignment="1">
      <alignment vertical="center"/>
    </xf>
    <xf numFmtId="0" fontId="0" fillId="3" borderId="12" xfId="0" applyFill="1" applyBorder="1" applyAlignment="1">
      <alignment vertical="center"/>
    </xf>
    <xf numFmtId="0" fontId="0" fillId="3" borderId="6" xfId="0" applyFill="1" applyBorder="1" applyAlignment="1">
      <alignment vertical="center"/>
    </xf>
    <xf numFmtId="0" fontId="6" fillId="3" borderId="6" xfId="0" applyFont="1" applyFill="1" applyBorder="1" applyAlignment="1">
      <alignment vertical="center" wrapText="1"/>
    </xf>
    <xf numFmtId="0" fontId="6" fillId="3" borderId="9" xfId="0" applyFont="1" applyFill="1" applyBorder="1" applyAlignment="1">
      <alignment vertical="center" wrapText="1"/>
    </xf>
    <xf numFmtId="0" fontId="10" fillId="3" borderId="53" xfId="0" applyFont="1" applyFill="1" applyBorder="1" applyAlignment="1" applyProtection="1">
      <alignment horizontal="center" vertical="center"/>
      <protection locked="0"/>
    </xf>
    <xf numFmtId="0" fontId="10" fillId="3" borderId="15" xfId="0" applyFont="1" applyFill="1" applyBorder="1" applyAlignment="1" applyProtection="1">
      <alignment horizontal="center" vertical="center"/>
      <protection locked="0"/>
    </xf>
    <xf numFmtId="0" fontId="10" fillId="3" borderId="15" xfId="0" applyFont="1" applyFill="1" applyBorder="1" applyAlignment="1" applyProtection="1">
      <alignment vertical="center" wrapText="1"/>
      <protection locked="0"/>
    </xf>
    <xf numFmtId="0" fontId="10" fillId="3" borderId="20" xfId="0" applyFont="1" applyFill="1" applyBorder="1" applyAlignment="1" applyProtection="1">
      <alignment horizontal="center" vertical="center"/>
      <protection locked="0"/>
    </xf>
    <xf numFmtId="0" fontId="10" fillId="3" borderId="6" xfId="0" applyFont="1" applyFill="1" applyBorder="1" applyAlignment="1" applyProtection="1">
      <alignment horizontal="center" vertical="center"/>
      <protection locked="0"/>
    </xf>
    <xf numFmtId="0" fontId="10" fillId="3" borderId="6" xfId="0" applyFont="1" applyFill="1" applyBorder="1" applyAlignment="1" applyProtection="1">
      <alignment vertical="center" wrapText="1"/>
      <protection locked="0"/>
    </xf>
    <xf numFmtId="0" fontId="10" fillId="3" borderId="22" xfId="0" applyFont="1" applyFill="1" applyBorder="1" applyAlignment="1" applyProtection="1">
      <alignment horizontal="center" vertical="center"/>
      <protection locked="0"/>
    </xf>
    <xf numFmtId="0" fontId="10" fillId="3" borderId="10" xfId="0" applyFont="1" applyFill="1" applyBorder="1" applyAlignment="1" applyProtection="1">
      <alignment horizontal="center" vertical="center"/>
      <protection locked="0"/>
    </xf>
    <xf numFmtId="0" fontId="10" fillId="3" borderId="10" xfId="0" applyFont="1" applyFill="1" applyBorder="1" applyAlignment="1" applyProtection="1">
      <alignment vertical="center" wrapText="1"/>
      <protection locked="0"/>
    </xf>
    <xf numFmtId="178" fontId="20" fillId="0" borderId="53" xfId="0" applyNumberFormat="1" applyFont="1" applyBorder="1" applyAlignment="1" applyProtection="1">
      <alignment horizontal="center" vertical="center"/>
      <protection locked="0"/>
    </xf>
    <xf numFmtId="178" fontId="20" fillId="0" borderId="15" xfId="0" applyNumberFormat="1" applyFont="1" applyBorder="1" applyAlignment="1" applyProtection="1">
      <alignment horizontal="center" vertical="center"/>
      <protection locked="0"/>
    </xf>
    <xf numFmtId="178" fontId="20" fillId="0" borderId="45" xfId="0" applyNumberFormat="1" applyFont="1" applyBorder="1" applyAlignment="1" applyProtection="1">
      <alignment horizontal="center" vertical="center"/>
      <protection locked="0"/>
    </xf>
    <xf numFmtId="178" fontId="20" fillId="0" borderId="20" xfId="0" applyNumberFormat="1" applyFont="1" applyBorder="1" applyAlignment="1" applyProtection="1">
      <alignment horizontal="center" vertical="center"/>
      <protection locked="0"/>
    </xf>
    <xf numFmtId="178" fontId="20" fillId="0" borderId="6" xfId="0" applyNumberFormat="1" applyFont="1" applyBorder="1" applyAlignment="1" applyProtection="1">
      <alignment horizontal="center" vertical="center"/>
      <protection locked="0"/>
    </xf>
    <xf numFmtId="178" fontId="20" fillId="0" borderId="9" xfId="0" applyNumberFormat="1" applyFont="1" applyBorder="1" applyAlignment="1" applyProtection="1">
      <alignment horizontal="center" vertical="center"/>
      <protection locked="0"/>
    </xf>
    <xf numFmtId="178" fontId="20" fillId="0" borderId="22" xfId="0" applyNumberFormat="1" applyFont="1" applyBorder="1" applyAlignment="1" applyProtection="1">
      <alignment horizontal="center" vertical="center"/>
      <protection locked="0"/>
    </xf>
    <xf numFmtId="178" fontId="20" fillId="0" borderId="10" xfId="0" applyNumberFormat="1" applyFont="1" applyBorder="1" applyAlignment="1" applyProtection="1">
      <alignment horizontal="center" vertical="center"/>
      <protection locked="0"/>
    </xf>
    <xf numFmtId="178" fontId="20" fillId="0" borderId="11" xfId="0" applyNumberFormat="1" applyFont="1" applyBorder="1" applyAlignment="1" applyProtection="1">
      <alignment horizontal="center" vertical="center"/>
      <protection locked="0"/>
    </xf>
    <xf numFmtId="0" fontId="0" fillId="11" borderId="0" xfId="0" applyFill="1" applyProtection="1">
      <protection locked="0"/>
    </xf>
    <xf numFmtId="0" fontId="0" fillId="3" borderId="21" xfId="0" applyFill="1" applyBorder="1" applyAlignment="1" applyProtection="1">
      <alignment horizontal="left" vertical="center"/>
      <protection locked="0"/>
    </xf>
    <xf numFmtId="0" fontId="11" fillId="3" borderId="6" xfId="0" applyFont="1" applyFill="1" applyBorder="1" applyAlignment="1" applyProtection="1">
      <alignment horizontal="center" vertical="center"/>
      <protection locked="0"/>
    </xf>
    <xf numFmtId="0" fontId="11" fillId="3" borderId="15" xfId="0" applyFont="1" applyFill="1" applyBorder="1" applyAlignment="1" applyProtection="1">
      <alignment horizontal="center" vertical="center"/>
      <protection locked="0"/>
    </xf>
    <xf numFmtId="0" fontId="11" fillId="3" borderId="6" xfId="0" applyFont="1" applyFill="1" applyBorder="1" applyAlignment="1" applyProtection="1">
      <alignment vertical="center"/>
      <protection locked="0"/>
    </xf>
    <xf numFmtId="0" fontId="2" fillId="3" borderId="65" xfId="0" applyFont="1" applyFill="1" applyBorder="1" applyProtection="1">
      <protection locked="0"/>
    </xf>
    <xf numFmtId="0" fontId="11" fillId="0" borderId="6" xfId="0" applyFont="1" applyBorder="1" applyProtection="1">
      <protection locked="0"/>
    </xf>
    <xf numFmtId="0" fontId="11" fillId="0" borderId="10" xfId="0" applyFont="1" applyBorder="1" applyProtection="1">
      <protection locked="0"/>
    </xf>
    <xf numFmtId="0" fontId="11" fillId="3" borderId="27" xfId="0" applyFont="1" applyFill="1" applyBorder="1" applyAlignment="1" applyProtection="1">
      <alignment horizontal="center" wrapText="1"/>
      <protection locked="0"/>
    </xf>
    <xf numFmtId="0" fontId="16" fillId="0" borderId="20" xfId="0" applyFont="1" applyFill="1" applyBorder="1" applyProtection="1">
      <protection locked="0"/>
    </xf>
    <xf numFmtId="0" fontId="0" fillId="0" borderId="6" xfId="0" applyBorder="1" applyProtection="1">
      <protection locked="0"/>
    </xf>
    <xf numFmtId="0" fontId="0" fillId="0" borderId="9" xfId="0" applyBorder="1" applyProtection="1">
      <protection locked="0"/>
    </xf>
    <xf numFmtId="0" fontId="16" fillId="12" borderId="8" xfId="0" applyFont="1" applyFill="1" applyBorder="1" applyAlignment="1" applyProtection="1">
      <alignment horizontal="center" vertical="center"/>
      <protection locked="0"/>
    </xf>
    <xf numFmtId="0" fontId="0" fillId="3" borderId="6" xfId="0" applyFill="1" applyBorder="1" applyAlignment="1" applyProtection="1">
      <alignment horizontal="center" vertical="center"/>
      <protection locked="0"/>
    </xf>
    <xf numFmtId="0" fontId="0" fillId="3" borderId="9" xfId="0" applyFill="1" applyBorder="1" applyAlignment="1" applyProtection="1">
      <alignment horizontal="center" vertical="center"/>
      <protection locked="0"/>
    </xf>
    <xf numFmtId="0" fontId="16" fillId="12" borderId="9" xfId="0" applyFont="1" applyFill="1" applyBorder="1" applyAlignment="1" applyProtection="1">
      <alignment horizontal="center" vertical="center"/>
      <protection locked="0"/>
    </xf>
    <xf numFmtId="0" fontId="0" fillId="3" borderId="58" xfId="0" applyFill="1" applyBorder="1" applyAlignment="1" applyProtection="1">
      <alignment horizontal="center" vertical="center"/>
      <protection locked="0"/>
    </xf>
    <xf numFmtId="0" fontId="0" fillId="3" borderId="59" xfId="0" applyFill="1" applyBorder="1" applyAlignment="1" applyProtection="1">
      <alignment horizontal="center" vertical="center"/>
      <protection locked="0"/>
    </xf>
    <xf numFmtId="0" fontId="16" fillId="12" borderId="59" xfId="0" applyFont="1" applyFill="1" applyBorder="1" applyAlignment="1" applyProtection="1">
      <alignment horizontal="center" vertical="center"/>
      <protection locked="0"/>
    </xf>
    <xf numFmtId="0" fontId="0" fillId="3" borderId="25" xfId="0" applyFill="1" applyBorder="1" applyAlignment="1" applyProtection="1">
      <alignment horizontal="center" vertical="center" wrapText="1"/>
      <protection locked="0"/>
    </xf>
    <xf numFmtId="0" fontId="0" fillId="3" borderId="51" xfId="0" applyFill="1" applyBorder="1" applyAlignment="1" applyProtection="1">
      <alignment horizontal="center" vertical="center" wrapText="1"/>
      <protection locked="0"/>
    </xf>
    <xf numFmtId="0" fontId="0" fillId="3" borderId="52" xfId="0" applyFill="1" applyBorder="1" applyAlignment="1" applyProtection="1">
      <alignment horizontal="center" vertical="center" wrapText="1"/>
      <protection locked="0"/>
    </xf>
    <xf numFmtId="0" fontId="16" fillId="12" borderId="52" xfId="0" applyFont="1" applyFill="1" applyBorder="1" applyAlignment="1" applyProtection="1">
      <alignment horizontal="center" vertical="center" wrapText="1"/>
      <protection locked="0"/>
    </xf>
    <xf numFmtId="0" fontId="11" fillId="15" borderId="27" xfId="0" applyFont="1" applyFill="1" applyBorder="1" applyAlignment="1" applyProtection="1">
      <alignment horizontal="center" vertical="center"/>
      <protection locked="0"/>
    </xf>
    <xf numFmtId="0" fontId="24" fillId="15" borderId="8" xfId="0" applyFont="1" applyFill="1" applyBorder="1" applyAlignment="1" applyProtection="1">
      <alignment horizontal="center" vertical="center"/>
      <protection locked="0"/>
    </xf>
    <xf numFmtId="0" fontId="11" fillId="15" borderId="7" xfId="0" applyFont="1" applyFill="1" applyBorder="1" applyAlignment="1" applyProtection="1">
      <alignment horizontal="center" vertical="center"/>
      <protection locked="0"/>
    </xf>
    <xf numFmtId="0" fontId="0" fillId="15" borderId="74" xfId="0" applyFill="1" applyBorder="1" applyAlignment="1" applyProtection="1">
      <alignment horizontal="center"/>
      <protection locked="0"/>
    </xf>
    <xf numFmtId="0" fontId="0" fillId="15" borderId="16" xfId="0" applyFill="1" applyBorder="1" applyAlignment="1" applyProtection="1">
      <alignment horizontal="center"/>
      <protection locked="0"/>
    </xf>
    <xf numFmtId="0" fontId="2" fillId="3" borderId="55" xfId="0" applyFont="1" applyFill="1"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54" xfId="0" applyBorder="1" applyAlignment="1">
      <alignment wrapText="1"/>
    </xf>
    <xf numFmtId="0" fontId="6" fillId="3" borderId="74" xfId="0" applyFont="1" applyFill="1" applyBorder="1" applyAlignment="1">
      <alignment vertical="center" wrapText="1"/>
    </xf>
    <xf numFmtId="0" fontId="0" fillId="3" borderId="64" xfId="0" applyFill="1" applyBorder="1" applyAlignment="1">
      <alignment vertical="center" wrapText="1"/>
    </xf>
    <xf numFmtId="0" fontId="0" fillId="3" borderId="74" xfId="0" applyFill="1" applyBorder="1" applyAlignment="1">
      <alignment vertical="center" wrapText="1"/>
    </xf>
    <xf numFmtId="0" fontId="5" fillId="3" borderId="22" xfId="0" applyFont="1" applyFill="1" applyBorder="1" applyAlignment="1">
      <alignment horizontal="center" vertical="center"/>
    </xf>
    <xf numFmtId="0" fontId="5" fillId="3" borderId="1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32" xfId="0" applyFont="1" applyFill="1" applyBorder="1" applyAlignment="1">
      <alignment horizontal="center" vertical="center"/>
    </xf>
    <xf numFmtId="0" fontId="38" fillId="3" borderId="61" xfId="0" applyFont="1" applyFill="1" applyBorder="1"/>
    <xf numFmtId="0" fontId="38" fillId="3" borderId="60" xfId="0" applyFont="1" applyFill="1" applyBorder="1"/>
    <xf numFmtId="0" fontId="0" fillId="3" borderId="62" xfId="0" applyFill="1" applyBorder="1"/>
    <xf numFmtId="0" fontId="3" fillId="3" borderId="47" xfId="1" applyFill="1" applyBorder="1" applyAlignment="1" applyProtection="1"/>
    <xf numFmtId="0" fontId="3" fillId="3" borderId="0" xfId="1" applyFill="1" applyBorder="1" applyAlignment="1" applyProtection="1"/>
    <xf numFmtId="0" fontId="0" fillId="3" borderId="50" xfId="0" applyFill="1" applyBorder="1"/>
    <xf numFmtId="0" fontId="3" fillId="3" borderId="36" xfId="1" applyFill="1" applyBorder="1" applyAlignment="1" applyProtection="1"/>
    <xf numFmtId="0" fontId="0" fillId="3" borderId="14" xfId="0" applyFill="1" applyBorder="1"/>
    <xf numFmtId="0" fontId="14" fillId="2" borderId="25" xfId="0" applyFont="1" applyFill="1" applyBorder="1" applyAlignment="1" applyProtection="1">
      <alignment horizontal="center" vertical="center" wrapText="1"/>
      <protection locked="0"/>
    </xf>
    <xf numFmtId="0" fontId="14" fillId="2" borderId="51" xfId="0" applyFont="1" applyFill="1" applyBorder="1" applyAlignment="1" applyProtection="1">
      <alignment horizontal="center" vertical="center" wrapText="1"/>
      <protection locked="0"/>
    </xf>
    <xf numFmtId="0" fontId="14" fillId="2" borderId="52" xfId="0" applyFont="1" applyFill="1" applyBorder="1" applyAlignment="1" applyProtection="1">
      <alignment horizontal="center" vertical="center" wrapText="1"/>
      <protection locked="0"/>
    </xf>
    <xf numFmtId="0" fontId="40" fillId="3" borderId="27" xfId="0" applyFont="1" applyFill="1" applyBorder="1" applyAlignment="1" applyProtection="1">
      <alignment horizontal="center" vertical="center"/>
      <protection locked="0"/>
    </xf>
    <xf numFmtId="0" fontId="9" fillId="2" borderId="25" xfId="0" applyFont="1" applyFill="1" applyBorder="1" applyAlignment="1" applyProtection="1">
      <alignment horizontal="center" vertical="center" wrapText="1"/>
      <protection locked="0"/>
    </xf>
    <xf numFmtId="0" fontId="9" fillId="2" borderId="51" xfId="0" applyFont="1" applyFill="1" applyBorder="1" applyAlignment="1" applyProtection="1">
      <alignment horizontal="center" vertical="center" wrapText="1"/>
      <protection locked="0"/>
    </xf>
    <xf numFmtId="0" fontId="3" fillId="0" borderId="0" xfId="1" applyAlignment="1" applyProtection="1"/>
    <xf numFmtId="14" fontId="0" fillId="0" borderId="0" xfId="0" applyNumberFormat="1" applyBorder="1"/>
    <xf numFmtId="0" fontId="40" fillId="0" borderId="25" xfId="0" applyFont="1" applyBorder="1" applyAlignment="1" applyProtection="1">
      <alignment horizontal="center" vertical="center"/>
      <protection locked="0"/>
    </xf>
    <xf numFmtId="0" fontId="31" fillId="8" borderId="1" xfId="0" applyFont="1" applyFill="1" applyBorder="1" applyAlignment="1" applyProtection="1">
      <alignment vertical="center"/>
      <protection locked="0"/>
    </xf>
    <xf numFmtId="0" fontId="0" fillId="0" borderId="2" xfId="0" applyBorder="1" applyAlignment="1" applyProtection="1">
      <alignment vertical="center"/>
      <protection locked="0"/>
    </xf>
    <xf numFmtId="0" fontId="2" fillId="3" borderId="20" xfId="0" applyFont="1" applyFill="1" applyBorder="1" applyAlignment="1" applyProtection="1">
      <alignment vertical="center"/>
      <protection locked="0"/>
    </xf>
    <xf numFmtId="0" fontId="0" fillId="3" borderId="0" xfId="0" applyFill="1" applyBorder="1" applyProtection="1">
      <protection locked="0"/>
    </xf>
    <xf numFmtId="0" fontId="0" fillId="3" borderId="35" xfId="0" applyFill="1" applyBorder="1" applyProtection="1">
      <protection locked="0"/>
    </xf>
    <xf numFmtId="0" fontId="0" fillId="3" borderId="30" xfId="0" applyFill="1" applyBorder="1" applyProtection="1">
      <protection locked="0"/>
    </xf>
    <xf numFmtId="0" fontId="0" fillId="3" borderId="21" xfId="0" applyFill="1" applyBorder="1" applyProtection="1">
      <protection locked="0"/>
    </xf>
    <xf numFmtId="0" fontId="0" fillId="3" borderId="36" xfId="0" applyFill="1" applyBorder="1" applyProtection="1">
      <protection locked="0"/>
    </xf>
    <xf numFmtId="0" fontId="2" fillId="3" borderId="14" xfId="0" applyFont="1" applyFill="1" applyBorder="1" applyProtection="1">
      <protection locked="0"/>
    </xf>
    <xf numFmtId="0" fontId="0" fillId="3" borderId="3" xfId="0" applyFill="1" applyBorder="1" applyProtection="1">
      <protection locked="0"/>
    </xf>
    <xf numFmtId="0" fontId="0" fillId="3" borderId="4" xfId="0" applyFill="1" applyBorder="1" applyProtection="1">
      <protection locked="0"/>
    </xf>
    <xf numFmtId="0" fontId="18" fillId="8" borderId="1" xfId="0" applyFont="1" applyFill="1" applyBorder="1" applyAlignment="1" applyProtection="1">
      <alignment vertical="center"/>
      <protection locked="0"/>
    </xf>
    <xf numFmtId="0" fontId="2" fillId="3" borderId="0" xfId="0" applyFont="1" applyFill="1" applyBorder="1" applyProtection="1">
      <protection locked="0"/>
    </xf>
    <xf numFmtId="0" fontId="0" fillId="3" borderId="2" xfId="0" applyFill="1" applyBorder="1" applyAlignment="1" applyProtection="1">
      <alignment vertical="center"/>
      <protection locked="0"/>
    </xf>
    <xf numFmtId="0" fontId="2" fillId="0" borderId="3" xfId="0" applyFont="1" applyBorder="1" applyProtection="1">
      <protection locked="0"/>
    </xf>
    <xf numFmtId="0" fontId="2" fillId="0" borderId="0" xfId="0" applyFont="1" applyBorder="1" applyAlignment="1" applyProtection="1">
      <alignment horizontal="center"/>
      <protection locked="0"/>
    </xf>
    <xf numFmtId="0" fontId="0" fillId="0" borderId="20"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3" borderId="5" xfId="0" applyFill="1" applyBorder="1" applyProtection="1">
      <protection locked="0"/>
    </xf>
    <xf numFmtId="0" fontId="35" fillId="3" borderId="65" xfId="0" applyFont="1" applyFill="1" applyBorder="1" applyAlignment="1">
      <alignment vertical="top"/>
    </xf>
    <xf numFmtId="0" fontId="0" fillId="3" borderId="60" xfId="0" applyFill="1" applyBorder="1" applyAlignment="1">
      <alignment vertical="top"/>
    </xf>
    <xf numFmtId="0" fontId="2" fillId="3" borderId="62" xfId="0" applyFont="1" applyFill="1" applyBorder="1" applyAlignment="1">
      <alignment vertical="top"/>
    </xf>
    <xf numFmtId="2" fontId="0" fillId="3" borderId="0" xfId="0" applyNumberFormat="1" applyFill="1"/>
    <xf numFmtId="2" fontId="0" fillId="0" borderId="0" xfId="0" applyNumberFormat="1"/>
    <xf numFmtId="2" fontId="37" fillId="3" borderId="0" xfId="0" applyNumberFormat="1" applyFont="1" applyFill="1" applyAlignment="1">
      <alignment horizontal="center" vertical="center"/>
    </xf>
    <xf numFmtId="2" fontId="0" fillId="0" borderId="68" xfId="0" applyNumberFormat="1" applyBorder="1" applyAlignment="1">
      <alignment wrapText="1"/>
    </xf>
    <xf numFmtId="2" fontId="0" fillId="0" borderId="31" xfId="0" applyNumberFormat="1" applyBorder="1" applyAlignment="1">
      <alignment wrapText="1"/>
    </xf>
    <xf numFmtId="2" fontId="0" fillId="0" borderId="27" xfId="0" applyNumberFormat="1" applyBorder="1" applyAlignment="1">
      <alignment wrapText="1"/>
    </xf>
    <xf numFmtId="2" fontId="0" fillId="0" borderId="27" xfId="0" applyNumberFormat="1" applyBorder="1"/>
    <xf numFmtId="2" fontId="2" fillId="0" borderId="27" xfId="0" applyNumberFormat="1" applyFont="1" applyBorder="1"/>
    <xf numFmtId="2" fontId="0" fillId="0" borderId="0" xfId="0" applyNumberFormat="1" applyAlignment="1">
      <alignment wrapText="1"/>
    </xf>
    <xf numFmtId="0" fontId="35" fillId="3" borderId="33" xfId="0" applyFont="1" applyFill="1" applyBorder="1" applyAlignment="1">
      <alignment vertical="top"/>
    </xf>
    <xf numFmtId="179" fontId="11" fillId="0" borderId="31" xfId="0" applyNumberFormat="1" applyFont="1" applyBorder="1" applyAlignment="1" applyProtection="1">
      <alignment horizontal="center" vertical="center"/>
      <protection locked="0"/>
    </xf>
    <xf numFmtId="179" fontId="11" fillId="0" borderId="34" xfId="0" applyNumberFormat="1" applyFont="1" applyBorder="1" applyAlignment="1" applyProtection="1">
      <alignment horizontal="center" vertical="center"/>
      <protection locked="0"/>
    </xf>
    <xf numFmtId="179" fontId="11" fillId="0" borderId="32" xfId="0" applyNumberFormat="1" applyFont="1" applyBorder="1" applyAlignment="1" applyProtection="1">
      <alignment horizontal="center" vertical="center"/>
      <protection locked="0"/>
    </xf>
    <xf numFmtId="179" fontId="11" fillId="0" borderId="44" xfId="0" applyNumberFormat="1" applyFont="1" applyBorder="1" applyAlignment="1" applyProtection="1">
      <alignment horizontal="center" vertical="center"/>
      <protection locked="0"/>
    </xf>
    <xf numFmtId="179" fontId="10" fillId="0" borderId="53" xfId="0" applyNumberFormat="1" applyFont="1" applyBorder="1" applyAlignment="1" applyProtection="1">
      <alignment horizontal="center" vertical="center"/>
      <protection locked="0"/>
    </xf>
    <xf numFmtId="179" fontId="10" fillId="0" borderId="15" xfId="0" applyNumberFormat="1" applyFont="1" applyBorder="1" applyAlignment="1" applyProtection="1">
      <alignment horizontal="center" vertical="center"/>
      <protection locked="0"/>
    </xf>
    <xf numFmtId="179" fontId="10" fillId="0" borderId="45" xfId="0" applyNumberFormat="1" applyFont="1" applyBorder="1" applyAlignment="1" applyProtection="1">
      <alignment horizontal="center" vertical="center"/>
      <protection locked="0"/>
    </xf>
    <xf numFmtId="179" fontId="11" fillId="0" borderId="53" xfId="0" applyNumberFormat="1" applyFont="1" applyBorder="1" applyAlignment="1" applyProtection="1">
      <alignment horizontal="center" vertical="center"/>
      <protection locked="0"/>
    </xf>
    <xf numFmtId="177" fontId="11" fillId="7" borderId="27" xfId="0" applyNumberFormat="1" applyFont="1" applyFill="1" applyBorder="1" applyAlignment="1" applyProtection="1">
      <alignment horizontal="center" vertical="center"/>
      <protection locked="0"/>
    </xf>
    <xf numFmtId="49" fontId="11" fillId="3" borderId="67" xfId="0" applyNumberFormat="1" applyFont="1" applyFill="1" applyBorder="1" applyAlignment="1" applyProtection="1">
      <alignment horizontal="center" vertical="center"/>
      <protection locked="0"/>
    </xf>
    <xf numFmtId="176" fontId="11" fillId="3" borderId="6" xfId="0" applyNumberFormat="1" applyFont="1" applyFill="1" applyBorder="1" applyAlignment="1" applyProtection="1">
      <alignment horizontal="center"/>
      <protection locked="0"/>
    </xf>
    <xf numFmtId="179" fontId="0" fillId="0" borderId="31" xfId="0" applyNumberFormat="1" applyBorder="1" applyAlignment="1" applyProtection="1">
      <alignment horizontal="center" vertical="center"/>
      <protection locked="0"/>
    </xf>
    <xf numFmtId="179" fontId="0" fillId="0" borderId="34" xfId="0" applyNumberFormat="1" applyBorder="1" applyAlignment="1" applyProtection="1">
      <alignment horizontal="center" vertical="center"/>
      <protection locked="0"/>
    </xf>
    <xf numFmtId="179" fontId="0" fillId="0" borderId="32" xfId="0" applyNumberFormat="1" applyBorder="1" applyAlignment="1" applyProtection="1">
      <alignment horizontal="center" vertical="center"/>
      <protection locked="0"/>
    </xf>
    <xf numFmtId="179" fontId="0" fillId="0" borderId="44" xfId="0" applyNumberFormat="1" applyBorder="1" applyAlignment="1" applyProtection="1">
      <alignment horizontal="center" vertical="center"/>
      <protection locked="0"/>
    </xf>
    <xf numFmtId="0" fontId="9" fillId="3" borderId="53" xfId="0" applyFont="1" applyFill="1" applyBorder="1" applyAlignment="1" applyProtection="1">
      <alignment horizontal="center" vertical="center" wrapText="1"/>
      <protection locked="0"/>
    </xf>
    <xf numFmtId="0" fontId="9" fillId="3" borderId="45" xfId="0" applyFont="1" applyFill="1" applyBorder="1" applyAlignment="1" applyProtection="1">
      <alignment horizontal="center" vertical="center" wrapText="1"/>
      <protection locked="0"/>
    </xf>
    <xf numFmtId="0" fontId="9" fillId="3" borderId="20" xfId="0" applyFont="1" applyFill="1" applyBorder="1" applyAlignment="1" applyProtection="1">
      <alignment horizontal="center" vertical="center" wrapText="1"/>
      <protection locked="0"/>
    </xf>
    <xf numFmtId="0" fontId="9" fillId="3" borderId="9" xfId="0" applyFont="1" applyFill="1" applyBorder="1" applyAlignment="1" applyProtection="1">
      <alignment horizontal="center" vertical="center" wrapText="1"/>
      <protection locked="0"/>
    </xf>
    <xf numFmtId="0" fontId="11" fillId="3" borderId="30" xfId="0" applyFont="1" applyFill="1" applyBorder="1" applyAlignment="1" applyProtection="1">
      <alignment horizontal="center" vertical="center"/>
      <protection locked="0"/>
    </xf>
    <xf numFmtId="0" fontId="11" fillId="3" borderId="36" xfId="0" applyFont="1" applyFill="1" applyBorder="1" applyAlignment="1" applyProtection="1">
      <alignment horizontal="center" vertical="center"/>
      <protection locked="0"/>
    </xf>
    <xf numFmtId="0" fontId="2" fillId="3" borderId="35" xfId="0" quotePrefix="1" applyFont="1" applyFill="1" applyBorder="1" applyAlignment="1">
      <alignment horizontal="center" vertical="center"/>
    </xf>
    <xf numFmtId="0" fontId="2" fillId="3" borderId="9" xfId="0" applyFont="1" applyFill="1" applyBorder="1" applyAlignment="1">
      <alignment horizontal="center" vertical="center"/>
    </xf>
    <xf numFmtId="0" fontId="0" fillId="3" borderId="9" xfId="0" applyFill="1" applyBorder="1" applyAlignment="1">
      <alignment horizontal="center" vertical="center"/>
    </xf>
    <xf numFmtId="0" fontId="2" fillId="0" borderId="6" xfId="0" applyFont="1" applyBorder="1" applyAlignment="1">
      <alignment horizontal="left" vertical="center" wrapText="1"/>
    </xf>
    <xf numFmtId="0" fontId="41" fillId="11" borderId="0" xfId="0" applyFont="1" applyFill="1"/>
    <xf numFmtId="0" fontId="25" fillId="11" borderId="0" xfId="0" applyFont="1" applyFill="1" applyBorder="1" applyAlignment="1">
      <alignment wrapText="1"/>
    </xf>
    <xf numFmtId="0" fontId="6" fillId="0" borderId="20" xfId="0" applyFont="1" applyBorder="1" applyAlignment="1">
      <alignment horizontal="left" vertical="center" wrapText="1"/>
    </xf>
    <xf numFmtId="0" fontId="6" fillId="0" borderId="9" xfId="0" applyFont="1" applyBorder="1" applyAlignment="1">
      <alignment horizontal="center"/>
    </xf>
    <xf numFmtId="2" fontId="10" fillId="0" borderId="22" xfId="0" applyNumberFormat="1" applyFont="1" applyBorder="1" applyAlignment="1">
      <alignment horizontal="center" vertical="center"/>
    </xf>
    <xf numFmtId="2" fontId="10" fillId="0" borderId="10" xfId="0" applyNumberFormat="1" applyFont="1" applyBorder="1" applyAlignment="1">
      <alignment horizontal="center" vertical="center"/>
    </xf>
    <xf numFmtId="0" fontId="10" fillId="0" borderId="11" xfId="0" applyFont="1" applyBorder="1" applyAlignment="1">
      <alignment horizontal="center" vertical="center"/>
    </xf>
    <xf numFmtId="0" fontId="5" fillId="3" borderId="43" xfId="0" applyFont="1" applyFill="1" applyBorder="1" applyAlignment="1">
      <alignment horizontal="center" vertical="center"/>
    </xf>
    <xf numFmtId="4" fontId="0" fillId="0" borderId="53" xfId="0" applyNumberFormat="1" applyBorder="1" applyProtection="1">
      <protection locked="0"/>
    </xf>
    <xf numFmtId="4" fontId="0" fillId="0" borderId="15" xfId="0" applyNumberFormat="1" applyFill="1" applyBorder="1" applyProtection="1">
      <protection locked="0"/>
    </xf>
    <xf numFmtId="4" fontId="0" fillId="0" borderId="15" xfId="0" applyNumberFormat="1" applyBorder="1" applyProtection="1">
      <protection locked="0"/>
    </xf>
    <xf numFmtId="4" fontId="0" fillId="0" borderId="45" xfId="0" applyNumberFormat="1" applyBorder="1" applyProtection="1">
      <protection locked="0"/>
    </xf>
    <xf numFmtId="4" fontId="0" fillId="0" borderId="20" xfId="0" applyNumberFormat="1" applyBorder="1" applyProtection="1">
      <protection locked="0"/>
    </xf>
    <xf numFmtId="4" fontId="0" fillId="0" borderId="6" xfId="0" applyNumberFormat="1" applyFill="1" applyBorder="1" applyProtection="1">
      <protection locked="0"/>
    </xf>
    <xf numFmtId="4" fontId="0" fillId="0" borderId="6" xfId="0" applyNumberFormat="1" applyBorder="1" applyProtection="1">
      <protection locked="0"/>
    </xf>
    <xf numFmtId="4" fontId="0" fillId="0" borderId="9" xfId="0" applyNumberFormat="1" applyBorder="1" applyProtection="1">
      <protection locked="0"/>
    </xf>
    <xf numFmtId="4" fontId="0" fillId="0" borderId="22" xfId="0" applyNumberFormat="1" applyBorder="1" applyProtection="1">
      <protection locked="0"/>
    </xf>
    <xf numFmtId="4" fontId="0" fillId="0" borderId="10" xfId="0" applyNumberFormat="1" applyBorder="1" applyProtection="1">
      <protection locked="0"/>
    </xf>
    <xf numFmtId="4" fontId="0" fillId="0" borderId="11" xfId="0" applyNumberFormat="1" applyBorder="1" applyProtection="1">
      <protection locked="0"/>
    </xf>
    <xf numFmtId="0" fontId="11" fillId="10" borderId="56" xfId="0" applyFont="1" applyFill="1" applyBorder="1" applyAlignment="1" applyProtection="1">
      <alignment horizontal="center" vertical="center" wrapText="1"/>
      <protection locked="0"/>
    </xf>
    <xf numFmtId="0" fontId="11" fillId="10" borderId="63" xfId="0" applyFont="1" applyFill="1" applyBorder="1" applyAlignment="1" applyProtection="1">
      <alignment horizontal="center" vertical="center" wrapText="1"/>
      <protection locked="0"/>
    </xf>
    <xf numFmtId="0" fontId="11" fillId="10" borderId="64" xfId="0" applyFont="1" applyFill="1" applyBorder="1" applyAlignment="1" applyProtection="1">
      <alignment horizontal="center" vertical="center" wrapText="1"/>
      <protection locked="0"/>
    </xf>
    <xf numFmtId="0" fontId="14" fillId="2" borderId="72" xfId="0" applyFont="1" applyFill="1" applyBorder="1" applyAlignment="1" applyProtection="1">
      <alignment horizontal="center" vertical="center" wrapText="1"/>
      <protection locked="0"/>
    </xf>
    <xf numFmtId="0" fontId="14" fillId="2" borderId="38" xfId="0" applyFont="1" applyFill="1" applyBorder="1" applyAlignment="1" applyProtection="1">
      <alignment horizontal="center" vertical="center" wrapText="1"/>
      <protection locked="0"/>
    </xf>
    <xf numFmtId="49" fontId="0" fillId="0" borderId="0" xfId="0" applyNumberFormat="1" applyBorder="1"/>
    <xf numFmtId="49" fontId="0" fillId="0" borderId="36" xfId="0" applyNumberFormat="1" applyBorder="1"/>
    <xf numFmtId="14" fontId="10" fillId="3" borderId="6" xfId="0" applyNumberFormat="1" applyFont="1" applyFill="1" applyBorder="1"/>
    <xf numFmtId="0" fontId="2" fillId="3" borderId="43" xfId="0" applyFont="1" applyFill="1" applyBorder="1"/>
    <xf numFmtId="0" fontId="26" fillId="12" borderId="52" xfId="0" applyFont="1" applyFill="1" applyBorder="1" applyAlignment="1" applyProtection="1">
      <alignment horizontal="center" vertical="center" wrapText="1"/>
      <protection locked="0"/>
    </xf>
    <xf numFmtId="177" fontId="5" fillId="7" borderId="53" xfId="0" applyNumberFormat="1" applyFont="1" applyFill="1" applyBorder="1" applyAlignment="1" applyProtection="1">
      <alignment horizontal="center" vertical="center"/>
      <protection locked="0"/>
    </xf>
    <xf numFmtId="177" fontId="5" fillId="7" borderId="20" xfId="0" applyNumberFormat="1" applyFont="1" applyFill="1" applyBorder="1" applyAlignment="1" applyProtection="1">
      <alignment horizontal="center" vertical="center"/>
      <protection locked="0"/>
    </xf>
    <xf numFmtId="177" fontId="5" fillId="7" borderId="22" xfId="0" applyNumberFormat="1" applyFont="1" applyFill="1" applyBorder="1" applyAlignment="1" applyProtection="1">
      <alignment horizontal="center" vertical="center"/>
      <protection locked="0"/>
    </xf>
    <xf numFmtId="177" fontId="5" fillId="7" borderId="14" xfId="0" applyNumberFormat="1" applyFont="1" applyFill="1" applyBorder="1" applyAlignment="1" applyProtection="1">
      <alignment horizontal="center" vertical="center"/>
      <protection locked="0"/>
    </xf>
    <xf numFmtId="177" fontId="5" fillId="7" borderId="15" xfId="0" applyNumberFormat="1" applyFont="1" applyFill="1" applyBorder="1" applyAlignment="1" applyProtection="1">
      <alignment horizontal="center" vertical="center"/>
      <protection locked="0"/>
    </xf>
    <xf numFmtId="177" fontId="5" fillId="7" borderId="45" xfId="0" applyNumberFormat="1" applyFont="1" applyFill="1" applyBorder="1" applyAlignment="1" applyProtection="1">
      <alignment horizontal="center" vertical="center"/>
      <protection locked="0"/>
    </xf>
    <xf numFmtId="179" fontId="5" fillId="0" borderId="15" xfId="0" applyNumberFormat="1" applyFont="1" applyBorder="1" applyAlignment="1" applyProtection="1">
      <alignment horizontal="center" vertical="center"/>
      <protection locked="0"/>
    </xf>
    <xf numFmtId="179" fontId="5" fillId="0" borderId="45" xfId="0" applyNumberFormat="1" applyFont="1" applyBorder="1" applyAlignment="1" applyProtection="1">
      <alignment horizontal="center" vertical="center"/>
      <protection locked="0"/>
    </xf>
    <xf numFmtId="177" fontId="5" fillId="16" borderId="53" xfId="0" applyNumberFormat="1" applyFont="1" applyFill="1" applyBorder="1" applyAlignment="1" applyProtection="1">
      <alignment horizontal="center" vertical="center"/>
      <protection locked="0"/>
    </xf>
    <xf numFmtId="177" fontId="5" fillId="16" borderId="6" xfId="0" applyNumberFormat="1" applyFont="1" applyFill="1" applyBorder="1" applyAlignment="1" applyProtection="1">
      <alignment horizontal="center" vertical="center"/>
      <protection locked="0"/>
    </xf>
    <xf numFmtId="177" fontId="5" fillId="16" borderId="9" xfId="0" applyNumberFormat="1" applyFont="1" applyFill="1" applyBorder="1" applyAlignment="1" applyProtection="1">
      <alignment horizontal="center" vertical="center"/>
      <protection locked="0"/>
    </xf>
    <xf numFmtId="179" fontId="5" fillId="0" borderId="20" xfId="0" applyNumberFormat="1" applyFont="1" applyBorder="1" applyAlignment="1" applyProtection="1">
      <alignment horizontal="center" vertical="center"/>
      <protection locked="0"/>
    </xf>
    <xf numFmtId="179" fontId="5" fillId="0" borderId="6" xfId="0" applyNumberFormat="1" applyFont="1" applyBorder="1" applyAlignment="1" applyProtection="1">
      <alignment horizontal="center" vertical="center"/>
      <protection locked="0"/>
    </xf>
    <xf numFmtId="179" fontId="5" fillId="0" borderId="9" xfId="0" applyNumberFormat="1" applyFont="1" applyBorder="1" applyAlignment="1" applyProtection="1">
      <alignment horizontal="center" vertical="center"/>
      <protection locked="0"/>
    </xf>
    <xf numFmtId="177" fontId="5" fillId="16" borderId="20" xfId="0" applyNumberFormat="1" applyFont="1" applyFill="1" applyBorder="1" applyAlignment="1" applyProtection="1">
      <alignment horizontal="center" vertical="center"/>
      <protection locked="0"/>
    </xf>
    <xf numFmtId="177" fontId="5" fillId="16" borderId="22" xfId="0" applyNumberFormat="1" applyFont="1" applyFill="1" applyBorder="1" applyAlignment="1" applyProtection="1">
      <alignment horizontal="center" vertical="center"/>
      <protection locked="0"/>
    </xf>
    <xf numFmtId="177" fontId="5" fillId="16" borderId="10" xfId="0" applyNumberFormat="1" applyFont="1" applyFill="1" applyBorder="1" applyAlignment="1" applyProtection="1">
      <alignment horizontal="center" vertical="center"/>
      <protection locked="0"/>
    </xf>
    <xf numFmtId="177" fontId="5" fillId="16" borderId="11" xfId="0" applyNumberFormat="1" applyFont="1" applyFill="1" applyBorder="1" applyAlignment="1" applyProtection="1">
      <alignment horizontal="center" vertical="center"/>
      <protection locked="0"/>
    </xf>
    <xf numFmtId="179" fontId="5" fillId="0" borderId="22" xfId="0" applyNumberFormat="1" applyFont="1" applyBorder="1" applyAlignment="1" applyProtection="1">
      <alignment horizontal="center" vertical="center"/>
      <protection locked="0"/>
    </xf>
    <xf numFmtId="179" fontId="5" fillId="0" borderId="10" xfId="0" applyNumberFormat="1" applyFont="1" applyBorder="1" applyAlignment="1" applyProtection="1">
      <alignment horizontal="center" vertical="center"/>
      <protection locked="0"/>
    </xf>
    <xf numFmtId="179" fontId="5" fillId="0" borderId="11" xfId="0" applyNumberFormat="1" applyFont="1" applyBorder="1" applyAlignment="1" applyProtection="1">
      <alignment horizontal="center" vertical="center"/>
      <protection locked="0"/>
    </xf>
    <xf numFmtId="179" fontId="6" fillId="0" borderId="20" xfId="0" applyNumberFormat="1" applyFont="1" applyBorder="1" applyAlignment="1" applyProtection="1">
      <alignment horizontal="center" vertical="center"/>
      <protection locked="0"/>
    </xf>
    <xf numFmtId="179" fontId="0" fillId="0" borderId="6" xfId="0" applyNumberFormat="1" applyBorder="1" applyAlignment="1" applyProtection="1">
      <alignment horizontal="center" vertical="center"/>
      <protection locked="0"/>
    </xf>
    <xf numFmtId="179" fontId="0" fillId="0" borderId="9" xfId="0" applyNumberFormat="1" applyBorder="1" applyAlignment="1" applyProtection="1">
      <alignment horizontal="center" vertical="center"/>
      <protection locked="0"/>
    </xf>
    <xf numFmtId="179" fontId="0" fillId="0" borderId="20" xfId="0" applyNumberFormat="1" applyBorder="1" applyAlignment="1" applyProtection="1">
      <alignment horizontal="center" vertical="center"/>
      <protection locked="0"/>
    </xf>
    <xf numFmtId="179" fontId="0" fillId="0" borderId="22" xfId="0" applyNumberFormat="1" applyBorder="1" applyAlignment="1" applyProtection="1">
      <alignment horizontal="center" vertical="center"/>
      <protection locked="0"/>
    </xf>
    <xf numFmtId="179" fontId="0" fillId="0" borderId="10" xfId="0" applyNumberFormat="1" applyBorder="1" applyAlignment="1" applyProtection="1">
      <alignment horizontal="center" vertical="center"/>
      <protection locked="0"/>
    </xf>
    <xf numFmtId="179" fontId="0" fillId="0" borderId="11" xfId="0" applyNumberFormat="1" applyBorder="1" applyAlignment="1" applyProtection="1">
      <alignment horizontal="center" vertical="center"/>
      <protection locked="0"/>
    </xf>
    <xf numFmtId="0" fontId="45" fillId="0" borderId="0" xfId="0" applyFont="1"/>
    <xf numFmtId="0" fontId="10" fillId="3" borderId="7" xfId="0" applyFont="1" applyFill="1" applyBorder="1" applyAlignment="1" applyProtection="1">
      <alignment vertical="center" wrapText="1"/>
      <protection locked="0"/>
    </xf>
    <xf numFmtId="0" fontId="2" fillId="3" borderId="71" xfId="0" applyFont="1" applyFill="1" applyBorder="1" applyProtection="1">
      <protection locked="0"/>
    </xf>
    <xf numFmtId="0" fontId="0" fillId="3" borderId="59" xfId="0" applyFill="1" applyBorder="1" applyProtection="1">
      <protection locked="0"/>
    </xf>
    <xf numFmtId="0" fontId="0" fillId="3" borderId="9" xfId="0" applyFill="1" applyBorder="1" applyProtection="1">
      <protection locked="0"/>
    </xf>
    <xf numFmtId="0" fontId="0" fillId="3" borderId="71" xfId="0" applyFill="1" applyBorder="1" applyProtection="1">
      <protection locked="0"/>
    </xf>
    <xf numFmtId="0" fontId="0" fillId="3" borderId="11" xfId="0" applyFill="1" applyBorder="1" applyProtection="1">
      <protection locked="0"/>
    </xf>
    <xf numFmtId="179" fontId="10" fillId="0" borderId="14" xfId="0" applyNumberFormat="1" applyFont="1" applyBorder="1" applyAlignment="1" applyProtection="1">
      <alignment horizontal="center" vertical="center"/>
      <protection locked="0"/>
    </xf>
    <xf numFmtId="179" fontId="0" fillId="0" borderId="21" xfId="0" applyNumberFormat="1" applyBorder="1" applyAlignment="1" applyProtection="1">
      <alignment horizontal="center" vertical="center"/>
      <protection locked="0"/>
    </xf>
    <xf numFmtId="179" fontId="0" fillId="0" borderId="23" xfId="0" applyNumberFormat="1" applyBorder="1" applyAlignment="1" applyProtection="1">
      <alignment horizontal="center" vertical="center"/>
      <protection locked="0"/>
    </xf>
    <xf numFmtId="177" fontId="11" fillId="7" borderId="68" xfId="0" applyNumberFormat="1" applyFont="1" applyFill="1" applyBorder="1" applyAlignment="1" applyProtection="1">
      <alignment horizontal="center" vertical="center"/>
      <protection locked="0"/>
    </xf>
    <xf numFmtId="177" fontId="5" fillId="7" borderId="31" xfId="0" applyNumberFormat="1" applyFont="1" applyFill="1" applyBorder="1" applyAlignment="1" applyProtection="1">
      <alignment horizontal="center" vertical="center"/>
      <protection locked="0"/>
    </xf>
    <xf numFmtId="177" fontId="5" fillId="7" borderId="32" xfId="0" applyNumberFormat="1" applyFont="1" applyFill="1" applyBorder="1" applyAlignment="1">
      <alignment horizontal="center" vertical="center"/>
    </xf>
    <xf numFmtId="9" fontId="0" fillId="3" borderId="7" xfId="2" applyFont="1" applyFill="1" applyBorder="1" applyAlignment="1" applyProtection="1">
      <alignment horizontal="center" vertical="center"/>
      <protection locked="0"/>
    </xf>
    <xf numFmtId="9" fontId="0" fillId="3" borderId="6" xfId="2" applyFont="1" applyFill="1" applyBorder="1" applyAlignment="1" applyProtection="1">
      <alignment horizontal="center" vertical="center"/>
      <protection locked="0"/>
    </xf>
    <xf numFmtId="9" fontId="0" fillId="3" borderId="58" xfId="2" applyFont="1" applyFill="1" applyBorder="1" applyAlignment="1" applyProtection="1">
      <alignment horizontal="center" vertical="center"/>
      <protection locked="0"/>
    </xf>
    <xf numFmtId="0" fontId="5" fillId="5" borderId="49" xfId="0" applyFont="1" applyFill="1" applyBorder="1" applyAlignment="1">
      <alignment horizontal="center" vertical="center" wrapText="1"/>
    </xf>
    <xf numFmtId="0" fontId="0" fillId="4" borderId="3" xfId="0" applyFill="1" applyBorder="1"/>
    <xf numFmtId="0" fontId="2" fillId="3" borderId="67" xfId="0" applyFont="1" applyFill="1" applyBorder="1" applyAlignment="1">
      <alignment vertical="center" wrapText="1"/>
    </xf>
    <xf numFmtId="0" fontId="5" fillId="5" borderId="6" xfId="0" applyFont="1" applyFill="1" applyBorder="1" applyAlignment="1">
      <alignment horizontal="center" vertical="center" wrapText="1"/>
    </xf>
    <xf numFmtId="0" fontId="42" fillId="4" borderId="0" xfId="0" applyFont="1" applyFill="1"/>
    <xf numFmtId="2" fontId="0" fillId="0" borderId="0" xfId="0" applyNumberFormat="1" applyBorder="1"/>
    <xf numFmtId="0" fontId="2" fillId="3" borderId="3" xfId="0" applyFont="1" applyFill="1" applyBorder="1" applyAlignment="1">
      <alignment wrapText="1"/>
    </xf>
    <xf numFmtId="0" fontId="2" fillId="3" borderId="8" xfId="0" applyFont="1" applyFill="1" applyBorder="1" applyProtection="1">
      <protection locked="0"/>
    </xf>
    <xf numFmtId="0" fontId="2" fillId="0" borderId="57" xfId="0" applyFont="1" applyBorder="1"/>
    <xf numFmtId="9" fontId="30" fillId="3" borderId="18" xfId="2" applyFont="1" applyFill="1" applyBorder="1" applyAlignment="1" applyProtection="1">
      <alignment horizontal="center" vertical="center"/>
      <protection locked="0"/>
    </xf>
    <xf numFmtId="9" fontId="10" fillId="3" borderId="20" xfId="2" applyFont="1" applyFill="1" applyBorder="1" applyAlignment="1" applyProtection="1">
      <alignment horizontal="center" vertical="center"/>
      <protection locked="0"/>
    </xf>
    <xf numFmtId="9" fontId="10" fillId="3" borderId="75" xfId="2" applyFont="1" applyFill="1" applyBorder="1" applyAlignment="1" applyProtection="1">
      <alignment horizontal="center" vertical="center"/>
      <protection locked="0"/>
    </xf>
    <xf numFmtId="0" fontId="5" fillId="3" borderId="2"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0" fillId="3" borderId="6" xfId="0" applyFill="1" applyBorder="1"/>
    <xf numFmtId="0" fontId="11" fillId="3" borderId="67" xfId="0" applyFont="1" applyFill="1" applyBorder="1" applyAlignment="1" applyProtection="1">
      <alignment horizontal="center" vertical="center" wrapText="1"/>
      <protection locked="0"/>
    </xf>
    <xf numFmtId="0" fontId="11" fillId="3" borderId="30" xfId="0" applyFont="1" applyFill="1" applyBorder="1" applyAlignment="1" applyProtection="1">
      <alignment horizontal="center" vertical="center" wrapText="1"/>
      <protection locked="0"/>
    </xf>
    <xf numFmtId="0" fontId="11" fillId="3" borderId="21" xfId="0" applyFont="1" applyFill="1" applyBorder="1" applyAlignment="1" applyProtection="1">
      <alignment horizontal="center" vertical="center" wrapText="1"/>
      <protection locked="0"/>
    </xf>
    <xf numFmtId="14" fontId="10" fillId="3" borderId="67" xfId="0" applyNumberFormat="1" applyFont="1" applyFill="1" applyBorder="1" applyAlignment="1" applyProtection="1">
      <alignment horizontal="center" vertical="center"/>
      <protection locked="0"/>
    </xf>
    <xf numFmtId="0" fontId="10" fillId="3" borderId="30" xfId="0" applyFont="1" applyFill="1" applyBorder="1" applyAlignment="1" applyProtection="1">
      <alignment horizontal="center" vertical="center"/>
      <protection locked="0"/>
    </xf>
    <xf numFmtId="0" fontId="10" fillId="3" borderId="21" xfId="0" applyFont="1" applyFill="1" applyBorder="1" applyAlignment="1" applyProtection="1">
      <alignment horizontal="center" vertical="center"/>
      <protection locked="0"/>
    </xf>
    <xf numFmtId="0" fontId="24" fillId="3" borderId="67" xfId="0" applyFont="1" applyFill="1" applyBorder="1" applyAlignment="1" applyProtection="1">
      <alignment horizontal="center" vertical="center"/>
      <protection locked="0"/>
    </xf>
    <xf numFmtId="0" fontId="24" fillId="3" borderId="21" xfId="0" applyFont="1" applyFill="1" applyBorder="1" applyAlignment="1" applyProtection="1">
      <alignment horizontal="center" vertical="center"/>
      <protection locked="0"/>
    </xf>
    <xf numFmtId="0" fontId="10" fillId="3" borderId="67" xfId="0" applyFont="1" applyFill="1" applyBorder="1" applyAlignment="1" applyProtection="1">
      <alignment horizontal="center" vertical="center" wrapText="1"/>
      <protection locked="0"/>
    </xf>
    <xf numFmtId="0" fontId="10" fillId="3" borderId="30" xfId="0" applyFont="1" applyFill="1" applyBorder="1" applyAlignment="1" applyProtection="1">
      <alignment horizontal="center" vertical="center" wrapText="1"/>
      <protection locked="0"/>
    </xf>
    <xf numFmtId="0" fontId="10" fillId="3" borderId="21" xfId="0" applyFont="1" applyFill="1" applyBorder="1" applyAlignment="1" applyProtection="1">
      <alignment horizontal="center" vertical="center" wrapText="1"/>
      <protection locked="0"/>
    </xf>
    <xf numFmtId="0" fontId="24" fillId="3" borderId="30" xfId="0" applyFont="1" applyFill="1" applyBorder="1" applyAlignment="1" applyProtection="1">
      <alignment horizontal="center" vertical="center"/>
      <protection locked="0"/>
    </xf>
    <xf numFmtId="0" fontId="0" fillId="3" borderId="67" xfId="0" applyFill="1" applyBorder="1" applyAlignment="1">
      <alignment horizontal="center"/>
    </xf>
    <xf numFmtId="0" fontId="0" fillId="3" borderId="30" xfId="0" applyFill="1" applyBorder="1" applyAlignment="1">
      <alignment horizontal="center"/>
    </xf>
    <xf numFmtId="0" fontId="0" fillId="3" borderId="21" xfId="0" applyFill="1" applyBorder="1" applyAlignment="1">
      <alignment horizontal="center"/>
    </xf>
    <xf numFmtId="0" fontId="0" fillId="3" borderId="67"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36" fillId="4" borderId="67" xfId="1" applyFont="1" applyFill="1" applyBorder="1" applyAlignment="1" applyProtection="1">
      <alignment horizontal="center" vertical="center"/>
    </xf>
    <xf numFmtId="0" fontId="36" fillId="4" borderId="30" xfId="1" applyFont="1" applyFill="1" applyBorder="1" applyAlignment="1" applyProtection="1">
      <alignment horizontal="center" vertical="center"/>
    </xf>
    <xf numFmtId="0" fontId="36" fillId="4" borderId="21" xfId="1" applyFont="1" applyFill="1" applyBorder="1" applyAlignment="1" applyProtection="1">
      <alignment horizontal="center" vertical="center"/>
    </xf>
    <xf numFmtId="0" fontId="2" fillId="3" borderId="2" xfId="0" applyFont="1" applyFill="1" applyBorder="1" applyAlignment="1">
      <alignment horizontal="center" vertical="center"/>
    </xf>
    <xf numFmtId="0" fontId="2" fillId="3" borderId="76" xfId="0" applyFont="1" applyFill="1" applyBorder="1" applyAlignment="1">
      <alignment horizontal="center" vertical="center"/>
    </xf>
    <xf numFmtId="0" fontId="6" fillId="3" borderId="65" xfId="0" applyFont="1" applyFill="1" applyBorder="1" applyAlignment="1">
      <alignment horizontal="center" vertical="center" wrapText="1"/>
    </xf>
    <xf numFmtId="0" fontId="6" fillId="3" borderId="62"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3" borderId="50" xfId="0"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14" xfId="0" applyFont="1" applyFill="1" applyBorder="1" applyAlignment="1">
      <alignment horizontal="center" vertical="center" wrapText="1"/>
    </xf>
    <xf numFmtId="2" fontId="0" fillId="0" borderId="69" xfId="0" applyNumberFormat="1" applyBorder="1" applyAlignment="1">
      <alignment horizontal="center" wrapText="1"/>
    </xf>
    <xf numFmtId="2" fontId="0" fillId="0" borderId="78" xfId="0" applyNumberFormat="1" applyBorder="1" applyAlignment="1">
      <alignment horizontal="center" wrapText="1"/>
    </xf>
    <xf numFmtId="2" fontId="0" fillId="0" borderId="79" xfId="0" applyNumberFormat="1" applyBorder="1" applyAlignment="1">
      <alignment horizontal="center" wrapText="1"/>
    </xf>
    <xf numFmtId="0" fontId="0" fillId="3" borderId="67" xfId="0" applyFill="1" applyBorder="1" applyAlignment="1">
      <alignment horizontal="right"/>
    </xf>
    <xf numFmtId="0" fontId="0" fillId="3" borderId="30" xfId="0" applyFill="1" applyBorder="1" applyAlignment="1">
      <alignment horizontal="right"/>
    </xf>
    <xf numFmtId="0" fontId="0" fillId="3" borderId="21" xfId="0" applyFill="1" applyBorder="1" applyAlignment="1">
      <alignment horizontal="right"/>
    </xf>
    <xf numFmtId="0" fontId="7" fillId="2" borderId="39"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7" fillId="2" borderId="38" xfId="0" applyFont="1" applyFill="1" applyBorder="1" applyAlignment="1">
      <alignment horizontal="center" vertical="center" wrapText="1"/>
    </xf>
    <xf numFmtId="0" fontId="21" fillId="4" borderId="0" xfId="0" applyFont="1" applyFill="1" applyAlignment="1">
      <alignment horizontal="center" vertical="center"/>
    </xf>
    <xf numFmtId="178" fontId="20" fillId="0" borderId="1" xfId="0" applyNumberFormat="1" applyFont="1" applyBorder="1" applyAlignment="1" applyProtection="1">
      <alignment horizontal="left" vertical="top" wrapText="1"/>
      <protection locked="0"/>
    </xf>
    <xf numFmtId="178" fontId="20" fillId="0" borderId="2" xfId="0" applyNumberFormat="1" applyFont="1" applyBorder="1" applyAlignment="1" applyProtection="1">
      <alignment horizontal="left" vertical="top" wrapText="1"/>
      <protection locked="0"/>
    </xf>
    <xf numFmtId="178" fontId="20" fillId="0" borderId="41" xfId="0" applyNumberFormat="1" applyFont="1" applyBorder="1" applyAlignment="1" applyProtection="1">
      <alignment horizontal="left" vertical="top" wrapText="1"/>
      <protection locked="0"/>
    </xf>
    <xf numFmtId="178" fontId="20" fillId="0" borderId="3" xfId="0" applyNumberFormat="1" applyFont="1" applyBorder="1" applyAlignment="1" applyProtection="1">
      <alignment horizontal="left" vertical="top" wrapText="1"/>
      <protection locked="0"/>
    </xf>
    <xf numFmtId="178" fontId="20" fillId="0" borderId="0" xfId="0" applyNumberFormat="1" applyFont="1" applyBorder="1" applyAlignment="1" applyProtection="1">
      <alignment horizontal="left" vertical="top" wrapText="1"/>
      <protection locked="0"/>
    </xf>
    <xf numFmtId="178" fontId="20" fillId="0" borderId="35" xfId="0" applyNumberFormat="1" applyFont="1" applyBorder="1" applyAlignment="1" applyProtection="1">
      <alignment horizontal="left" vertical="top" wrapText="1"/>
      <protection locked="0"/>
    </xf>
    <xf numFmtId="178" fontId="20" fillId="0" borderId="55" xfId="0" applyNumberFormat="1" applyFont="1" applyBorder="1" applyAlignment="1" applyProtection="1">
      <alignment horizontal="left" vertical="top" wrapText="1"/>
      <protection locked="0"/>
    </xf>
    <xf numFmtId="178" fontId="20" fillId="0" borderId="36" xfId="0" applyNumberFormat="1" applyFont="1" applyBorder="1" applyAlignment="1" applyProtection="1">
      <alignment horizontal="left" vertical="top" wrapText="1"/>
      <protection locked="0"/>
    </xf>
    <xf numFmtId="178" fontId="20" fillId="0" borderId="37" xfId="0" applyNumberFormat="1" applyFont="1" applyBorder="1" applyAlignment="1" applyProtection="1">
      <alignment horizontal="left" vertical="top" wrapText="1"/>
      <protection locked="0"/>
    </xf>
    <xf numFmtId="0" fontId="9" fillId="9" borderId="39" xfId="0" applyFont="1" applyFill="1" applyBorder="1" applyAlignment="1">
      <alignment horizontal="center" vertical="center" wrapText="1"/>
    </xf>
    <xf numFmtId="0" fontId="9" fillId="9" borderId="12" xfId="0" applyFont="1" applyFill="1" applyBorder="1" applyAlignment="1">
      <alignment horizontal="center" vertical="center" wrapText="1"/>
    </xf>
    <xf numFmtId="0" fontId="9" fillId="9" borderId="38" xfId="0" applyFont="1" applyFill="1" applyBorder="1" applyAlignment="1">
      <alignment horizontal="center" vertical="center" wrapText="1"/>
    </xf>
    <xf numFmtId="0" fontId="4" fillId="11" borderId="49" xfId="0" applyFont="1" applyFill="1" applyBorder="1" applyAlignment="1">
      <alignment horizontal="center" vertical="center" wrapText="1"/>
    </xf>
    <xf numFmtId="0" fontId="4" fillId="11" borderId="38" xfId="0" applyFont="1" applyFill="1" applyBorder="1" applyAlignment="1">
      <alignment horizontal="center" vertical="center" wrapText="1"/>
    </xf>
    <xf numFmtId="0" fontId="10" fillId="8" borderId="18" xfId="0" applyFont="1" applyFill="1" applyBorder="1" applyAlignment="1" applyProtection="1">
      <alignment horizontal="center" wrapText="1"/>
      <protection locked="0"/>
    </xf>
    <xf numFmtId="0" fontId="10" fillId="8" borderId="8" xfId="0" applyFont="1" applyFill="1" applyBorder="1" applyAlignment="1" applyProtection="1">
      <alignment horizontal="center" wrapText="1"/>
      <protection locked="0"/>
    </xf>
    <xf numFmtId="0" fontId="14" fillId="7" borderId="18" xfId="0" applyFont="1" applyFill="1" applyBorder="1" applyAlignment="1" applyProtection="1">
      <alignment horizontal="center" vertical="center" wrapText="1"/>
      <protection locked="0"/>
    </xf>
    <xf numFmtId="0" fontId="14" fillId="7" borderId="8" xfId="0" applyFont="1" applyFill="1" applyBorder="1" applyAlignment="1" applyProtection="1">
      <alignment horizontal="center" vertical="center" wrapText="1"/>
      <protection locked="0"/>
    </xf>
    <xf numFmtId="0" fontId="5" fillId="8" borderId="18" xfId="0" applyFont="1" applyFill="1" applyBorder="1" applyAlignment="1">
      <alignment horizontal="center" vertical="center"/>
    </xf>
    <xf numFmtId="0" fontId="5" fillId="8" borderId="7" xfId="0" applyFont="1" applyFill="1" applyBorder="1" applyAlignment="1">
      <alignment horizontal="center" vertical="center"/>
    </xf>
    <xf numFmtId="0" fontId="5" fillId="8" borderId="22" xfId="0" applyFont="1" applyFill="1" applyBorder="1" applyAlignment="1">
      <alignment horizontal="center" vertical="center"/>
    </xf>
    <xf numFmtId="0" fontId="5" fillId="8" borderId="10" xfId="0" applyFont="1" applyFill="1" applyBorder="1" applyAlignment="1">
      <alignment horizontal="center" vertical="center"/>
    </xf>
    <xf numFmtId="0" fontId="10" fillId="8" borderId="22" xfId="0" applyFont="1" applyFill="1" applyBorder="1" applyAlignment="1" applyProtection="1">
      <alignment horizontal="center" wrapText="1"/>
      <protection locked="0"/>
    </xf>
    <xf numFmtId="0" fontId="10" fillId="8" borderId="11" xfId="0" applyFont="1" applyFill="1" applyBorder="1" applyAlignment="1" applyProtection="1">
      <alignment horizontal="center" wrapText="1"/>
      <protection locked="0"/>
    </xf>
    <xf numFmtId="0" fontId="11" fillId="7" borderId="34" xfId="0" applyFont="1" applyFill="1" applyBorder="1" applyAlignment="1" applyProtection="1">
      <alignment horizontal="center" vertical="center" wrapText="1"/>
      <protection locked="0"/>
    </xf>
    <xf numFmtId="0" fontId="11" fillId="7" borderId="43" xfId="0" applyFont="1" applyFill="1" applyBorder="1" applyAlignment="1" applyProtection="1">
      <alignment horizontal="center" vertical="center" wrapText="1"/>
      <protection locked="0"/>
    </xf>
    <xf numFmtId="0" fontId="2" fillId="3" borderId="36" xfId="0" applyFont="1" applyFill="1" applyBorder="1" applyAlignment="1">
      <alignment horizontal="left" vertical="center"/>
    </xf>
    <xf numFmtId="0" fontId="0" fillId="3" borderId="14" xfId="0" applyFill="1" applyBorder="1" applyAlignment="1">
      <alignment horizontal="left" vertical="center"/>
    </xf>
    <xf numFmtId="0" fontId="2" fillId="3" borderId="30" xfId="0" applyFont="1" applyFill="1" applyBorder="1" applyAlignment="1">
      <alignment horizontal="left" vertical="center"/>
    </xf>
    <xf numFmtId="0" fontId="0" fillId="3" borderId="21" xfId="0" applyFill="1" applyBorder="1" applyAlignment="1">
      <alignment horizontal="left" vertical="center"/>
    </xf>
    <xf numFmtId="0" fontId="0" fillId="3" borderId="36" xfId="0" applyFill="1" applyBorder="1" applyAlignment="1">
      <alignment horizontal="left" vertical="center"/>
    </xf>
    <xf numFmtId="0" fontId="5" fillId="3" borderId="34" xfId="0" applyFont="1" applyFill="1" applyBorder="1" applyAlignment="1">
      <alignment horizontal="center" vertical="center"/>
    </xf>
    <xf numFmtId="0" fontId="5" fillId="3" borderId="30" xfId="0" applyFont="1" applyFill="1" applyBorder="1" applyAlignment="1">
      <alignment horizontal="center" vertical="center"/>
    </xf>
    <xf numFmtId="0" fontId="5" fillId="3" borderId="61" xfId="0" applyFont="1" applyFill="1" applyBorder="1" applyAlignment="1">
      <alignment horizontal="left" vertical="center" wrapText="1"/>
    </xf>
    <xf numFmtId="0" fontId="5" fillId="3" borderId="66" xfId="0" applyFont="1" applyFill="1" applyBorder="1" applyAlignment="1">
      <alignment horizontal="left" vertical="center" wrapText="1"/>
    </xf>
    <xf numFmtId="0" fontId="5" fillId="3" borderId="47" xfId="0" applyFont="1" applyFill="1" applyBorder="1" applyAlignment="1">
      <alignment horizontal="left" vertical="center" wrapText="1"/>
    </xf>
    <xf numFmtId="0" fontId="5" fillId="3" borderId="35" xfId="0" applyFont="1" applyFill="1" applyBorder="1" applyAlignment="1">
      <alignment horizontal="left" vertical="center" wrapText="1"/>
    </xf>
    <xf numFmtId="0" fontId="5" fillId="3" borderId="57" xfId="0" applyFont="1" applyFill="1" applyBorder="1" applyAlignment="1">
      <alignment horizontal="left" vertical="center" wrapText="1"/>
    </xf>
    <xf numFmtId="0" fontId="5" fillId="3" borderId="37" xfId="0" applyFont="1" applyFill="1" applyBorder="1" applyAlignment="1">
      <alignment horizontal="left" vertical="center" wrapText="1"/>
    </xf>
    <xf numFmtId="0" fontId="16" fillId="3" borderId="61" xfId="0" applyFont="1" applyFill="1" applyBorder="1" applyAlignment="1" applyProtection="1">
      <alignment horizontal="center" vertical="center" wrapText="1"/>
      <protection locked="0"/>
    </xf>
    <xf numFmtId="0" fontId="16" fillId="3" borderId="66" xfId="0" applyFont="1" applyFill="1" applyBorder="1" applyAlignment="1" applyProtection="1">
      <alignment horizontal="center" vertical="center" wrapText="1"/>
      <protection locked="0"/>
    </xf>
    <xf numFmtId="0" fontId="16" fillId="3" borderId="57" xfId="0" applyFont="1" applyFill="1" applyBorder="1" applyAlignment="1" applyProtection="1">
      <alignment horizontal="center" vertical="center" wrapText="1"/>
      <protection locked="0"/>
    </xf>
    <xf numFmtId="0" fontId="16" fillId="3" borderId="37" xfId="0" applyFont="1" applyFill="1" applyBorder="1" applyAlignment="1" applyProtection="1">
      <alignment horizontal="center" vertical="center" wrapText="1"/>
      <protection locked="0"/>
    </xf>
    <xf numFmtId="0" fontId="10" fillId="3" borderId="61" xfId="0" applyFont="1" applyFill="1" applyBorder="1" applyAlignment="1" applyProtection="1">
      <alignment horizontal="center" vertical="center"/>
      <protection locked="0"/>
    </xf>
    <xf numFmtId="0" fontId="10" fillId="3" borderId="66" xfId="0" applyFont="1" applyFill="1" applyBorder="1" applyAlignment="1" applyProtection="1">
      <alignment horizontal="center" vertical="center"/>
      <protection locked="0"/>
    </xf>
    <xf numFmtId="0" fontId="10" fillId="3" borderId="47" xfId="0" applyFont="1" applyFill="1" applyBorder="1" applyAlignment="1" applyProtection="1">
      <alignment horizontal="center" vertical="center"/>
      <protection locked="0"/>
    </xf>
    <xf numFmtId="0" fontId="10" fillId="3" borderId="35" xfId="0" applyFont="1" applyFill="1" applyBorder="1" applyAlignment="1" applyProtection="1">
      <alignment horizontal="center" vertical="center"/>
      <protection locked="0"/>
    </xf>
    <xf numFmtId="0" fontId="10" fillId="3" borderId="57" xfId="0" applyFont="1" applyFill="1" applyBorder="1" applyAlignment="1" applyProtection="1">
      <alignment horizontal="center" vertical="center"/>
      <protection locked="0"/>
    </xf>
    <xf numFmtId="0" fontId="10" fillId="3" borderId="37" xfId="0" applyFont="1" applyFill="1" applyBorder="1" applyAlignment="1" applyProtection="1">
      <alignment horizontal="center" vertical="center"/>
      <protection locked="0"/>
    </xf>
    <xf numFmtId="0" fontId="8" fillId="3" borderId="1"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3" borderId="41" xfId="0"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6"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35" xfId="0" applyFont="1" applyFill="1" applyBorder="1" applyAlignment="1">
      <alignment horizontal="center" vertical="center" wrapText="1"/>
    </xf>
    <xf numFmtId="0" fontId="2" fillId="3" borderId="36" xfId="0" applyFont="1" applyFill="1" applyBorder="1" applyAlignment="1">
      <alignment horizontal="left"/>
    </xf>
    <xf numFmtId="0" fontId="0" fillId="3" borderId="36" xfId="0" applyFill="1" applyBorder="1" applyAlignment="1">
      <alignment horizontal="left"/>
    </xf>
    <xf numFmtId="0" fontId="9" fillId="7" borderId="39" xfId="0" applyFont="1" applyFill="1" applyBorder="1" applyAlignment="1">
      <alignment horizontal="center" vertical="center" wrapText="1"/>
    </xf>
    <xf numFmtId="0" fontId="9" fillId="7" borderId="12" xfId="0" applyFont="1" applyFill="1" applyBorder="1" applyAlignment="1">
      <alignment horizontal="center" vertical="center" wrapText="1"/>
    </xf>
    <xf numFmtId="0" fontId="9" fillId="7" borderId="38" xfId="0" applyFont="1" applyFill="1" applyBorder="1" applyAlignment="1">
      <alignment horizontal="center" vertical="center" wrapText="1"/>
    </xf>
    <xf numFmtId="0" fontId="14" fillId="2" borderId="39" xfId="0" applyFont="1" applyFill="1" applyBorder="1" applyAlignment="1" applyProtection="1">
      <alignment horizontal="center" vertical="center" wrapText="1"/>
      <protection locked="0"/>
    </xf>
    <xf numFmtId="0" fontId="14" fillId="2" borderId="12" xfId="0" applyFont="1" applyFill="1" applyBorder="1" applyAlignment="1" applyProtection="1">
      <alignment horizontal="center" vertical="center" wrapText="1"/>
      <protection locked="0"/>
    </xf>
    <xf numFmtId="0" fontId="14" fillId="2" borderId="38" xfId="0" applyFont="1" applyFill="1" applyBorder="1" applyAlignment="1" applyProtection="1">
      <alignment horizontal="center" vertical="center" wrapText="1"/>
      <protection locked="0"/>
    </xf>
    <xf numFmtId="0" fontId="2" fillId="3" borderId="60" xfId="0" applyFont="1" applyFill="1" applyBorder="1" applyAlignment="1" applyProtection="1">
      <alignment horizontal="left" vertical="top" wrapText="1"/>
      <protection locked="0"/>
    </xf>
    <xf numFmtId="0" fontId="2" fillId="3" borderId="66" xfId="0" applyFont="1" applyFill="1" applyBorder="1" applyAlignment="1" applyProtection="1">
      <alignment horizontal="left" vertical="top" wrapText="1"/>
      <protection locked="0"/>
    </xf>
    <xf numFmtId="0" fontId="2" fillId="3" borderId="5" xfId="0" applyFont="1" applyFill="1" applyBorder="1" applyAlignment="1" applyProtection="1">
      <alignment horizontal="left" vertical="top" wrapText="1"/>
      <protection locked="0"/>
    </xf>
    <xf numFmtId="0" fontId="2" fillId="3" borderId="40" xfId="0" applyFont="1" applyFill="1" applyBorder="1" applyAlignment="1" applyProtection="1">
      <alignment horizontal="left" vertical="top" wrapText="1"/>
      <protection locked="0"/>
    </xf>
    <xf numFmtId="0" fontId="24" fillId="15" borderId="33" xfId="0" applyFont="1" applyFill="1" applyBorder="1" applyAlignment="1" applyProtection="1">
      <alignment horizontal="center" vertical="center"/>
      <protection locked="0"/>
    </xf>
    <xf numFmtId="0" fontId="24" fillId="15" borderId="29" xfId="0" applyFont="1" applyFill="1" applyBorder="1" applyAlignment="1" applyProtection="1">
      <alignment horizontal="center" vertical="center"/>
      <protection locked="0"/>
    </xf>
    <xf numFmtId="0" fontId="24" fillId="15" borderId="42" xfId="0" applyFont="1" applyFill="1" applyBorder="1" applyAlignment="1" applyProtection="1">
      <alignment horizontal="center" vertical="center"/>
      <protection locked="0"/>
    </xf>
    <xf numFmtId="0" fontId="0" fillId="11" borderId="4" xfId="0" applyFill="1" applyBorder="1" applyAlignment="1">
      <alignment horizontal="center"/>
    </xf>
    <xf numFmtId="0" fontId="0" fillId="11" borderId="5" xfId="0" applyFill="1" applyBorder="1" applyAlignment="1">
      <alignment horizontal="center"/>
    </xf>
    <xf numFmtId="0" fontId="24" fillId="15" borderId="28" xfId="0" applyFont="1" applyFill="1" applyBorder="1" applyAlignment="1" applyProtection="1">
      <alignment horizontal="center" vertical="center"/>
      <protection locked="0"/>
    </xf>
    <xf numFmtId="0" fontId="0" fillId="3" borderId="60" xfId="0" applyFill="1" applyBorder="1" applyAlignment="1" applyProtection="1">
      <alignment horizontal="center" wrapText="1"/>
      <protection locked="0"/>
    </xf>
    <xf numFmtId="0" fontId="0" fillId="3" borderId="66" xfId="0" applyFill="1" applyBorder="1" applyAlignment="1" applyProtection="1">
      <alignment horizontal="center" wrapText="1"/>
      <protection locked="0"/>
    </xf>
    <xf numFmtId="0" fontId="0" fillId="3" borderId="5" xfId="0" applyFill="1" applyBorder="1" applyAlignment="1" applyProtection="1">
      <alignment horizontal="center" wrapText="1"/>
      <protection locked="0"/>
    </xf>
    <xf numFmtId="0" fontId="0" fillId="3" borderId="40" xfId="0" applyFill="1" applyBorder="1" applyAlignment="1" applyProtection="1">
      <alignment horizontal="center" wrapText="1"/>
      <protection locked="0"/>
    </xf>
    <xf numFmtId="0" fontId="2" fillId="0" borderId="7" xfId="0" applyFont="1" applyBorder="1" applyAlignment="1" applyProtection="1">
      <alignment horizontal="left" vertical="center"/>
      <protection locked="0"/>
    </xf>
    <xf numFmtId="0" fontId="0" fillId="0" borderId="7" xfId="0" applyBorder="1" applyAlignment="1" applyProtection="1">
      <alignment horizontal="left" vertical="center"/>
      <protection locked="0"/>
    </xf>
    <xf numFmtId="0" fontId="17" fillId="0" borderId="0" xfId="0" applyFont="1" applyBorder="1" applyAlignment="1" applyProtection="1">
      <alignment horizontal="left"/>
      <protection locked="0"/>
    </xf>
    <xf numFmtId="0" fontId="17" fillId="0" borderId="35" xfId="0" applyFont="1" applyBorder="1" applyAlignment="1" applyProtection="1">
      <alignment horizontal="left"/>
      <protection locked="0"/>
    </xf>
    <xf numFmtId="0" fontId="0" fillId="0" borderId="61" xfId="0" applyBorder="1" applyAlignment="1" applyProtection="1">
      <alignment horizontal="center" wrapText="1"/>
      <protection locked="0"/>
    </xf>
    <xf numFmtId="0" fontId="0" fillId="0" borderId="60" xfId="0" applyBorder="1" applyAlignment="1" applyProtection="1">
      <alignment horizontal="center" wrapText="1"/>
      <protection locked="0"/>
    </xf>
    <xf numFmtId="0" fontId="0" fillId="0" borderId="66" xfId="0" applyBorder="1" applyAlignment="1" applyProtection="1">
      <alignment horizontal="center" wrapText="1"/>
      <protection locked="0"/>
    </xf>
    <xf numFmtId="0" fontId="0" fillId="0" borderId="47" xfId="0" applyBorder="1" applyAlignment="1" applyProtection="1">
      <alignment horizontal="center" wrapText="1"/>
      <protection locked="0"/>
    </xf>
    <xf numFmtId="0" fontId="0" fillId="0" borderId="0" xfId="0" applyBorder="1" applyAlignment="1" applyProtection="1">
      <alignment horizontal="center" wrapText="1"/>
      <protection locked="0"/>
    </xf>
    <xf numFmtId="0" fontId="0" fillId="0" borderId="35" xfId="0" applyBorder="1" applyAlignment="1" applyProtection="1">
      <alignment horizontal="center" wrapText="1"/>
      <protection locked="0"/>
    </xf>
    <xf numFmtId="0" fontId="0" fillId="0" borderId="48"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16" fillId="0" borderId="6" xfId="0" applyFont="1" applyFill="1" applyBorder="1" applyAlignment="1" applyProtection="1">
      <alignment horizontal="left"/>
      <protection locked="0"/>
    </xf>
    <xf numFmtId="0" fontId="19" fillId="11" borderId="0" xfId="0" applyFont="1" applyFill="1" applyBorder="1" applyAlignment="1">
      <alignment horizontal="left" wrapText="1"/>
    </xf>
    <xf numFmtId="0" fontId="8" fillId="3" borderId="65" xfId="0" applyFont="1" applyFill="1" applyBorder="1" applyAlignment="1">
      <alignment horizontal="center" vertical="center" wrapText="1"/>
    </xf>
    <xf numFmtId="0" fontId="8" fillId="3" borderId="60" xfId="0" applyFont="1" applyFill="1" applyBorder="1" applyAlignment="1">
      <alignment horizontal="center" vertical="center" wrapText="1"/>
    </xf>
    <xf numFmtId="0" fontId="8" fillId="3" borderId="66"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40" xfId="0" applyFont="1" applyFill="1" applyBorder="1" applyAlignment="1">
      <alignment horizontal="center" vertical="center" wrapText="1"/>
    </xf>
    <xf numFmtId="0" fontId="2" fillId="3" borderId="60" xfId="0" applyFont="1" applyFill="1" applyBorder="1" applyAlignment="1" applyProtection="1">
      <alignment horizontal="left" wrapText="1"/>
      <protection locked="0"/>
    </xf>
    <xf numFmtId="0" fontId="0" fillId="3" borderId="60" xfId="0" applyFill="1" applyBorder="1" applyAlignment="1" applyProtection="1">
      <alignment horizontal="left" wrapText="1"/>
      <protection locked="0"/>
    </xf>
    <xf numFmtId="0" fontId="0" fillId="3" borderId="66" xfId="0" applyFill="1" applyBorder="1" applyAlignment="1" applyProtection="1">
      <alignment horizontal="left" wrapText="1"/>
      <protection locked="0"/>
    </xf>
    <xf numFmtId="0" fontId="0" fillId="3" borderId="5" xfId="0" applyFill="1" applyBorder="1" applyAlignment="1" applyProtection="1">
      <alignment horizontal="left" wrapText="1"/>
      <protection locked="0"/>
    </xf>
    <xf numFmtId="0" fontId="0" fillId="3" borderId="40" xfId="0" applyFill="1" applyBorder="1" applyAlignment="1" applyProtection="1">
      <alignment horizontal="left" wrapText="1"/>
      <protection locked="0"/>
    </xf>
    <xf numFmtId="0" fontId="2" fillId="3" borderId="39" xfId="0" applyFont="1" applyFill="1" applyBorder="1" applyAlignment="1">
      <alignment horizontal="center" vertical="center"/>
    </xf>
    <xf numFmtId="0" fontId="0" fillId="3" borderId="38" xfId="0" applyFill="1" applyBorder="1" applyAlignment="1">
      <alignment horizontal="center" vertical="center"/>
    </xf>
    <xf numFmtId="0" fontId="8" fillId="3" borderId="39"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38" xfId="0" applyFont="1" applyFill="1" applyBorder="1" applyAlignment="1">
      <alignment horizontal="center" vertical="center"/>
    </xf>
    <xf numFmtId="0" fontId="2" fillId="3" borderId="15" xfId="0" applyFont="1" applyFill="1" applyBorder="1" applyAlignment="1">
      <alignment horizontal="center" vertical="center" wrapText="1"/>
    </xf>
    <xf numFmtId="0" fontId="0" fillId="3" borderId="15" xfId="0" applyFill="1" applyBorder="1" applyAlignment="1">
      <alignment horizontal="center" vertical="center" wrapText="1"/>
    </xf>
    <xf numFmtId="0" fontId="0" fillId="3" borderId="57" xfId="0" applyFill="1" applyBorder="1" applyAlignment="1">
      <alignment horizontal="center" vertical="center" wrapText="1"/>
    </xf>
    <xf numFmtId="0" fontId="0" fillId="3" borderId="45" xfId="0" applyFill="1" applyBorder="1" applyAlignment="1">
      <alignment horizontal="center" vertical="center" wrapText="1"/>
    </xf>
    <xf numFmtId="0" fontId="5" fillId="3" borderId="51"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52" xfId="0" applyFont="1" applyFill="1" applyBorder="1" applyAlignment="1">
      <alignment horizontal="center" vertical="center"/>
    </xf>
    <xf numFmtId="0" fontId="5" fillId="3" borderId="25" xfId="0" applyFont="1" applyFill="1" applyBorder="1" applyAlignment="1">
      <alignment horizontal="center" vertical="center"/>
    </xf>
    <xf numFmtId="0" fontId="2" fillId="3" borderId="58" xfId="0" applyFont="1" applyFill="1" applyBorder="1" applyAlignment="1">
      <alignment horizontal="center" vertical="center" wrapText="1"/>
    </xf>
    <xf numFmtId="0" fontId="0" fillId="3" borderId="58" xfId="0" applyFill="1" applyBorder="1" applyAlignment="1">
      <alignment horizontal="center" vertical="center" wrapText="1"/>
    </xf>
    <xf numFmtId="0" fontId="0" fillId="3" borderId="61" xfId="0" applyFill="1" applyBorder="1" applyAlignment="1">
      <alignment horizontal="center" vertical="center" wrapText="1"/>
    </xf>
    <xf numFmtId="0" fontId="0" fillId="3" borderId="59" xfId="0" applyFill="1" applyBorder="1" applyAlignment="1">
      <alignment horizontal="center" vertical="center" wrapText="1"/>
    </xf>
    <xf numFmtId="0" fontId="5" fillId="3" borderId="65" xfId="0" applyFont="1" applyFill="1" applyBorder="1" applyAlignment="1">
      <alignment horizontal="left" vertical="center"/>
    </xf>
    <xf numFmtId="0" fontId="5" fillId="3" borderId="62" xfId="0" applyFont="1" applyFill="1" applyBorder="1" applyAlignment="1">
      <alignment horizontal="left" vertical="center"/>
    </xf>
    <xf numFmtId="0" fontId="5" fillId="3" borderId="55" xfId="0" applyFont="1" applyFill="1" applyBorder="1" applyAlignment="1">
      <alignment horizontal="left" vertical="center"/>
    </xf>
    <xf numFmtId="0" fontId="5" fillId="3" borderId="14" xfId="0" applyFont="1" applyFill="1" applyBorder="1" applyAlignment="1">
      <alignment horizontal="left" vertical="center"/>
    </xf>
    <xf numFmtId="0" fontId="5" fillId="3" borderId="18"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5" fillId="3" borderId="39" xfId="0" applyFont="1" applyFill="1" applyBorder="1" applyAlignment="1">
      <alignment horizontal="left" vertical="center"/>
    </xf>
    <xf numFmtId="0" fontId="5" fillId="3" borderId="72" xfId="0" applyFont="1" applyFill="1" applyBorder="1" applyAlignment="1">
      <alignment horizontal="left" vertical="center"/>
    </xf>
    <xf numFmtId="0" fontId="2" fillId="3" borderId="51" xfId="0" applyFont="1" applyFill="1" applyBorder="1" applyAlignment="1">
      <alignment horizontal="left" wrapText="1"/>
    </xf>
    <xf numFmtId="0" fontId="2" fillId="3" borderId="51" xfId="0" applyFont="1" applyFill="1" applyBorder="1" applyAlignment="1">
      <alignment horizontal="center" vertical="center" wrapText="1"/>
    </xf>
    <xf numFmtId="0" fontId="0" fillId="3" borderId="51" xfId="0" applyFill="1" applyBorder="1" applyAlignment="1">
      <alignment horizontal="center" vertical="center" wrapText="1"/>
    </xf>
    <xf numFmtId="0" fontId="0" fillId="3" borderId="49" xfId="0" applyFill="1" applyBorder="1" applyAlignment="1">
      <alignment horizontal="center" vertical="center" wrapText="1"/>
    </xf>
    <xf numFmtId="0" fontId="0" fillId="3" borderId="52" xfId="0" applyFill="1" applyBorder="1" applyAlignment="1">
      <alignment horizontal="center" vertical="center" wrapText="1"/>
    </xf>
    <xf numFmtId="0" fontId="2" fillId="3" borderId="15" xfId="0" applyFont="1" applyFill="1" applyBorder="1" applyAlignment="1">
      <alignment horizontal="left" wrapText="1"/>
    </xf>
    <xf numFmtId="0" fontId="2" fillId="3" borderId="58" xfId="0" applyFont="1" applyFill="1" applyBorder="1" applyAlignment="1">
      <alignment horizontal="left" wrapText="1"/>
    </xf>
    <xf numFmtId="0" fontId="5" fillId="3" borderId="68" xfId="0" applyFont="1" applyFill="1" applyBorder="1" applyAlignment="1">
      <alignment horizontal="center" vertical="center" wrapText="1"/>
    </xf>
    <xf numFmtId="0" fontId="5" fillId="3" borderId="69" xfId="0" applyFont="1" applyFill="1" applyBorder="1" applyAlignment="1">
      <alignment horizontal="center" vertical="center"/>
    </xf>
    <xf numFmtId="0" fontId="2" fillId="3" borderId="46" xfId="0" applyFont="1" applyFill="1" applyBorder="1" applyAlignment="1">
      <alignment horizontal="left" vertical="center" wrapText="1"/>
    </xf>
    <xf numFmtId="0" fontId="2" fillId="3" borderId="2" xfId="0" applyFont="1" applyFill="1" applyBorder="1" applyAlignment="1">
      <alignment horizontal="left" vertical="center" wrapText="1"/>
    </xf>
    <xf numFmtId="0" fontId="2" fillId="3" borderId="41" xfId="0" applyFont="1" applyFill="1" applyBorder="1" applyAlignment="1">
      <alignment horizontal="left" vertical="center" wrapText="1"/>
    </xf>
    <xf numFmtId="0" fontId="2" fillId="3" borderId="48" xfId="0" applyFont="1" applyFill="1" applyBorder="1" applyAlignment="1">
      <alignment horizontal="left" vertical="center" wrapText="1"/>
    </xf>
    <xf numFmtId="0" fontId="2" fillId="3" borderId="5" xfId="0" applyFont="1" applyFill="1" applyBorder="1" applyAlignment="1">
      <alignment horizontal="left" vertical="center" wrapText="1"/>
    </xf>
    <xf numFmtId="0" fontId="2" fillId="3" borderId="40" xfId="0" applyFont="1" applyFill="1" applyBorder="1" applyAlignment="1">
      <alignment horizontal="left" vertical="center" wrapText="1"/>
    </xf>
    <xf numFmtId="0" fontId="5" fillId="3" borderId="39" xfId="0" applyFont="1" applyFill="1" applyBorder="1" applyAlignment="1">
      <alignment horizontal="center" vertical="center" wrapText="1"/>
    </xf>
    <xf numFmtId="0" fontId="5" fillId="3" borderId="38" xfId="0" applyFont="1" applyFill="1" applyBorder="1" applyAlignment="1">
      <alignment horizontal="center" vertical="center" wrapText="1"/>
    </xf>
    <xf numFmtId="0" fontId="23" fillId="12" borderId="39" xfId="0" applyFont="1" applyFill="1" applyBorder="1" applyAlignment="1">
      <alignment horizontal="left" vertical="center" wrapText="1"/>
    </xf>
    <xf numFmtId="0" fontId="23" fillId="12" borderId="12" xfId="0" applyFont="1" applyFill="1" applyBorder="1" applyAlignment="1">
      <alignment horizontal="left" vertical="center"/>
    </xf>
    <xf numFmtId="0" fontId="23" fillId="12" borderId="38" xfId="0" applyFont="1" applyFill="1" applyBorder="1" applyAlignment="1">
      <alignment horizontal="left" vertical="center"/>
    </xf>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41" xfId="0" applyFont="1" applyFill="1" applyBorder="1" applyAlignment="1">
      <alignment horizontal="center" vertical="center" wrapText="1"/>
    </xf>
    <xf numFmtId="0" fontId="8" fillId="11" borderId="1" xfId="0" applyFont="1" applyFill="1" applyBorder="1" applyAlignment="1">
      <alignment horizontal="left" vertical="top" wrapText="1"/>
    </xf>
    <xf numFmtId="0" fontId="8" fillId="11" borderId="2" xfId="0" applyFont="1" applyFill="1" applyBorder="1" applyAlignment="1">
      <alignment horizontal="left" vertical="top" wrapText="1"/>
    </xf>
    <xf numFmtId="0" fontId="8" fillId="11" borderId="3" xfId="0" applyFont="1" applyFill="1" applyBorder="1" applyAlignment="1">
      <alignment horizontal="left" vertical="top" wrapText="1"/>
    </xf>
    <xf numFmtId="0" fontId="8" fillId="11" borderId="0" xfId="0" applyFont="1" applyFill="1" applyBorder="1" applyAlignment="1">
      <alignment horizontal="left" vertical="top" wrapText="1"/>
    </xf>
    <xf numFmtId="0" fontId="5" fillId="0" borderId="20" xfId="0" applyFont="1" applyBorder="1" applyAlignment="1">
      <alignment horizontal="center" vertical="center"/>
    </xf>
    <xf numFmtId="0" fontId="5" fillId="0" borderId="9" xfId="0" applyFont="1" applyBorder="1" applyAlignment="1">
      <alignment horizontal="center" vertical="center"/>
    </xf>
    <xf numFmtId="0" fontId="11" fillId="2" borderId="19" xfId="0" applyFont="1" applyFill="1" applyBorder="1" applyAlignment="1" applyProtection="1">
      <alignment horizontal="center" vertical="center" wrapText="1"/>
      <protection locked="0"/>
    </xf>
    <xf numFmtId="0" fontId="11" fillId="2" borderId="7"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wrapText="1"/>
      <protection locked="0"/>
    </xf>
    <xf numFmtId="0" fontId="11" fillId="2" borderId="21" xfId="0" applyFont="1" applyFill="1" applyBorder="1" applyAlignment="1" applyProtection="1">
      <alignment horizontal="center" vertical="center" wrapText="1"/>
      <protection locked="0"/>
    </xf>
    <xf numFmtId="0" fontId="11" fillId="2" borderId="6" xfId="0" applyFont="1" applyFill="1" applyBorder="1" applyAlignment="1" applyProtection="1">
      <alignment horizontal="center" vertical="center" wrapText="1"/>
      <protection locked="0"/>
    </xf>
    <xf numFmtId="0" fontId="11" fillId="2" borderId="9" xfId="0" applyFont="1" applyFill="1" applyBorder="1" applyAlignment="1" applyProtection="1">
      <alignment horizontal="center" vertical="center" wrapText="1"/>
      <protection locked="0"/>
    </xf>
    <xf numFmtId="0" fontId="22" fillId="2" borderId="23" xfId="1" applyFont="1" applyFill="1" applyBorder="1" applyAlignment="1" applyProtection="1">
      <alignment horizontal="center" vertical="center" wrapText="1"/>
      <protection locked="0"/>
    </xf>
    <xf numFmtId="0" fontId="11" fillId="2" borderId="10" xfId="0" applyFont="1" applyFill="1" applyBorder="1" applyAlignment="1" applyProtection="1">
      <alignment horizontal="center" vertical="center" wrapText="1"/>
      <protection locked="0"/>
    </xf>
    <xf numFmtId="0" fontId="11" fillId="2" borderId="11" xfId="0" applyFont="1" applyFill="1" applyBorder="1" applyAlignment="1" applyProtection="1">
      <alignment horizontal="center" vertical="center" wrapText="1"/>
      <protection locked="0"/>
    </xf>
    <xf numFmtId="0" fontId="5" fillId="2" borderId="18"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22"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2" fillId="7" borderId="25" xfId="0" applyFont="1"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7" borderId="52" xfId="0" applyFill="1" applyBorder="1" applyAlignment="1" applyProtection="1">
      <alignment horizontal="center" vertical="center"/>
      <protection locked="0"/>
    </xf>
    <xf numFmtId="0" fontId="5" fillId="0" borderId="22" xfId="0" applyFont="1" applyBorder="1" applyAlignment="1">
      <alignment horizontal="center" vertical="center"/>
    </xf>
    <xf numFmtId="0" fontId="5" fillId="0" borderId="11" xfId="0" applyFont="1" applyBorder="1" applyAlignment="1">
      <alignment horizontal="center" vertical="center"/>
    </xf>
    <xf numFmtId="0" fontId="5" fillId="2" borderId="39"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0" borderId="18" xfId="0" applyFont="1" applyBorder="1" applyAlignment="1">
      <alignment horizontal="center" vertical="center"/>
    </xf>
    <xf numFmtId="0" fontId="5" fillId="0" borderId="8" xfId="0" applyFont="1" applyBorder="1" applyAlignment="1">
      <alignment horizontal="center" vertical="center"/>
    </xf>
    <xf numFmtId="0" fontId="11" fillId="2" borderId="19" xfId="0" applyFont="1" applyFill="1" applyBorder="1" applyAlignment="1">
      <alignment horizontal="center" vertical="center" wrapText="1"/>
    </xf>
    <xf numFmtId="0" fontId="11" fillId="2" borderId="7" xfId="0" applyFont="1" applyFill="1" applyBorder="1" applyAlignment="1">
      <alignment horizontal="center" vertical="center" wrapText="1"/>
    </xf>
    <xf numFmtId="0" fontId="11" fillId="2" borderId="28"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22" fillId="2" borderId="23" xfId="1" applyFont="1" applyFill="1" applyBorder="1" applyAlignment="1" applyProtection="1">
      <alignment horizontal="center" vertical="center" wrapText="1"/>
    </xf>
    <xf numFmtId="0" fontId="11" fillId="2" borderId="10" xfId="0" applyFont="1" applyFill="1" applyBorder="1" applyAlignment="1">
      <alignment horizontal="center" vertical="center" wrapText="1"/>
    </xf>
    <xf numFmtId="0" fontId="11" fillId="2" borderId="24"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11" fillId="2" borderId="21"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67"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21"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11" fillId="2" borderId="67"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7" borderId="25" xfId="0" applyFont="1" applyFill="1" applyBorder="1" applyAlignment="1">
      <alignment horizontal="center" vertical="center"/>
    </xf>
    <xf numFmtId="0" fontId="0" fillId="7" borderId="51" xfId="0" applyFill="1" applyBorder="1" applyAlignment="1">
      <alignment horizontal="center" vertical="center"/>
    </xf>
    <xf numFmtId="0" fontId="0" fillId="7" borderId="49" xfId="0" applyFill="1" applyBorder="1" applyAlignment="1">
      <alignment horizontal="center" vertical="center"/>
    </xf>
    <xf numFmtId="0" fontId="0" fillId="7" borderId="52" xfId="0" applyFill="1" applyBorder="1" applyAlignment="1">
      <alignment horizontal="center" vertical="center"/>
    </xf>
    <xf numFmtId="0" fontId="9" fillId="2" borderId="39" xfId="0" applyFont="1" applyFill="1" applyBorder="1" applyAlignment="1">
      <alignment horizontal="center" vertical="center" wrapText="1"/>
    </xf>
    <xf numFmtId="0" fontId="9" fillId="2" borderId="12" xfId="0" applyFont="1" applyFill="1" applyBorder="1" applyAlignment="1">
      <alignment horizontal="center" vertical="center" wrapText="1"/>
    </xf>
    <xf numFmtId="0" fontId="9" fillId="2" borderId="38"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5" fillId="2" borderId="41"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40"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5" xfId="0" applyFont="1" applyFill="1" applyBorder="1" applyAlignment="1">
      <alignment horizontal="center" vertical="center" wrapText="1"/>
    </xf>
    <xf numFmtId="49" fontId="0" fillId="5" borderId="39" xfId="0" applyNumberFormat="1" applyFill="1" applyBorder="1" applyAlignment="1" applyProtection="1">
      <alignment horizontal="center" vertical="center" wrapText="1"/>
      <protection locked="0"/>
    </xf>
    <xf numFmtId="49" fontId="0" fillId="5" borderId="12" xfId="0" applyNumberFormat="1" applyFill="1" applyBorder="1" applyAlignment="1" applyProtection="1">
      <alignment horizontal="center" vertical="center" wrapText="1"/>
      <protection locked="0"/>
    </xf>
    <xf numFmtId="49" fontId="0" fillId="5" borderId="38" xfId="0" applyNumberFormat="1" applyFill="1" applyBorder="1" applyAlignment="1" applyProtection="1">
      <alignment horizontal="center" vertical="center" wrapText="1"/>
      <protection locked="0"/>
    </xf>
    <xf numFmtId="0" fontId="5" fillId="2" borderId="25" xfId="0" applyFont="1" applyFill="1" applyBorder="1" applyAlignment="1">
      <alignment horizontal="center" vertical="center" wrapText="1"/>
    </xf>
    <xf numFmtId="0" fontId="5" fillId="2" borderId="52" xfId="0" applyFont="1" applyFill="1" applyBorder="1" applyAlignment="1">
      <alignment horizontal="center" vertical="center" wrapText="1"/>
    </xf>
    <xf numFmtId="0" fontId="5" fillId="0" borderId="53" xfId="0" applyFont="1" applyBorder="1" applyAlignment="1">
      <alignment horizontal="center" vertical="center"/>
    </xf>
    <xf numFmtId="0" fontId="5" fillId="0" borderId="45" xfId="0" applyFont="1" applyBorder="1" applyAlignment="1">
      <alignment horizontal="center" vertical="center"/>
    </xf>
    <xf numFmtId="49" fontId="2" fillId="5" borderId="39" xfId="0" applyNumberFormat="1" applyFont="1" applyFill="1" applyBorder="1" applyAlignment="1" applyProtection="1">
      <alignment horizontal="center" vertical="center" wrapText="1"/>
      <protection locked="0"/>
    </xf>
    <xf numFmtId="0" fontId="11" fillId="2" borderId="33" xfId="0" applyFont="1" applyFill="1" applyBorder="1" applyAlignment="1">
      <alignment horizontal="center" vertical="center" wrapText="1"/>
    </xf>
    <xf numFmtId="0" fontId="11" fillId="2" borderId="29" xfId="0" applyFont="1" applyFill="1" applyBorder="1" applyAlignment="1">
      <alignment horizontal="center" vertical="center" wrapText="1"/>
    </xf>
    <xf numFmtId="0" fontId="11" fillId="2" borderId="42"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43" xfId="0" applyFont="1" applyFill="1" applyBorder="1" applyAlignment="1">
      <alignment horizontal="center" vertical="center" wrapText="1"/>
    </xf>
    <xf numFmtId="0" fontId="5" fillId="2" borderId="65" xfId="0" applyFont="1" applyFill="1" applyBorder="1" applyAlignment="1">
      <alignment horizontal="center" vertical="center" wrapText="1"/>
    </xf>
    <xf numFmtId="0" fontId="5" fillId="2" borderId="60" xfId="0" applyFont="1" applyFill="1" applyBorder="1" applyAlignment="1">
      <alignment horizontal="center" vertical="center" wrapText="1"/>
    </xf>
    <xf numFmtId="0" fontId="5" fillId="2" borderId="66"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3" fillId="3" borderId="67" xfId="1" applyFill="1" applyBorder="1" applyAlignment="1" applyProtection="1">
      <alignment horizontal="center" vertical="center" wrapText="1"/>
      <protection locked="0"/>
    </xf>
    <xf numFmtId="0" fontId="2" fillId="3" borderId="60" xfId="0" applyFont="1" applyFill="1" applyBorder="1" applyAlignment="1" applyProtection="1">
      <alignment horizontal="center" wrapText="1"/>
      <protection locked="0"/>
    </xf>
    <xf numFmtId="0" fontId="2" fillId="3" borderId="7" xfId="0" applyFont="1" applyFill="1" applyBorder="1" applyAlignment="1" applyProtection="1">
      <alignment horizontal="center" vertical="center"/>
      <protection locked="0"/>
    </xf>
    <xf numFmtId="0" fontId="2" fillId="3" borderId="6" xfId="0" applyFont="1" applyFill="1" applyBorder="1" applyAlignment="1" applyProtection="1">
      <alignment horizontal="center" vertical="center"/>
      <protection locked="0"/>
    </xf>
    <xf numFmtId="0" fontId="2" fillId="3" borderId="8" xfId="0" applyFont="1" applyFill="1" applyBorder="1" applyAlignment="1" applyProtection="1">
      <alignment horizontal="center" vertical="center"/>
      <protection locked="0"/>
    </xf>
    <xf numFmtId="0" fontId="2" fillId="3" borderId="9" xfId="0" applyFont="1" applyFill="1" applyBorder="1" applyAlignment="1" applyProtection="1">
      <alignment horizontal="center" vertical="center"/>
      <protection locked="0"/>
    </xf>
  </cellXfs>
  <cellStyles count="3">
    <cellStyle name="百分比" xfId="2" builtinId="5"/>
    <cellStyle name="常规" xfId="0" builtinId="0"/>
    <cellStyle name="超链接" xfId="1" builtinId="8"/>
  </cellStyles>
  <dxfs count="29">
    <dxf>
      <font>
        <color theme="0"/>
      </font>
    </dxf>
    <dxf>
      <font>
        <color theme="0"/>
      </font>
    </dxf>
    <dxf>
      <font>
        <color theme="0"/>
      </font>
    </dxf>
    <dxf>
      <font>
        <color theme="0"/>
      </font>
    </dxf>
    <dxf>
      <font>
        <color theme="0"/>
      </font>
    </dxf>
    <dxf>
      <font>
        <color theme="0"/>
      </font>
    </dxf>
    <dxf>
      <font>
        <color theme="0"/>
      </font>
    </dxf>
    <dxf>
      <font>
        <color rgb="FF0070C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theme="0"/>
      </font>
    </dxf>
    <dxf>
      <font>
        <color rgb="FFFF0000"/>
      </font>
    </dxf>
    <dxf>
      <font>
        <color theme="0"/>
      </font>
    </dxf>
    <dxf>
      <font>
        <color theme="0"/>
      </font>
    </dxf>
    <dxf>
      <font>
        <color theme="0"/>
      </font>
    </dxf>
    <dxf>
      <font>
        <color theme="0"/>
      </font>
    </dxf>
    <dxf>
      <font>
        <color theme="0"/>
      </font>
    </dxf>
    <dxf>
      <font>
        <color rgb="FFFF0000"/>
      </font>
    </dxf>
    <dxf>
      <font>
        <color theme="0"/>
      </font>
    </dxf>
    <dxf>
      <font>
        <color rgb="FFFF0000"/>
      </font>
    </dxf>
    <dxf>
      <font>
        <color theme="0"/>
      </font>
    </dxf>
    <dxf>
      <font>
        <b/>
        <i val="0"/>
        <color rgb="FFFF0000"/>
      </font>
    </dxf>
  </dxfs>
  <tableStyles count="0" defaultTableStyle="TableStyleMedium2" defaultPivotStyle="PivotStyleLight16"/>
  <colors>
    <mruColors>
      <color rgb="FF6699FF"/>
      <color rgb="FFE0EBF8"/>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cid:image001.png@01D072FE.7E0857C0"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26</xdr:row>
          <xdr:rowOff>123825</xdr:rowOff>
        </xdr:from>
        <xdr:to>
          <xdr:col>7</xdr:col>
          <xdr:colOff>266700</xdr:colOff>
          <xdr:row>29</xdr:row>
          <xdr:rowOff>9525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Full Service, Lifestyle Hotels &amp; Select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26</xdr:row>
          <xdr:rowOff>123825</xdr:rowOff>
        </xdr:from>
        <xdr:to>
          <xdr:col>10</xdr:col>
          <xdr:colOff>0</xdr:colOff>
          <xdr:row>29</xdr:row>
          <xdr:rowOff>9525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Extended-Stay</a:t>
              </a:r>
            </a:p>
          </xdr:txBody>
        </xdr:sp>
        <xdr:clientData fPrintsWithSheet="0"/>
      </xdr:twoCellAnchor>
    </mc:Choice>
    <mc:Fallback/>
  </mc:AlternateContent>
  <xdr:twoCellAnchor>
    <xdr:from>
      <xdr:col>0</xdr:col>
      <xdr:colOff>533400</xdr:colOff>
      <xdr:row>0</xdr:row>
      <xdr:rowOff>76200</xdr:rowOff>
    </xdr:from>
    <xdr:to>
      <xdr:col>11</xdr:col>
      <xdr:colOff>95250</xdr:colOff>
      <xdr:row>2</xdr:row>
      <xdr:rowOff>19050</xdr:rowOff>
    </xdr:to>
    <xdr:sp macro="" textlink="">
      <xdr:nvSpPr>
        <xdr:cNvPr id="2" name="TextBox 1"/>
        <xdr:cNvSpPr txBox="1"/>
      </xdr:nvSpPr>
      <xdr:spPr>
        <a:xfrm>
          <a:off x="533400" y="76200"/>
          <a:ext cx="6353175" cy="5905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latin typeface="Marriott Bold" panose="00000700000000000000" pitchFamily="2" charset="0"/>
            </a:rPr>
            <a:t>Marriott International Revenue Management</a:t>
          </a:r>
        </a:p>
        <a:p>
          <a:pPr algn="ctr"/>
          <a:r>
            <a:rPr lang="en-US" sz="1100">
              <a:latin typeface="Marriott Medium" panose="00000500000000000000" pitchFamily="2" charset="0"/>
            </a:rPr>
            <a:t>Hotel Opening Phase 2 Packet  - v1.4.7</a:t>
          </a:r>
          <a:endParaRPr lang="en-US" sz="1200">
            <a:latin typeface="Marriott Medium" panose="00000500000000000000" pitchFamily="2" charset="0"/>
          </a:endParaRPr>
        </a:p>
        <a:p>
          <a:pPr algn="ctr"/>
          <a:r>
            <a:rPr lang="en-US" sz="1100" i="1">
              <a:latin typeface="Marriott Light" panose="00000300000000000000" pitchFamily="2" charset="0"/>
            </a:rPr>
            <a:t>For</a:t>
          </a:r>
          <a:r>
            <a:rPr lang="en-US" sz="1100" i="1" baseline="0">
              <a:latin typeface="Marriott Light" panose="00000300000000000000" pitchFamily="2" charset="0"/>
            </a:rPr>
            <a:t> techincal support please contact jessica.m.griffin@marriott.com</a:t>
          </a:r>
          <a:endParaRPr lang="en-US" sz="1050" i="1">
            <a:latin typeface="Marriott Light" panose="000003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285750</xdr:colOff>
      <xdr:row>23</xdr:row>
      <xdr:rowOff>9525</xdr:rowOff>
    </xdr:from>
    <xdr:to>
      <xdr:col>8</xdr:col>
      <xdr:colOff>28575</xdr:colOff>
      <xdr:row>56</xdr:row>
      <xdr:rowOff>0</xdr:rowOff>
    </xdr:to>
    <xdr:sp macro="" textlink="">
      <xdr:nvSpPr>
        <xdr:cNvPr id="2" name="TextBox 1"/>
        <xdr:cNvSpPr txBox="1"/>
      </xdr:nvSpPr>
      <xdr:spPr>
        <a:xfrm>
          <a:off x="4124325" y="4972050"/>
          <a:ext cx="6553200" cy="5962650"/>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Marriott Rewards Standard Room Pool Requirements</a:t>
          </a: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Full-Service Properties</a:t>
          </a:r>
          <a:r>
            <a:rPr lang="en-US" sz="1100">
              <a:solidFill>
                <a:schemeClr val="dk1"/>
              </a:solidFill>
              <a:effectLst/>
              <a:latin typeface="+mn-lt"/>
              <a:ea typeface="+mn-ea"/>
              <a:cs typeface="+mn-cs"/>
            </a:rPr>
            <a:t> - </a:t>
          </a:r>
        </a:p>
        <a:p>
          <a:r>
            <a:rPr lang="en-US" sz="1100">
              <a:solidFill>
                <a:schemeClr val="dk1"/>
              </a:solidFill>
              <a:effectLst/>
              <a:latin typeface="+mn-lt"/>
              <a:ea typeface="+mn-ea"/>
              <a:cs typeface="+mn-cs"/>
            </a:rPr>
            <a:t>A standard room is the room pool associated with the lowest benchmark rate in sell strategy plus any room pools that meet either of the following conditions:</a:t>
          </a:r>
        </a:p>
        <a:p>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 Room pools priced at or above 110% of the pool with the lowest benchmark rated</a:t>
          </a:r>
        </a:p>
        <a:p>
          <a:pPr lvl="0"/>
          <a:r>
            <a:rPr lang="en-US" sz="1100">
              <a:solidFill>
                <a:schemeClr val="dk1"/>
              </a:solidFill>
              <a:effectLst/>
              <a:latin typeface="+mn-lt"/>
              <a:ea typeface="+mn-ea"/>
              <a:cs typeface="+mn-cs"/>
            </a:rPr>
            <a:t>• Room pools priced up to $25 above the lowest benchmark rated room pool ($ currency is USD)</a:t>
          </a:r>
        </a:p>
        <a:p>
          <a:pPr marL="0" marR="0" lvl="0" indent="0" defTabSz="914400" eaLnBrk="1" fontAlgn="auto" latinLnBrk="0" hangingPunct="1">
            <a:lnSpc>
              <a:spcPct val="100000"/>
            </a:lnSpc>
            <a:spcBef>
              <a:spcPts val="0"/>
            </a:spcBef>
            <a:spcAft>
              <a:spcPts val="0"/>
            </a:spcAft>
            <a:buClrTx/>
            <a:buSzTx/>
            <a:buFontTx/>
            <a:buNone/>
            <a:tabLst/>
            <a:defRPr/>
          </a:pPr>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If the standard room pool(s) as defined above do not make up at least 30% of the hotel’s total inventory then additional room pools are required to have </a:t>
          </a:r>
          <a:r>
            <a:rPr lang="en-US" sz="1100" u="sng">
              <a:solidFill>
                <a:schemeClr val="dk1"/>
              </a:solidFill>
              <a:effectLst/>
              <a:latin typeface="+mn-lt"/>
              <a:ea typeface="+mn-ea"/>
              <a:cs typeface="+mn-cs"/>
            </a:rPr>
            <a:t>upgrade</a:t>
          </a:r>
          <a:r>
            <a:rPr lang="en-US" sz="1100">
              <a:solidFill>
                <a:schemeClr val="dk1"/>
              </a:solidFill>
              <a:effectLst/>
              <a:latin typeface="+mn-lt"/>
              <a:ea typeface="+mn-ea"/>
              <a:cs typeface="+mn-cs"/>
            </a:rPr>
            <a:t> redemption rate programs built against them until they meet the 30% of total inventory threshold. </a:t>
          </a:r>
        </a:p>
        <a:p>
          <a:pPr lvl="0"/>
          <a:endParaRPr lang="en-US" sz="1100">
            <a:solidFill>
              <a:schemeClr val="dk1"/>
            </a:solidFill>
            <a:effectLst/>
            <a:latin typeface="+mn-lt"/>
            <a:ea typeface="+mn-ea"/>
            <a:cs typeface="+mn-cs"/>
          </a:endParaRPr>
        </a:p>
        <a:p>
          <a:pPr algn="l"/>
          <a:r>
            <a:rPr lang="en-US" sz="1100" b="1"/>
            <a:t>Modern Essential,</a:t>
          </a:r>
          <a:r>
            <a:rPr lang="en-US" sz="1100" b="1" baseline="0"/>
            <a:t> AC Hotels &amp; Moxy</a:t>
          </a:r>
          <a:r>
            <a:rPr lang="en-US" sz="1100" b="1"/>
            <a:t> Properties - </a:t>
          </a:r>
        </a:p>
        <a:p>
          <a:pPr algn="l"/>
          <a:r>
            <a:rPr lang="en-US" sz="1100">
              <a:solidFill>
                <a:schemeClr val="dk1"/>
              </a:solidFill>
              <a:effectLst/>
              <a:latin typeface="+mn-lt"/>
              <a:ea typeface="+mn-ea"/>
              <a:cs typeface="+mn-cs"/>
            </a:rPr>
            <a:t>A standard room applies to all non-premium 1 and 2 bedded room types regardless of price points. Example: CY = GENR/QNQN, SH = KSTE/DDST, FI = KING/DBDB</a:t>
          </a:r>
        </a:p>
        <a:p>
          <a:pPr algn="l"/>
          <a:endParaRPr lang="en-US" sz="1100" b="1">
            <a:solidFill>
              <a:schemeClr val="dk1"/>
            </a:solidFill>
            <a:effectLst/>
            <a:latin typeface="+mn-lt"/>
            <a:ea typeface="+mn-ea"/>
            <a:cs typeface="+mn-cs"/>
          </a:endParaRPr>
        </a:p>
        <a:p>
          <a:pPr algn="l"/>
          <a:r>
            <a:rPr lang="en-US" sz="1100" b="1">
              <a:solidFill>
                <a:schemeClr val="dk1"/>
              </a:solidFill>
              <a:effectLst/>
              <a:latin typeface="+mn-lt"/>
              <a:ea typeface="+mn-ea"/>
              <a:cs typeface="+mn-cs"/>
            </a:rPr>
            <a:t>Extended Stay Properties-</a:t>
          </a:r>
        </a:p>
        <a:p>
          <a:r>
            <a:rPr lang="en-US" sz="1100" u="sng">
              <a:solidFill>
                <a:schemeClr val="dk1"/>
              </a:solidFill>
              <a:effectLst/>
              <a:latin typeface="+mn-lt"/>
              <a:ea typeface="+mn-ea"/>
              <a:cs typeface="+mn-cs"/>
            </a:rPr>
            <a:t>For TownePlace Suites </a:t>
          </a:r>
          <a:r>
            <a:rPr lang="en-US" sz="1100">
              <a:solidFill>
                <a:schemeClr val="dk1"/>
              </a:solidFill>
              <a:effectLst/>
              <a:latin typeface="+mn-lt"/>
              <a:ea typeface="+mn-ea"/>
              <a:cs typeface="+mn-cs"/>
            </a:rPr>
            <a:t>– a standard room applies to all studio room types. Hotels may offer the entire one bedroom room type as a level one upgraded room to be paid by additional cash or points. </a:t>
          </a:r>
        </a:p>
        <a:p>
          <a:r>
            <a:rPr lang="en-US" sz="1100" i="1">
              <a:solidFill>
                <a:schemeClr val="dk1"/>
              </a:solidFill>
              <a:effectLst/>
              <a:latin typeface="+mn-lt"/>
              <a:ea typeface="+mn-ea"/>
              <a:cs typeface="+mn-cs"/>
            </a:rPr>
            <a:t>*One bedroom room types are not considered standard due to the limited number of rooms in this room type for this brand (typically less than 5% of the total hotel).</a:t>
          </a:r>
          <a:endParaRPr lang="en-US" sz="1100">
            <a:solidFill>
              <a:schemeClr val="dk1"/>
            </a:solidFill>
            <a:effectLst/>
            <a:latin typeface="+mn-lt"/>
            <a:ea typeface="+mn-ea"/>
            <a:cs typeface="+mn-cs"/>
          </a:endParaRPr>
        </a:p>
        <a:p>
          <a:pPr algn="l"/>
          <a:endParaRPr lang="en-US" sz="1100" b="1"/>
        </a:p>
        <a:p>
          <a:r>
            <a:rPr lang="en-US" sz="1100" u="sng">
              <a:solidFill>
                <a:schemeClr val="dk1"/>
              </a:solidFill>
              <a:effectLst/>
              <a:latin typeface="+mn-lt"/>
              <a:ea typeface="+mn-ea"/>
              <a:cs typeface="+mn-cs"/>
            </a:rPr>
            <a:t>For Residence Inn </a:t>
          </a:r>
          <a:r>
            <a:rPr lang="en-US" sz="1100">
              <a:solidFill>
                <a:schemeClr val="dk1"/>
              </a:solidFill>
              <a:effectLst/>
              <a:latin typeface="+mn-lt"/>
              <a:ea typeface="+mn-ea"/>
              <a:cs typeface="+mn-cs"/>
            </a:rPr>
            <a:t>- a standard room applies to all studios and one bedroom room types. If one of the following additional guidelines is met then the hotel can offer the entire one bedroom room type as a level one upgraded room to be paid by additional cash or points. Upgraded one bedroom room types must still meet the same availability requirements as a standard redemption.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Additional guidelines for Residence Inn are as follows for one bedroom level one upgrades:</a:t>
          </a:r>
        </a:p>
        <a:p>
          <a:pPr lvl="0"/>
          <a:r>
            <a:rPr lang="en-US" sz="1100">
              <a:solidFill>
                <a:schemeClr val="dk1"/>
              </a:solidFill>
              <a:effectLst/>
              <a:latin typeface="+mn-lt"/>
              <a:ea typeface="+mn-ea"/>
              <a:cs typeface="+mn-cs"/>
            </a:rPr>
            <a:t>• If a one bedroom room type(s) is less than 20% of the hotel’s total inventory </a:t>
          </a:r>
        </a:p>
        <a:p>
          <a:pPr lvl="0"/>
          <a:r>
            <a:rPr lang="en-US" sz="1100">
              <a:solidFill>
                <a:schemeClr val="dk1"/>
              </a:solidFill>
              <a:effectLst/>
              <a:latin typeface="+mn-lt"/>
              <a:ea typeface="+mn-ea"/>
              <a:cs typeface="+mn-cs"/>
            </a:rPr>
            <a:t>• If a one bedroom room types(s) is priced $20 USD and/or 15% higher than the standard room pool (studios) </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81</xdr:row>
      <xdr:rowOff>38099</xdr:rowOff>
    </xdr:from>
    <xdr:to>
      <xdr:col>13</xdr:col>
      <xdr:colOff>0</xdr:colOff>
      <xdr:row>102</xdr:row>
      <xdr:rowOff>114299</xdr:rowOff>
    </xdr:to>
    <xdr:sp macro="" textlink="">
      <xdr:nvSpPr>
        <xdr:cNvPr id="2" name="TextBox 1"/>
        <xdr:cNvSpPr txBox="1"/>
      </xdr:nvSpPr>
      <xdr:spPr>
        <a:xfrm>
          <a:off x="609600" y="16411574"/>
          <a:ext cx="11791950" cy="3476625"/>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dk1"/>
              </a:solidFill>
              <a:effectLst/>
              <a:latin typeface="+mn-lt"/>
              <a:ea typeface="+mn-ea"/>
              <a:cs typeface="+mn-cs"/>
            </a:rPr>
            <a:t>Marriott Promotions and Discounts</a:t>
          </a:r>
        </a:p>
        <a:p>
          <a:endParaRPr lang="en-US" sz="1400" b="1" baseline="0">
            <a:solidFill>
              <a:schemeClr val="dk1"/>
            </a:solidFill>
            <a:effectLst/>
            <a:latin typeface="+mn-lt"/>
            <a:ea typeface="+mn-ea"/>
            <a:cs typeface="+mn-cs"/>
          </a:endParaRPr>
        </a:p>
        <a:p>
          <a:r>
            <a:rPr lang="en-US" sz="1100" b="1" baseline="0">
              <a:solidFill>
                <a:schemeClr val="dk1"/>
              </a:solidFill>
              <a:effectLst/>
              <a:latin typeface="+mn-lt"/>
              <a:ea typeface="+mn-ea"/>
              <a:cs typeface="+mn-cs"/>
            </a:rPr>
            <a:t>AAA</a:t>
          </a:r>
          <a:r>
            <a:rPr lang="en-US" sz="1100" baseline="0">
              <a:solidFill>
                <a:schemeClr val="dk1"/>
              </a:solidFill>
              <a:effectLst/>
              <a:latin typeface="+mn-lt"/>
              <a:ea typeface="+mn-ea"/>
              <a:cs typeface="+mn-cs"/>
            </a:rPr>
            <a:t>:</a:t>
          </a:r>
          <a:r>
            <a:rPr lang="en-US" sz="1100" b="1" baseline="0">
              <a:solidFill>
                <a:schemeClr val="dk1"/>
              </a:solidFill>
              <a:effectLst/>
              <a:latin typeface="+mn-lt"/>
              <a:ea typeface="+mn-ea"/>
              <a:cs typeface="+mn-cs"/>
            </a:rPr>
            <a:t> L</a:t>
          </a:r>
          <a:r>
            <a:rPr lang="en-US" sz="1100" b="0" baseline="0">
              <a:solidFill>
                <a:schemeClr val="dk1"/>
              </a:solidFill>
              <a:effectLst/>
              <a:latin typeface="+mn-lt"/>
              <a:ea typeface="+mn-ea"/>
              <a:cs typeface="+mn-cs"/>
            </a:rPr>
            <a:t>oaded with two price points. The first is equal to retail rates, and the second is a 5% or more off of retail (based on the grid completed at the top of the page).</a:t>
          </a:r>
          <a:endParaRPr lang="en-US">
            <a:effectLst/>
          </a:endParaRPr>
        </a:p>
        <a:p>
          <a:r>
            <a:rPr lang="en-US" sz="1100" b="1" baseline="0">
              <a:solidFill>
                <a:schemeClr val="dk1"/>
              </a:solidFill>
              <a:effectLst/>
              <a:latin typeface="+mn-lt"/>
              <a:ea typeface="+mn-ea"/>
              <a:cs typeface="+mn-cs"/>
            </a:rPr>
            <a:t>eBreaks</a:t>
          </a:r>
          <a:r>
            <a:rPr lang="en-US" sz="1100" b="0" baseline="0">
              <a:solidFill>
                <a:schemeClr val="dk1"/>
              </a:solidFill>
              <a:effectLst/>
              <a:latin typeface="+mn-lt"/>
              <a:ea typeface="+mn-ea"/>
              <a:cs typeface="+mn-cs"/>
            </a:rPr>
            <a:t>: </a:t>
          </a:r>
          <a:r>
            <a:rPr lang="en-US" sz="1100" b="0" i="1">
              <a:solidFill>
                <a:schemeClr val="dk1"/>
              </a:solidFill>
              <a:effectLst/>
              <a:latin typeface="+mn-lt"/>
              <a:ea typeface="+mn-ea"/>
              <a:cs typeface="+mn-cs"/>
            </a:rPr>
            <a:t>Weekend promotion that rotates through markets to help sell distressed inventory. Discount must be 20% or more off of benchmark/retail rates. </a:t>
          </a:r>
          <a:r>
            <a:rPr lang="en-US" sz="1100" b="0" i="0">
              <a:solidFill>
                <a:schemeClr val="dk1"/>
              </a:solidFill>
              <a:effectLst/>
              <a:latin typeface="+mn-lt"/>
              <a:ea typeface="+mn-ea"/>
              <a:cs typeface="+mn-cs"/>
            </a:rPr>
            <a:t>The property can choose if/when they would like to participate in a campaign, but once the opt-in the rates cannot be closed.</a:t>
          </a:r>
        </a:p>
        <a:p>
          <a:r>
            <a:rPr lang="en-US" sz="1100" b="1" i="0">
              <a:solidFill>
                <a:schemeClr val="dk1"/>
              </a:solidFill>
              <a:effectLst/>
              <a:latin typeface="+mn-lt"/>
              <a:ea typeface="+mn-ea"/>
              <a:cs typeface="+mn-cs"/>
            </a:rPr>
            <a:t>Hotel Excellence:</a:t>
          </a:r>
          <a:r>
            <a:rPr lang="en-US" sz="1100" b="1" i="0" baseline="0">
              <a:solidFill>
                <a:schemeClr val="dk1"/>
              </a:solidFill>
              <a:effectLst/>
              <a:latin typeface="+mn-lt"/>
              <a:ea typeface="+mn-ea"/>
              <a:cs typeface="+mn-cs"/>
            </a:rPr>
            <a:t> </a:t>
          </a:r>
          <a:r>
            <a:rPr lang="en-US" sz="1100">
              <a:solidFill>
                <a:schemeClr val="dk1"/>
              </a:solidFill>
              <a:effectLst/>
              <a:latin typeface="+mn-lt"/>
              <a:ea typeface="+mn-ea"/>
              <a:cs typeface="+mn-cs"/>
            </a:rPr>
            <a:t>Primary benefit offered to qualified Hotel Sales Specialists (HSSs) - Travel agents who have successfully completed </a:t>
          </a:r>
          <a:r>
            <a:rPr lang="en-US" sz="1100" u="none" strike="noStrike">
              <a:solidFill>
                <a:schemeClr val="dk1"/>
              </a:solidFill>
              <a:effectLst/>
              <a:latin typeface="+mn-lt"/>
              <a:ea typeface="+mn-ea"/>
              <a:cs typeface="+mn-cs"/>
              <a:hlinkClick xmlns:r="http://schemas.openxmlformats.org/officeDocument/2006/relationships" r:id=""/>
            </a:rPr>
            <a:t>Hotel Excellence!</a:t>
          </a:r>
          <a:r>
            <a:rPr lang="en-US" sz="1100">
              <a:solidFill>
                <a:schemeClr val="dk1"/>
              </a:solidFill>
              <a:effectLst/>
              <a:latin typeface="+mn-lt"/>
              <a:ea typeface="+mn-ea"/>
              <a:cs typeface="+mn-cs"/>
            </a:rPr>
            <a:t> training and are employed by a valid ARC, IATA, IATAN or TIDS agency. Price points are between $44-$149 based on brand.</a:t>
          </a:r>
          <a:endParaRPr lang="en-US">
            <a:effectLst/>
          </a:endParaRPr>
        </a:p>
        <a:p>
          <a:r>
            <a:rPr lang="en-US" sz="1100" b="1"/>
            <a:t>Marriott Business Rate: </a:t>
          </a:r>
          <a:r>
            <a:rPr lang="en-US" sz="1100"/>
            <a:t>For Full Service, the rate will be 20%  off retail or the lowest LRA special corporate rate. For Modern</a:t>
          </a:r>
          <a:r>
            <a:rPr lang="en-US" sz="1100" baseline="0"/>
            <a:t> Essential and Extended Stay the rate is 10% off retail, or the lowest LRA special corporate rate.</a:t>
          </a:r>
        </a:p>
        <a:p>
          <a:r>
            <a:rPr lang="en-US" sz="1100" b="1" baseline="0"/>
            <a:t>Marriott Senior Discount: </a:t>
          </a:r>
          <a:r>
            <a:rPr lang="en-US" sz="1100">
              <a:solidFill>
                <a:schemeClr val="dk1"/>
              </a:solidFill>
              <a:effectLst/>
              <a:latin typeface="+mn-lt"/>
              <a:ea typeface="+mn-ea"/>
              <a:cs typeface="+mn-cs"/>
            </a:rPr>
            <a:t>Offered to guests 62 or older, and it is 15% off of weekday and weekend bench mark/retail rates. It is required for all brands and continents except Ritz Carlton, AP (Asia Pacific), and Courtyard Europe. The discount is yieldable (NLRA).</a:t>
          </a:r>
          <a:endParaRPr lang="en-US" sz="1100" b="1" baseline="0"/>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Travel Industry Discount: </a:t>
          </a:r>
          <a:r>
            <a:rPr lang="en-US" sz="1100" b="0" baseline="0">
              <a:solidFill>
                <a:schemeClr val="dk1"/>
              </a:solidFill>
              <a:effectLst/>
              <a:latin typeface="+mn-lt"/>
              <a:ea typeface="+mn-ea"/>
              <a:cs typeface="+mn-cs"/>
            </a:rPr>
            <a:t>required for Courtyard, SpringHill Suites and Fairfield Inn, on weekends. Optional for all other brands and days of the week. If you would like to offer it, please indivate as an Additional Rate (columns K, L or M)</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VIP Athletic: </a:t>
          </a:r>
          <a:r>
            <a:rPr lang="en-US" sz="1100" b="0" baseline="0">
              <a:solidFill>
                <a:schemeClr val="dk1"/>
              </a:solidFill>
              <a:effectLst/>
              <a:latin typeface="+mn-lt"/>
              <a:ea typeface="+mn-ea"/>
              <a:cs typeface="+mn-cs"/>
            </a:rPr>
            <a:t>required for managed hotels, optional for franchise. Choose 10%-40% off retail</a:t>
          </a:r>
          <a:endParaRPr lang="en-US">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32</xdr:row>
      <xdr:rowOff>152400</xdr:rowOff>
    </xdr:from>
    <xdr:to>
      <xdr:col>12</xdr:col>
      <xdr:colOff>19050</xdr:colOff>
      <xdr:row>60</xdr:row>
      <xdr:rowOff>142875</xdr:rowOff>
    </xdr:to>
    <xdr:sp macro="" textlink="">
      <xdr:nvSpPr>
        <xdr:cNvPr id="2" name="TextBox 1"/>
        <xdr:cNvSpPr txBox="1"/>
      </xdr:nvSpPr>
      <xdr:spPr>
        <a:xfrm>
          <a:off x="590550" y="9639300"/>
          <a:ext cx="8772525" cy="452437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eChannel Participation Requirements</a:t>
          </a:r>
        </a:p>
        <a:p>
          <a:endParaRPr lang="en-US" sz="1100"/>
        </a:p>
        <a:p>
          <a:r>
            <a:rPr lang="en-US" sz="1100" b="1"/>
            <a:t>Expedia: </a:t>
          </a:r>
          <a:r>
            <a:rPr lang="en-US" sz="1100" b="0"/>
            <a:t>Participation is required for managed and franchised hotels. The hotel </a:t>
          </a:r>
          <a:r>
            <a:rPr lang="en-US" sz="1100"/>
            <a:t>must participate in Merchant,</a:t>
          </a:r>
          <a:r>
            <a:rPr lang="en-US" sz="1100" baseline="0"/>
            <a:t> Hotel Collect, Advance Purchase and Bundled. All premium rooms must be included that are 5% or more of the hotels capacity.</a:t>
          </a:r>
        </a:p>
        <a:p>
          <a:endParaRPr lang="en-US" sz="1100" baseline="0"/>
        </a:p>
        <a:p>
          <a:r>
            <a:rPr lang="en-US" sz="1100" b="1" baseline="0"/>
            <a:t>Booking.com: </a:t>
          </a:r>
          <a:r>
            <a:rPr lang="en-US" sz="1100" baseline="0"/>
            <a:t>hotel must offer to Booking.com all rates that are available on Expedia. Thus Merchant, Bundled, Advance Purchase and all room pools (5% or more of hotel capacity) must be offered </a:t>
          </a:r>
        </a:p>
        <a:p>
          <a:endParaRPr lang="en-US" sz="1100" baseline="0"/>
        </a:p>
        <a:p>
          <a:r>
            <a:rPr lang="en-US" sz="1100" b="1" baseline="0"/>
            <a:t>Priceline: </a:t>
          </a:r>
          <a:r>
            <a:rPr lang="en-US" sz="1100" b="0" baseline="0"/>
            <a:t>Participation is optional for </a:t>
          </a:r>
          <a:r>
            <a:rPr lang="en-US" sz="1100" baseline="0"/>
            <a:t>Merchant and Bundled programs for both managed and franchised hotels. If hotel opts in, then the hotel must offer inventory and rates comparable to Expedia. </a:t>
          </a:r>
        </a:p>
        <a:p>
          <a:r>
            <a:rPr lang="en-US" sz="1100" baseline="0"/>
            <a:t>The opaque program is always optional, and fully yieldable. Please note that the Priceline Opaque program is the only Marriott approved  opaque channel.</a:t>
          </a:r>
        </a:p>
        <a:p>
          <a:endParaRPr lang="en-US" sz="1100" baseline="0"/>
        </a:p>
        <a:p>
          <a:r>
            <a:rPr lang="en-US" sz="1100" b="1" baseline="0"/>
            <a:t>Orbitz</a:t>
          </a:r>
          <a:r>
            <a:rPr lang="en-US" sz="1100" baseline="0"/>
            <a:t>: Participation is optional (for both managed and franchised), and all rates are yieldable. It is highly recommended though that hotels offer the same rates and inventory as Expedia for parity purposes, should they choose to participate.</a:t>
          </a:r>
        </a:p>
        <a:p>
          <a:endParaRPr lang="en-US" sz="1100" b="0"/>
        </a:p>
        <a:p>
          <a:r>
            <a:rPr lang="en-US" sz="1100" b="0"/>
            <a:t>For all OTAs (including Expedia): Room pools with limited inventory (lower than or around 5 rooms) will not sell on OTAs due to technical limitations</a:t>
          </a:r>
        </a:p>
        <a:p>
          <a:endParaRPr lang="en-US" sz="1100" b="0"/>
        </a:p>
        <a:p>
          <a:r>
            <a:rPr lang="en-US" sz="1100" b="0"/>
            <a:t>For additional information please visit</a:t>
          </a:r>
        </a:p>
        <a:p>
          <a:pPr marL="0" marR="0" indent="0" defTabSz="914400" eaLnBrk="1" fontAlgn="auto" latinLnBrk="0" hangingPunct="1">
            <a:lnSpc>
              <a:spcPct val="100000"/>
            </a:lnSpc>
            <a:spcBef>
              <a:spcPts val="0"/>
            </a:spcBef>
            <a:spcAft>
              <a:spcPts val="0"/>
            </a:spcAft>
            <a:buClrTx/>
            <a:buSzTx/>
            <a:buFontTx/>
            <a:buNone/>
            <a:tabLst/>
            <a:defRPr/>
          </a:pPr>
          <a:r>
            <a:rPr lang="en-US" sz="1100" u="sng">
              <a:solidFill>
                <a:schemeClr val="dk1"/>
              </a:solidFill>
              <a:effectLst/>
              <a:latin typeface="+mn-lt"/>
              <a:ea typeface="+mn-ea"/>
              <a:cs typeface="+mn-cs"/>
              <a:hlinkClick xmlns:r="http://schemas.openxmlformats.org/officeDocument/2006/relationships" r:id=""/>
            </a:rPr>
            <a:t>https://extranet.marriott.com/mgs/common/sales-mktg-and-rev-mgmt/intermediary-partners/wholesalers-tour-operators-and-motorcoach/dynamic-wholesale-programs/default.html?ci=1</a:t>
          </a:r>
          <a:endParaRPr lang="en-US" sz="1100">
            <a:solidFill>
              <a:schemeClr val="dk1"/>
            </a:solidFill>
            <a:effectLst/>
            <a:latin typeface="+mn-lt"/>
            <a:ea typeface="+mn-ea"/>
            <a:cs typeface="+mn-cs"/>
          </a:endParaRPr>
        </a:p>
        <a:p>
          <a:endParaRPr lang="en-US" sz="1100" b="0"/>
        </a:p>
      </xdr:txBody>
    </xdr:sp>
    <xdr:clientData/>
  </xdr:twoCellAnchor>
  <xdr:twoCellAnchor>
    <xdr:from>
      <xdr:col>11</xdr:col>
      <xdr:colOff>163287</xdr:colOff>
      <xdr:row>7</xdr:row>
      <xdr:rowOff>182250</xdr:rowOff>
    </xdr:from>
    <xdr:to>
      <xdr:col>15</xdr:col>
      <xdr:colOff>544287</xdr:colOff>
      <xdr:row>21</xdr:row>
      <xdr:rowOff>27214</xdr:rowOff>
    </xdr:to>
    <xdr:pic>
      <xdr:nvPicPr>
        <xdr:cNvPr id="3" name="Picture 1" descr="cid:image001.png@01D072FE.7E0857C0"/>
        <xdr:cNvPicPr>
          <a:picLocks noChangeAspect="1" noChangeArrowheads="1"/>
        </xdr:cNvPicPr>
      </xdr:nvPicPr>
      <xdr:blipFill rotWithShape="1">
        <a:blip xmlns:r="http://schemas.openxmlformats.org/officeDocument/2006/relationships" r:embed="rId1" r:link="rId2">
          <a:extLst>
            <a:ext uri="{28A0092B-C50C-407E-A947-70E740481C1C}">
              <a14:useLocalDpi xmlns:a14="http://schemas.microsoft.com/office/drawing/2010/main" val="0"/>
            </a:ext>
          </a:extLst>
        </a:blip>
        <a:srcRect l="1268" t="1851" r="3908"/>
        <a:stretch/>
      </xdr:blipFill>
      <xdr:spPr bwMode="auto">
        <a:xfrm>
          <a:off x="7824108" y="2168893"/>
          <a:ext cx="3565072" cy="305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perrygao@ccinn.cn" TargetMode="External"/><Relationship Id="rId1" Type="http://schemas.openxmlformats.org/officeDocument/2006/relationships/hyperlink" Target="mailto:grmrs.hq@marriott.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hyperlink" Target="https://extranet.marriott.com/mgs/marrdocs/mgs/common/SalesMktgRevMgmt/Marketing/GlobalPartnerships/ExperiencesbyMarriott/EBMPackageBriefs.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hyperlink" Target="mailto:debbie.newton@marriott.com" TargetMode="External"/><Relationship Id="rId3" Type="http://schemas.openxmlformats.org/officeDocument/2006/relationships/hyperlink" Target="mailto:Nicholas.Battiste@marriott.com" TargetMode="External"/><Relationship Id="rId7" Type="http://schemas.openxmlformats.org/officeDocument/2006/relationships/hyperlink" Target="mailto:nancy.woodard@marriott.com" TargetMode="External"/><Relationship Id="rId2" Type="http://schemas.openxmlformats.org/officeDocument/2006/relationships/hyperlink" Target="mailto:Laidinha.Buono@marriott.com" TargetMode="External"/><Relationship Id="rId1" Type="http://schemas.openxmlformats.org/officeDocument/2006/relationships/hyperlink" Target="mailto:Beth.Taylor@marriott.com" TargetMode="External"/><Relationship Id="rId6" Type="http://schemas.openxmlformats.org/officeDocument/2006/relationships/hyperlink" Target="mailto:Kelly.Horaney@marriott.com" TargetMode="External"/><Relationship Id="rId5" Type="http://schemas.openxmlformats.org/officeDocument/2006/relationships/hyperlink" Target="mailto:Jenny.Manikham@marriott.com" TargetMode="External"/><Relationship Id="rId4" Type="http://schemas.openxmlformats.org/officeDocument/2006/relationships/hyperlink" Target="mailto:Joseph.A.Marra@marriott.com" TargetMode="External"/><Relationship Id="rId9" Type="http://schemas.openxmlformats.org/officeDocument/2006/relationships/hyperlink" Target="mailto:john.zangas@marriott.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Welcome"/>
  <dimension ref="B1:N40"/>
  <sheetViews>
    <sheetView topLeftCell="A27" zoomScaleNormal="100" workbookViewId="0">
      <selection activeCell="G40" sqref="G40"/>
    </sheetView>
  </sheetViews>
  <sheetFormatPr defaultRowHeight="12.75" x14ac:dyDescent="0.2"/>
  <cols>
    <col min="1" max="9" width="9.140625" style="61"/>
    <col min="10" max="10" width="5.42578125" style="61" customWidth="1"/>
    <col min="11" max="11" width="14.140625" style="61" customWidth="1"/>
    <col min="12" max="16384" width="9.140625" style="61"/>
  </cols>
  <sheetData>
    <row r="1" spans="2:11" ht="47.25" customHeight="1" x14ac:dyDescent="0.2"/>
    <row r="5" spans="2:11" ht="15" customHeight="1" x14ac:dyDescent="0.2">
      <c r="B5" s="75" t="s">
        <v>468</v>
      </c>
      <c r="F5" s="490"/>
      <c r="G5" s="491"/>
      <c r="H5" s="491"/>
      <c r="I5" s="491"/>
      <c r="J5" s="491"/>
      <c r="K5" s="492"/>
    </row>
    <row r="7" spans="2:11" ht="15" customHeight="1" x14ac:dyDescent="0.2">
      <c r="B7" s="75" t="s">
        <v>469</v>
      </c>
      <c r="F7" s="490"/>
      <c r="G7" s="491"/>
      <c r="H7" s="491"/>
      <c r="I7" s="491"/>
      <c r="J7" s="491"/>
      <c r="K7" s="492"/>
    </row>
    <row r="9" spans="2:11" ht="15" customHeight="1" x14ac:dyDescent="0.2">
      <c r="B9" s="75" t="s">
        <v>470</v>
      </c>
      <c r="F9" s="495" t="s">
        <v>644</v>
      </c>
      <c r="G9" s="496"/>
      <c r="H9" s="496"/>
      <c r="I9" s="496"/>
      <c r="J9" s="496"/>
      <c r="K9" s="497"/>
    </row>
    <row r="11" spans="2:11" ht="15" customHeight="1" x14ac:dyDescent="0.2">
      <c r="B11" s="75" t="s">
        <v>471</v>
      </c>
      <c r="F11" s="493" t="s">
        <v>643</v>
      </c>
      <c r="G11" s="494"/>
      <c r="I11" s="75" t="s">
        <v>576</v>
      </c>
      <c r="K11" s="425">
        <v>42822</v>
      </c>
    </row>
    <row r="13" spans="2:11" ht="19.5" customHeight="1" x14ac:dyDescent="0.2">
      <c r="B13" s="146" t="s">
        <v>475</v>
      </c>
      <c r="F13" s="493" t="s">
        <v>480</v>
      </c>
      <c r="G13" s="498"/>
      <c r="H13" s="494"/>
    </row>
    <row r="16" spans="2:11" ht="15" customHeight="1" x14ac:dyDescent="0.2">
      <c r="B16" s="75" t="s">
        <v>486</v>
      </c>
      <c r="F16" s="487" t="s">
        <v>645</v>
      </c>
      <c r="G16" s="488"/>
      <c r="H16" s="489"/>
    </row>
    <row r="17" spans="2:14" ht="15" customHeight="1" x14ac:dyDescent="0.2">
      <c r="B17" s="75"/>
    </row>
    <row r="18" spans="2:14" x14ac:dyDescent="0.2">
      <c r="B18" s="75" t="s">
        <v>600</v>
      </c>
      <c r="F18" s="487" t="s">
        <v>635</v>
      </c>
      <c r="G18" s="488"/>
      <c r="H18" s="489"/>
    </row>
    <row r="20" spans="2:14" ht="15" customHeight="1" x14ac:dyDescent="0.2">
      <c r="B20" s="75" t="s">
        <v>472</v>
      </c>
      <c r="D20" s="75" t="s">
        <v>503</v>
      </c>
      <c r="F20" s="495" t="s">
        <v>648</v>
      </c>
      <c r="G20" s="496"/>
      <c r="H20" s="496"/>
      <c r="I20" s="496"/>
      <c r="J20" s="496"/>
      <c r="K20" s="497"/>
    </row>
    <row r="22" spans="2:14" ht="15" customHeight="1" x14ac:dyDescent="0.2">
      <c r="D22" s="75" t="s">
        <v>473</v>
      </c>
      <c r="F22" s="495" t="s">
        <v>646</v>
      </c>
      <c r="G22" s="496"/>
      <c r="H22" s="496"/>
      <c r="I22" s="496"/>
      <c r="J22" s="496"/>
      <c r="K22" s="497"/>
      <c r="N22" s="75"/>
    </row>
    <row r="24" spans="2:14" ht="15" customHeight="1" x14ac:dyDescent="0.2">
      <c r="D24" s="75" t="s">
        <v>474</v>
      </c>
      <c r="F24" s="757" t="s">
        <v>647</v>
      </c>
      <c r="G24" s="496"/>
      <c r="H24" s="496"/>
      <c r="I24" s="496"/>
      <c r="J24" s="496"/>
      <c r="K24" s="497"/>
    </row>
    <row r="28" spans="2:14" x14ac:dyDescent="0.2">
      <c r="B28" s="75" t="s">
        <v>484</v>
      </c>
      <c r="F28" s="284"/>
      <c r="G28" s="284"/>
      <c r="H28" s="284"/>
      <c r="I28" s="284"/>
      <c r="J28" s="284"/>
      <c r="K28" s="284"/>
    </row>
    <row r="29" spans="2:14" ht="26.25" customHeight="1" x14ac:dyDescent="0.2">
      <c r="F29" s="284"/>
      <c r="G29" s="284"/>
      <c r="H29" s="284"/>
      <c r="I29" s="284"/>
      <c r="J29" s="284"/>
      <c r="K29" s="284"/>
    </row>
    <row r="31" spans="2:14" x14ac:dyDescent="0.2">
      <c r="B31" s="75" t="s">
        <v>485</v>
      </c>
      <c r="H31" s="284"/>
      <c r="I31" s="284"/>
      <c r="J31" s="284"/>
      <c r="K31" s="284"/>
    </row>
    <row r="32" spans="2:14" x14ac:dyDescent="0.2">
      <c r="B32" s="75"/>
      <c r="H32" s="284"/>
      <c r="I32" s="284"/>
      <c r="J32" s="284"/>
      <c r="K32" s="284"/>
    </row>
    <row r="33" spans="2:11" x14ac:dyDescent="0.2">
      <c r="H33" s="284"/>
      <c r="I33" s="284"/>
      <c r="J33" s="284"/>
      <c r="K33" s="284"/>
    </row>
    <row r="34" spans="2:11" ht="21.75" customHeight="1" x14ac:dyDescent="0.2">
      <c r="B34" s="75" t="s">
        <v>536</v>
      </c>
      <c r="G34" s="505" t="s">
        <v>535</v>
      </c>
      <c r="H34" s="506"/>
      <c r="I34" s="506"/>
      <c r="J34" s="507"/>
      <c r="K34" s="284"/>
    </row>
    <row r="35" spans="2:11" x14ac:dyDescent="0.2">
      <c r="H35" s="284"/>
      <c r="I35" s="284"/>
      <c r="J35" s="284"/>
      <c r="K35" s="284"/>
    </row>
    <row r="36" spans="2:11" ht="19.5" customHeight="1" x14ac:dyDescent="0.2">
      <c r="B36" s="75" t="s">
        <v>537</v>
      </c>
      <c r="G36" s="502"/>
      <c r="H36" s="503"/>
      <c r="I36" s="503"/>
      <c r="J36" s="504"/>
    </row>
    <row r="38" spans="2:11" x14ac:dyDescent="0.2">
      <c r="B38" s="75" t="s">
        <v>641</v>
      </c>
      <c r="G38" s="499" t="s">
        <v>649</v>
      </c>
      <c r="H38" s="500"/>
      <c r="I38" s="500"/>
      <c r="J38" s="501"/>
    </row>
    <row r="40" spans="2:11" x14ac:dyDescent="0.2">
      <c r="B40" s="75" t="s">
        <v>642</v>
      </c>
      <c r="G40" s="486"/>
    </row>
  </sheetData>
  <sheetProtection selectLockedCells="1"/>
  <protectedRanges>
    <protectedRange sqref="F5:K5 F7:K7 F9:K9 F11:G11 F13:H13 F16:H17 F20:K20 F22:K22 F24:K24 G34:J34 G36:J36" name="welcome"/>
  </protectedRanges>
  <mergeCells count="13">
    <mergeCell ref="G38:J38"/>
    <mergeCell ref="F18:H18"/>
    <mergeCell ref="G36:J36"/>
    <mergeCell ref="G34:J34"/>
    <mergeCell ref="F24:K24"/>
    <mergeCell ref="F22:K22"/>
    <mergeCell ref="F20:K20"/>
    <mergeCell ref="F16:H16"/>
    <mergeCell ref="F5:K5"/>
    <mergeCell ref="F11:G11"/>
    <mergeCell ref="F9:K9"/>
    <mergeCell ref="F7:K7"/>
    <mergeCell ref="F13:H13"/>
  </mergeCells>
  <phoneticPr fontId="47" type="noConversion"/>
  <dataValidations count="4">
    <dataValidation type="textLength" operator="equal" allowBlank="1" showInputMessage="1" showErrorMessage="1" sqref="F11:G11">
      <formula1>5</formula1>
    </dataValidation>
    <dataValidation type="date" operator="greaterThan" allowBlank="1" showInputMessage="1" showErrorMessage="1" sqref="K11">
      <formula1>TODAY()</formula1>
    </dataValidation>
    <dataValidation type="list" allowBlank="1" showInputMessage="1" showErrorMessage="1" sqref="G40">
      <formula1>"Yes, No"</formula1>
    </dataValidation>
    <dataValidation type="list" allowBlank="1" showInputMessage="1" showErrorMessage="1" sqref="G38:J38">
      <formula1>"New Build, Adaptive Reuse, Closed Conversion, Open Conversion"</formula1>
    </dataValidation>
  </dataValidations>
  <hyperlinks>
    <hyperlink ref="G34" r:id="rId1"/>
    <hyperlink ref="F24"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1" r:id="rId6" name="Button 3">
              <controlPr defaultSize="0" print="0" autoFill="0" autoPict="0" macro="[0]!FS_View">
                <anchor moveWithCells="1" sizeWithCells="1">
                  <from>
                    <xdr:col>5</xdr:col>
                    <xdr:colOff>285750</xdr:colOff>
                    <xdr:row>26</xdr:row>
                    <xdr:rowOff>123825</xdr:rowOff>
                  </from>
                  <to>
                    <xdr:col>7</xdr:col>
                    <xdr:colOff>266700</xdr:colOff>
                    <xdr:row>29</xdr:row>
                    <xdr:rowOff>9525</xdr:rowOff>
                  </to>
                </anchor>
              </controlPr>
            </control>
          </mc:Choice>
        </mc:AlternateContent>
        <mc:AlternateContent xmlns:mc="http://schemas.openxmlformats.org/markup-compatibility/2006">
          <mc:Choice Requires="x14">
            <control shapeId="2052" r:id="rId7" name="Button 4">
              <controlPr defaultSize="0" print="0" autoFill="0" autoPict="0" macro="[0]!ES_View">
                <anchor moveWithCells="1" sizeWithCells="1">
                  <from>
                    <xdr:col>7</xdr:col>
                    <xdr:colOff>542925</xdr:colOff>
                    <xdr:row>26</xdr:row>
                    <xdr:rowOff>123825</xdr:rowOff>
                  </from>
                  <to>
                    <xdr:col>10</xdr:col>
                    <xdr:colOff>0</xdr:colOff>
                    <xdr:row>29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DropDown!$AE$3:$AE$17</xm:f>
          </x14:formula1>
          <xm:sqref>F13:H13</xm:sqref>
        </x14:dataValidation>
        <x14:dataValidation type="list" allowBlank="1" showInputMessage="1" showErrorMessage="1">
          <x14:formula1>
            <xm:f>DropDown!$AF$3:$AF$8</xm:f>
          </x14:formula1>
          <xm:sqref>G16:H17 F16</xm:sqref>
        </x14:dataValidation>
        <x14:dataValidation type="list" allowBlank="1" showInputMessage="1" showErrorMessage="1">
          <x14:formula1>
            <xm:f>DropDown!$AJ$4:$AJ$6</xm:f>
          </x14:formula1>
          <xm:sqref>F18:H18</xm:sqref>
        </x14:dataValidation>
        <x14:dataValidation type="list" showInputMessage="1" showErrorMessage="1">
          <x14:formula1>
            <xm:f>DropDown!$AH$4:$AH$14</xm:f>
          </x14:formula1>
          <xm:sqref>G36:J36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nstructions">
    <pageSetUpPr fitToPage="1"/>
  </sheetPr>
  <dimension ref="A1:W70"/>
  <sheetViews>
    <sheetView zoomScaleNormal="100" workbookViewId="0">
      <selection activeCell="E13" sqref="E13"/>
    </sheetView>
  </sheetViews>
  <sheetFormatPr defaultColWidth="0" defaultRowHeight="12.75" zeroHeight="1" x14ac:dyDescent="0.2"/>
  <cols>
    <col min="1" max="2" width="9.140625" customWidth="1"/>
    <col min="3" max="3" width="9.7109375" customWidth="1"/>
    <col min="4" max="4" width="14.7109375" style="1" customWidth="1"/>
    <col min="5" max="5" width="68.42578125" style="1" customWidth="1"/>
    <col min="6" max="6" width="72.28515625" customWidth="1"/>
    <col min="7" max="7" width="3.28515625" style="211" customWidth="1"/>
    <col min="8" max="16384" width="9.140625" hidden="1"/>
  </cols>
  <sheetData>
    <row r="1" spans="1:21" x14ac:dyDescent="0.2">
      <c r="A1" s="211"/>
      <c r="B1" s="211"/>
      <c r="C1" s="211"/>
      <c r="D1" s="212"/>
      <c r="E1" s="212"/>
      <c r="F1" s="211"/>
    </row>
    <row r="2" spans="1:21" ht="15.75" x14ac:dyDescent="0.25">
      <c r="A2" s="211"/>
      <c r="B2" s="213" t="s">
        <v>522</v>
      </c>
      <c r="C2" s="211"/>
      <c r="D2" s="212"/>
      <c r="E2" s="212"/>
      <c r="F2" s="211"/>
    </row>
    <row r="3" spans="1:21" x14ac:dyDescent="0.2">
      <c r="A3" s="211"/>
      <c r="B3" s="211"/>
      <c r="C3" s="211"/>
      <c r="D3" s="212"/>
      <c r="E3" s="212"/>
      <c r="F3" s="211"/>
    </row>
    <row r="4" spans="1:21" x14ac:dyDescent="0.2">
      <c r="A4" s="211"/>
      <c r="B4" s="214" t="s">
        <v>13</v>
      </c>
      <c r="C4" s="211"/>
      <c r="D4" s="212"/>
      <c r="E4" s="212"/>
      <c r="F4" s="211"/>
    </row>
    <row r="5" spans="1:21" ht="15" x14ac:dyDescent="0.25">
      <c r="A5" s="211"/>
      <c r="B5" s="215" t="s">
        <v>510</v>
      </c>
      <c r="C5" s="211"/>
      <c r="D5" s="212"/>
      <c r="E5" s="212"/>
      <c r="F5" s="364"/>
      <c r="G5" s="364"/>
      <c r="H5" s="365"/>
      <c r="I5" s="365"/>
      <c r="J5" s="365"/>
      <c r="K5" s="365"/>
      <c r="L5" s="365"/>
      <c r="M5" s="365"/>
      <c r="N5" s="365"/>
      <c r="O5" s="365"/>
      <c r="P5" s="365"/>
      <c r="Q5" s="365"/>
      <c r="R5" s="365"/>
      <c r="S5" s="365"/>
      <c r="T5" s="365"/>
      <c r="U5" s="365"/>
    </row>
    <row r="6" spans="1:21" ht="15.75" thickBot="1" x14ac:dyDescent="0.25">
      <c r="A6" s="211"/>
      <c r="B6" s="214"/>
      <c r="C6" s="211"/>
      <c r="D6" s="216"/>
      <c r="E6" s="212"/>
      <c r="F6" s="366" t="s">
        <v>540</v>
      </c>
      <c r="G6" s="364"/>
      <c r="H6" s="365"/>
      <c r="I6" s="365"/>
      <c r="J6" s="365"/>
      <c r="K6" s="365"/>
      <c r="L6" s="365"/>
      <c r="M6" s="365"/>
      <c r="N6" s="365"/>
      <c r="O6" s="365"/>
      <c r="P6" s="365"/>
      <c r="Q6" s="365"/>
      <c r="R6" s="365"/>
      <c r="S6" s="365"/>
      <c r="T6" s="365"/>
      <c r="U6" s="365"/>
    </row>
    <row r="7" spans="1:21" ht="25.5" x14ac:dyDescent="0.2">
      <c r="A7" s="219" t="s">
        <v>523</v>
      </c>
      <c r="B7" s="189"/>
      <c r="C7" s="243" t="s">
        <v>23</v>
      </c>
      <c r="D7" s="244" t="s">
        <v>16</v>
      </c>
      <c r="E7" s="316" t="s">
        <v>17</v>
      </c>
      <c r="F7" s="367"/>
      <c r="G7" s="364"/>
      <c r="H7" s="365"/>
      <c r="I7" s="365"/>
      <c r="J7" s="365"/>
      <c r="K7" s="365"/>
      <c r="L7" s="365"/>
      <c r="M7" s="365"/>
      <c r="N7" s="365"/>
      <c r="O7" s="365"/>
      <c r="P7" s="365"/>
      <c r="Q7" s="365"/>
      <c r="R7" s="365"/>
      <c r="S7" s="365"/>
      <c r="T7" s="365"/>
      <c r="U7" s="365"/>
    </row>
    <row r="8" spans="1:21" ht="63.75" customHeight="1" x14ac:dyDescent="0.2">
      <c r="A8" s="510" t="s">
        <v>11</v>
      </c>
      <c r="B8" s="511"/>
      <c r="C8" s="263" t="s">
        <v>24</v>
      </c>
      <c r="D8" s="264" t="s">
        <v>12</v>
      </c>
      <c r="E8" s="225" t="s">
        <v>527</v>
      </c>
      <c r="F8" s="368"/>
      <c r="G8" s="364"/>
      <c r="H8" s="365"/>
      <c r="I8" s="365"/>
      <c r="J8" s="365"/>
      <c r="K8" s="365"/>
      <c r="L8" s="365"/>
      <c r="M8" s="365"/>
      <c r="N8" s="365"/>
      <c r="O8" s="365"/>
      <c r="P8" s="365"/>
      <c r="Q8" s="365"/>
      <c r="R8" s="365"/>
      <c r="S8" s="365"/>
      <c r="T8" s="365"/>
      <c r="U8" s="365"/>
    </row>
    <row r="9" spans="1:21" x14ac:dyDescent="0.2">
      <c r="A9" s="512"/>
      <c r="B9" s="513"/>
      <c r="C9" s="263" t="s">
        <v>25</v>
      </c>
      <c r="D9" s="264" t="s">
        <v>14</v>
      </c>
      <c r="E9" s="265" t="s">
        <v>15</v>
      </c>
      <c r="F9" s="368"/>
      <c r="G9" s="364"/>
      <c r="H9" s="365"/>
      <c r="I9" s="365"/>
      <c r="J9" s="365"/>
      <c r="K9" s="365"/>
      <c r="L9" s="365"/>
      <c r="M9" s="365"/>
      <c r="N9" s="365"/>
      <c r="O9" s="365"/>
      <c r="P9" s="365"/>
      <c r="Q9" s="365"/>
      <c r="R9" s="365"/>
      <c r="S9" s="365"/>
      <c r="T9" s="365"/>
      <c r="U9" s="365"/>
    </row>
    <row r="10" spans="1:21" ht="25.5" x14ac:dyDescent="0.2">
      <c r="A10" s="512"/>
      <c r="B10" s="513"/>
      <c r="C10" s="263" t="s">
        <v>26</v>
      </c>
      <c r="D10" s="264" t="s">
        <v>18</v>
      </c>
      <c r="E10" s="265" t="s">
        <v>19</v>
      </c>
      <c r="F10" s="368"/>
      <c r="G10" s="364"/>
      <c r="H10" s="365"/>
      <c r="I10" s="365"/>
      <c r="J10" s="365"/>
      <c r="K10" s="365"/>
      <c r="L10" s="365"/>
      <c r="M10" s="365"/>
      <c r="N10" s="365"/>
      <c r="O10" s="365"/>
      <c r="P10" s="365"/>
      <c r="Q10" s="365"/>
      <c r="R10" s="365"/>
      <c r="S10" s="365"/>
      <c r="T10" s="365"/>
      <c r="U10" s="365"/>
    </row>
    <row r="11" spans="1:21" ht="25.5" x14ac:dyDescent="0.2">
      <c r="A11" s="512"/>
      <c r="B11" s="513"/>
      <c r="C11" s="263" t="s">
        <v>27</v>
      </c>
      <c r="D11" s="264" t="s">
        <v>37</v>
      </c>
      <c r="E11" s="265" t="s">
        <v>38</v>
      </c>
      <c r="F11" s="368"/>
      <c r="G11" s="364"/>
      <c r="H11" s="365"/>
      <c r="I11" s="365"/>
      <c r="J11" s="365"/>
      <c r="K11" s="365"/>
      <c r="L11" s="365"/>
      <c r="M11" s="365"/>
      <c r="N11" s="365"/>
      <c r="O11" s="365"/>
      <c r="P11" s="365"/>
      <c r="Q11" s="365"/>
      <c r="R11" s="365"/>
      <c r="S11" s="365"/>
      <c r="T11" s="365"/>
      <c r="U11" s="365"/>
    </row>
    <row r="12" spans="1:21" ht="76.5" x14ac:dyDescent="0.2">
      <c r="A12" s="512"/>
      <c r="B12" s="513"/>
      <c r="C12" s="263" t="s">
        <v>28</v>
      </c>
      <c r="D12" s="264" t="s">
        <v>7</v>
      </c>
      <c r="E12" s="265" t="s">
        <v>20</v>
      </c>
      <c r="F12" s="368"/>
      <c r="G12" s="364"/>
      <c r="H12" s="365"/>
      <c r="I12" s="365"/>
      <c r="J12" s="365"/>
      <c r="K12" s="365"/>
      <c r="L12" s="365"/>
      <c r="M12" s="365"/>
      <c r="N12" s="365"/>
      <c r="O12" s="365"/>
      <c r="P12" s="365"/>
      <c r="Q12" s="365"/>
      <c r="R12" s="365"/>
      <c r="S12" s="365"/>
      <c r="T12" s="365"/>
      <c r="U12" s="365"/>
    </row>
    <row r="13" spans="1:21" ht="25.5" x14ac:dyDescent="0.2">
      <c r="A13" s="514"/>
      <c r="B13" s="515"/>
      <c r="C13" s="247" t="s">
        <v>36</v>
      </c>
      <c r="D13" s="248" t="s">
        <v>21</v>
      </c>
      <c r="E13" s="241" t="s">
        <v>592</v>
      </c>
      <c r="F13" s="368"/>
      <c r="G13" s="364"/>
      <c r="H13" s="365"/>
      <c r="I13" s="365"/>
      <c r="J13" s="365"/>
      <c r="K13" s="365"/>
      <c r="L13" s="365"/>
      <c r="M13" s="365"/>
      <c r="N13" s="365"/>
      <c r="O13" s="365"/>
      <c r="P13" s="365"/>
      <c r="Q13" s="365"/>
      <c r="R13" s="365"/>
      <c r="S13" s="365"/>
      <c r="T13" s="365"/>
      <c r="U13" s="365"/>
    </row>
    <row r="14" spans="1:21" ht="25.5" x14ac:dyDescent="0.2">
      <c r="A14" s="519">
        <v>1.8</v>
      </c>
      <c r="B14" s="520"/>
      <c r="C14" s="521"/>
      <c r="D14" s="217" t="s">
        <v>612</v>
      </c>
      <c r="E14" s="474" t="s">
        <v>613</v>
      </c>
      <c r="F14" s="368"/>
      <c r="G14" s="364"/>
      <c r="H14" s="365"/>
      <c r="I14" s="365"/>
      <c r="J14" s="365"/>
      <c r="K14" s="365"/>
      <c r="L14" s="365"/>
      <c r="M14" s="365"/>
      <c r="N14" s="365"/>
      <c r="O14" s="365"/>
      <c r="P14" s="365"/>
      <c r="Q14" s="365"/>
      <c r="R14" s="365"/>
      <c r="S14" s="365"/>
      <c r="T14" s="365"/>
      <c r="U14" s="365"/>
    </row>
    <row r="15" spans="1:21" ht="38.25" x14ac:dyDescent="0.2">
      <c r="A15" s="249"/>
      <c r="B15" s="250"/>
      <c r="C15" s="227">
        <v>1.9</v>
      </c>
      <c r="D15" s="226" t="s">
        <v>260</v>
      </c>
      <c r="E15" s="242" t="s">
        <v>399</v>
      </c>
      <c r="F15" s="516"/>
      <c r="G15" s="364"/>
      <c r="H15" s="365"/>
      <c r="I15" s="365"/>
      <c r="J15" s="365"/>
      <c r="K15" s="365"/>
      <c r="L15" s="365"/>
      <c r="M15" s="365"/>
      <c r="N15" s="365"/>
      <c r="O15" s="365"/>
      <c r="P15" s="365"/>
      <c r="Q15" s="365"/>
      <c r="R15" s="365"/>
      <c r="S15" s="365"/>
      <c r="T15" s="365"/>
      <c r="U15" s="365"/>
    </row>
    <row r="16" spans="1:21" x14ac:dyDescent="0.2">
      <c r="A16" s="249"/>
      <c r="B16" s="250"/>
      <c r="C16" s="227"/>
      <c r="D16" s="228"/>
      <c r="E16" s="242" t="s">
        <v>400</v>
      </c>
      <c r="F16" s="517"/>
      <c r="G16" s="364"/>
      <c r="H16" s="365"/>
      <c r="I16" s="365"/>
      <c r="J16" s="365"/>
      <c r="K16" s="365"/>
      <c r="L16" s="365"/>
      <c r="M16" s="365"/>
      <c r="N16" s="365"/>
      <c r="O16" s="365"/>
      <c r="P16" s="365"/>
      <c r="Q16" s="365"/>
      <c r="R16" s="365"/>
      <c r="S16" s="365"/>
      <c r="T16" s="365"/>
      <c r="U16" s="365"/>
    </row>
    <row r="17" spans="1:21" ht="89.25" x14ac:dyDescent="0.2">
      <c r="A17" s="249"/>
      <c r="B17" s="250"/>
      <c r="C17" s="227"/>
      <c r="D17" s="228"/>
      <c r="E17" s="251" t="s">
        <v>401</v>
      </c>
      <c r="F17" s="517"/>
      <c r="G17" s="364"/>
      <c r="H17" s="365"/>
      <c r="I17" s="365"/>
      <c r="J17" s="365"/>
      <c r="K17" s="365"/>
      <c r="L17" s="365"/>
      <c r="M17" s="365"/>
      <c r="N17" s="365"/>
      <c r="O17" s="365"/>
      <c r="P17" s="365"/>
      <c r="Q17" s="365"/>
      <c r="R17" s="365"/>
      <c r="S17" s="365"/>
      <c r="T17" s="365"/>
      <c r="U17" s="365"/>
    </row>
    <row r="18" spans="1:21" ht="13.5" thickBot="1" x14ac:dyDescent="0.25">
      <c r="A18" s="252"/>
      <c r="B18" s="253"/>
      <c r="C18" s="254"/>
      <c r="D18" s="255"/>
      <c r="E18" s="317"/>
      <c r="F18" s="518"/>
      <c r="G18" s="364"/>
      <c r="H18" s="365"/>
      <c r="I18" s="365"/>
      <c r="J18" s="365"/>
      <c r="K18" s="365"/>
      <c r="L18" s="365"/>
      <c r="M18" s="365"/>
      <c r="N18" s="365"/>
      <c r="O18" s="365"/>
      <c r="P18" s="365"/>
      <c r="Q18" s="365"/>
      <c r="R18" s="365"/>
      <c r="S18" s="365"/>
      <c r="T18" s="365"/>
      <c r="U18" s="365"/>
    </row>
    <row r="19" spans="1:21" x14ac:dyDescent="0.2">
      <c r="A19" s="219" t="s">
        <v>356</v>
      </c>
      <c r="B19" s="508" t="s">
        <v>357</v>
      </c>
      <c r="C19" s="509"/>
      <c r="D19" s="220"/>
      <c r="E19" s="318"/>
      <c r="F19" s="367"/>
      <c r="G19" s="364"/>
      <c r="H19" s="365"/>
      <c r="I19" s="365"/>
      <c r="J19" s="365"/>
      <c r="K19" s="365"/>
      <c r="L19" s="365"/>
      <c r="M19" s="365"/>
      <c r="N19" s="365"/>
      <c r="O19" s="365"/>
      <c r="P19" s="365"/>
      <c r="Q19" s="365"/>
      <c r="R19" s="365"/>
      <c r="S19" s="365"/>
      <c r="T19" s="365"/>
      <c r="U19" s="365"/>
    </row>
    <row r="20" spans="1:21" ht="86.25" customHeight="1" x14ac:dyDescent="0.2">
      <c r="A20" s="361" t="s">
        <v>514</v>
      </c>
      <c r="B20" s="362"/>
      <c r="C20" s="363" t="s">
        <v>358</v>
      </c>
      <c r="D20" s="221" t="s">
        <v>359</v>
      </c>
      <c r="E20" s="222" t="s">
        <v>511</v>
      </c>
      <c r="F20" s="368"/>
      <c r="G20" s="364"/>
      <c r="H20" s="365"/>
      <c r="I20" s="365"/>
      <c r="J20" s="365"/>
      <c r="K20" s="365"/>
      <c r="L20" s="365"/>
      <c r="M20" s="365"/>
      <c r="N20" s="365"/>
      <c r="O20" s="365"/>
      <c r="P20" s="365"/>
      <c r="Q20" s="365"/>
      <c r="R20" s="365"/>
      <c r="S20" s="365"/>
      <c r="T20" s="365"/>
      <c r="U20" s="365"/>
    </row>
    <row r="21" spans="1:21" ht="51" x14ac:dyDescent="0.2">
      <c r="A21" s="223"/>
      <c r="B21" s="224"/>
      <c r="C21" s="218" t="s">
        <v>360</v>
      </c>
      <c r="D21" s="217" t="s">
        <v>70</v>
      </c>
      <c r="E21" s="225" t="s">
        <v>364</v>
      </c>
      <c r="F21" s="368"/>
      <c r="G21" s="364"/>
      <c r="H21" s="365"/>
      <c r="I21" s="365"/>
      <c r="J21" s="365"/>
      <c r="K21" s="365"/>
      <c r="L21" s="365"/>
      <c r="M21" s="365"/>
      <c r="N21" s="365"/>
      <c r="O21" s="365"/>
      <c r="P21" s="365"/>
      <c r="Q21" s="365"/>
      <c r="R21" s="365"/>
      <c r="S21" s="365"/>
      <c r="T21" s="365"/>
      <c r="U21" s="365"/>
    </row>
    <row r="22" spans="1:21" ht="153" x14ac:dyDescent="0.2">
      <c r="A22" s="223"/>
      <c r="B22" s="224"/>
      <c r="C22" s="218" t="s">
        <v>361</v>
      </c>
      <c r="D22" s="217" t="s">
        <v>551</v>
      </c>
      <c r="E22" s="225" t="s">
        <v>554</v>
      </c>
      <c r="F22" s="313"/>
    </row>
    <row r="23" spans="1:21" ht="76.5" x14ac:dyDescent="0.2">
      <c r="A23" s="223"/>
      <c r="B23" s="224"/>
      <c r="C23" s="218" t="s">
        <v>362</v>
      </c>
      <c r="D23" s="217" t="s">
        <v>368</v>
      </c>
      <c r="E23" s="225" t="s">
        <v>369</v>
      </c>
      <c r="F23" s="313"/>
    </row>
    <row r="24" spans="1:21" ht="102" x14ac:dyDescent="0.2">
      <c r="A24" s="223"/>
      <c r="B24" s="224"/>
      <c r="C24" s="218" t="s">
        <v>363</v>
      </c>
      <c r="D24" s="217" t="s">
        <v>367</v>
      </c>
      <c r="E24" s="225" t="s">
        <v>370</v>
      </c>
      <c r="F24" s="313"/>
    </row>
    <row r="25" spans="1:21" ht="25.5" x14ac:dyDescent="0.2">
      <c r="A25" s="223"/>
      <c r="B25" s="224"/>
      <c r="C25" s="218" t="s">
        <v>365</v>
      </c>
      <c r="D25" s="217" t="s">
        <v>372</v>
      </c>
      <c r="E25" s="225" t="s">
        <v>373</v>
      </c>
      <c r="F25" s="313"/>
    </row>
    <row r="26" spans="1:21" ht="63.75" x14ac:dyDescent="0.2">
      <c r="A26" s="223"/>
      <c r="B26" s="224"/>
      <c r="C26" s="218" t="s">
        <v>366</v>
      </c>
      <c r="D26" s="217" t="s">
        <v>383</v>
      </c>
      <c r="E26" s="225" t="s">
        <v>384</v>
      </c>
      <c r="F26" s="313"/>
    </row>
    <row r="27" spans="1:21" ht="25.5" x14ac:dyDescent="0.2">
      <c r="A27" s="223"/>
      <c r="B27" s="224"/>
      <c r="C27" s="218" t="s">
        <v>371</v>
      </c>
      <c r="D27" s="217" t="s">
        <v>76</v>
      </c>
      <c r="E27" s="225" t="s">
        <v>512</v>
      </c>
      <c r="F27" s="313"/>
    </row>
    <row r="28" spans="1:21" ht="63.75" x14ac:dyDescent="0.2">
      <c r="A28" s="223"/>
      <c r="B28" s="224"/>
      <c r="C28" s="218" t="s">
        <v>381</v>
      </c>
      <c r="D28" s="217" t="s">
        <v>386</v>
      </c>
      <c r="E28" s="225" t="s">
        <v>513</v>
      </c>
      <c r="F28" s="313"/>
    </row>
    <row r="29" spans="1:21" ht="89.25" x14ac:dyDescent="0.2">
      <c r="A29" s="223"/>
      <c r="B29" s="224"/>
      <c r="C29" s="218" t="s">
        <v>382</v>
      </c>
      <c r="D29" s="217" t="s">
        <v>524</v>
      </c>
      <c r="E29" s="225" t="s">
        <v>525</v>
      </c>
      <c r="F29" s="313"/>
    </row>
    <row r="30" spans="1:21" ht="13.5" thickBot="1" x14ac:dyDescent="0.25">
      <c r="A30" s="256"/>
      <c r="B30" s="253"/>
      <c r="C30" s="257"/>
      <c r="D30" s="258"/>
      <c r="E30" s="259"/>
      <c r="F30" s="314"/>
    </row>
    <row r="31" spans="1:21" ht="104.25" customHeight="1" x14ac:dyDescent="0.2">
      <c r="A31" s="373" t="s">
        <v>526</v>
      </c>
      <c r="B31" s="260"/>
      <c r="C31" s="231" t="s">
        <v>358</v>
      </c>
      <c r="D31" s="232" t="s">
        <v>457</v>
      </c>
      <c r="E31" s="240" t="s">
        <v>515</v>
      </c>
      <c r="F31" s="315"/>
    </row>
    <row r="32" spans="1:21" ht="38.25" x14ac:dyDescent="0.2">
      <c r="A32" s="245"/>
      <c r="B32" s="246"/>
      <c r="C32" s="229" t="s">
        <v>360</v>
      </c>
      <c r="D32" s="230" t="s">
        <v>359</v>
      </c>
      <c r="E32" s="241" t="s">
        <v>511</v>
      </c>
      <c r="F32" s="368"/>
      <c r="G32" s="364"/>
      <c r="H32" s="365"/>
      <c r="I32" s="365"/>
      <c r="J32" s="365"/>
      <c r="K32" s="365"/>
      <c r="L32" s="365"/>
      <c r="M32" s="365"/>
      <c r="N32" s="365"/>
      <c r="O32" s="365"/>
      <c r="P32" s="365"/>
      <c r="Q32" s="365"/>
      <c r="R32" s="365"/>
      <c r="S32" s="365"/>
      <c r="T32" s="365"/>
      <c r="U32" s="365"/>
    </row>
    <row r="33" spans="1:21" ht="51" x14ac:dyDescent="0.2">
      <c r="A33" s="223"/>
      <c r="B33" s="224"/>
      <c r="C33" s="233"/>
      <c r="D33" s="217" t="s">
        <v>70</v>
      </c>
      <c r="E33" s="225" t="s">
        <v>364</v>
      </c>
      <c r="F33" s="368"/>
      <c r="G33" s="364"/>
      <c r="H33" s="365"/>
      <c r="I33" s="365"/>
      <c r="J33" s="365"/>
      <c r="K33" s="365"/>
      <c r="L33" s="365"/>
      <c r="M33" s="365"/>
      <c r="N33" s="365"/>
      <c r="O33" s="365"/>
      <c r="P33" s="365"/>
      <c r="Q33" s="365"/>
      <c r="R33" s="365"/>
      <c r="S33" s="365"/>
      <c r="T33" s="365"/>
      <c r="U33" s="365"/>
    </row>
    <row r="34" spans="1:21" ht="153" x14ac:dyDescent="0.2">
      <c r="A34" s="223"/>
      <c r="B34" s="224"/>
      <c r="C34" s="218"/>
      <c r="D34" s="217" t="s">
        <v>551</v>
      </c>
      <c r="E34" s="225" t="s">
        <v>554</v>
      </c>
      <c r="F34" s="368"/>
      <c r="G34" s="364"/>
      <c r="H34" s="365"/>
      <c r="I34" s="365"/>
      <c r="J34" s="365"/>
      <c r="K34" s="365"/>
      <c r="L34" s="365"/>
      <c r="M34" s="365"/>
      <c r="N34" s="365"/>
      <c r="O34" s="365"/>
      <c r="P34" s="365"/>
      <c r="Q34" s="365"/>
      <c r="R34" s="365"/>
      <c r="S34" s="365"/>
      <c r="T34" s="365"/>
      <c r="U34" s="365"/>
    </row>
    <row r="35" spans="1:21" ht="76.5" x14ac:dyDescent="0.2">
      <c r="A35" s="223"/>
      <c r="B35" s="224"/>
      <c r="C35" s="218"/>
      <c r="D35" s="217" t="s">
        <v>368</v>
      </c>
      <c r="E35" s="225" t="s">
        <v>369</v>
      </c>
      <c r="F35" s="368"/>
      <c r="G35" s="364"/>
      <c r="H35" s="365"/>
      <c r="I35" s="365"/>
      <c r="J35" s="365"/>
      <c r="K35" s="365"/>
      <c r="L35" s="365"/>
      <c r="M35" s="365"/>
      <c r="N35" s="365"/>
      <c r="O35" s="365"/>
      <c r="P35" s="365"/>
      <c r="Q35" s="365"/>
      <c r="R35" s="365"/>
      <c r="S35" s="365"/>
      <c r="T35" s="365"/>
      <c r="U35" s="365"/>
    </row>
    <row r="36" spans="1:21" ht="102" x14ac:dyDescent="0.2">
      <c r="A36" s="223"/>
      <c r="B36" s="224"/>
      <c r="C36" s="218"/>
      <c r="D36" s="217" t="s">
        <v>367</v>
      </c>
      <c r="E36" s="225" t="s">
        <v>518</v>
      </c>
      <c r="F36" s="368"/>
      <c r="G36" s="364"/>
      <c r="H36" s="365"/>
      <c r="I36" s="365"/>
      <c r="J36" s="365"/>
      <c r="K36" s="365"/>
      <c r="L36" s="365"/>
      <c r="M36" s="365"/>
      <c r="N36" s="365"/>
      <c r="O36" s="365"/>
      <c r="P36" s="365"/>
      <c r="Q36" s="365"/>
      <c r="R36" s="365"/>
      <c r="S36" s="365"/>
      <c r="T36" s="365"/>
      <c r="U36" s="365"/>
    </row>
    <row r="37" spans="1:21" ht="25.5" x14ac:dyDescent="0.2">
      <c r="A37" s="223"/>
      <c r="B37" s="224"/>
      <c r="C37" s="218"/>
      <c r="D37" s="217" t="s">
        <v>372</v>
      </c>
      <c r="E37" s="225" t="s">
        <v>532</v>
      </c>
      <c r="F37" s="368"/>
      <c r="G37" s="364"/>
      <c r="H37" s="365"/>
      <c r="I37" s="365"/>
      <c r="J37" s="365"/>
      <c r="K37" s="365"/>
      <c r="L37" s="365"/>
      <c r="M37" s="365"/>
      <c r="N37" s="365"/>
      <c r="O37" s="365"/>
      <c r="P37" s="365"/>
      <c r="Q37" s="365"/>
      <c r="R37" s="365"/>
      <c r="S37" s="365"/>
      <c r="T37" s="365"/>
      <c r="U37" s="365"/>
    </row>
    <row r="38" spans="1:21" ht="39" thickBot="1" x14ac:dyDescent="0.25">
      <c r="A38" s="223"/>
      <c r="B38" s="224"/>
      <c r="C38" s="218"/>
      <c r="D38" s="217" t="s">
        <v>516</v>
      </c>
      <c r="E38" s="225" t="s">
        <v>517</v>
      </c>
      <c r="F38" s="368"/>
      <c r="G38" s="364"/>
      <c r="H38" s="365"/>
      <c r="I38" s="365"/>
      <c r="J38" s="365"/>
      <c r="K38" s="365"/>
      <c r="L38" s="365"/>
      <c r="M38" s="365"/>
      <c r="N38" s="365"/>
      <c r="O38" s="365"/>
      <c r="P38" s="365"/>
      <c r="Q38" s="365"/>
      <c r="R38" s="365"/>
      <c r="S38" s="365"/>
      <c r="T38" s="365"/>
      <c r="U38" s="365"/>
    </row>
    <row r="39" spans="1:21" ht="26.25" thickBot="1" x14ac:dyDescent="0.25">
      <c r="A39" s="261"/>
      <c r="B39" s="262"/>
      <c r="C39" s="234" t="s">
        <v>387</v>
      </c>
      <c r="D39" s="235" t="s">
        <v>388</v>
      </c>
      <c r="E39" s="238" t="s">
        <v>389</v>
      </c>
      <c r="F39" s="369"/>
      <c r="G39" s="364"/>
      <c r="H39" s="365"/>
      <c r="I39" s="365"/>
      <c r="J39" s="365"/>
      <c r="K39" s="365"/>
      <c r="L39" s="365"/>
      <c r="M39" s="365"/>
      <c r="N39" s="365"/>
      <c r="O39" s="365"/>
      <c r="P39" s="365"/>
      <c r="Q39" s="365"/>
      <c r="R39" s="365"/>
      <c r="S39" s="365"/>
      <c r="T39" s="365"/>
      <c r="U39" s="365"/>
    </row>
    <row r="40" spans="1:21" ht="13.5" thickBot="1" x14ac:dyDescent="0.25">
      <c r="A40" s="261"/>
      <c r="B40" s="262"/>
      <c r="C40" s="236" t="s">
        <v>390</v>
      </c>
      <c r="D40" s="237" t="s">
        <v>498</v>
      </c>
      <c r="E40" s="238" t="s">
        <v>519</v>
      </c>
      <c r="F40" s="369"/>
      <c r="G40" s="364"/>
      <c r="H40" s="365"/>
      <c r="I40" s="365"/>
      <c r="J40" s="365"/>
      <c r="K40" s="365"/>
      <c r="L40" s="365"/>
      <c r="M40" s="365"/>
      <c r="N40" s="365"/>
      <c r="O40" s="365"/>
      <c r="P40" s="365"/>
      <c r="Q40" s="365"/>
      <c r="R40" s="365"/>
      <c r="S40" s="365"/>
      <c r="T40" s="365"/>
      <c r="U40" s="365"/>
    </row>
    <row r="41" spans="1:21" ht="60" customHeight="1" thickBot="1" x14ac:dyDescent="0.25">
      <c r="A41" s="261"/>
      <c r="B41" s="262"/>
      <c r="C41" s="234" t="s">
        <v>391</v>
      </c>
      <c r="D41" s="237" t="s">
        <v>520</v>
      </c>
      <c r="E41" s="239" t="s">
        <v>521</v>
      </c>
      <c r="F41" s="370"/>
      <c r="G41" s="364"/>
      <c r="H41" s="365"/>
      <c r="I41" s="365"/>
      <c r="J41" s="365"/>
      <c r="K41" s="365"/>
      <c r="L41" s="365"/>
      <c r="M41" s="365"/>
      <c r="N41" s="365"/>
      <c r="O41" s="365"/>
      <c r="P41" s="365"/>
      <c r="Q41" s="365"/>
      <c r="R41" s="365"/>
      <c r="S41" s="365"/>
      <c r="T41" s="365"/>
      <c r="U41" s="365"/>
    </row>
    <row r="42" spans="1:21" ht="39" thickBot="1" x14ac:dyDescent="0.25">
      <c r="A42" s="261"/>
      <c r="B42" s="262"/>
      <c r="C42" s="234" t="s">
        <v>398</v>
      </c>
      <c r="D42" s="237" t="s">
        <v>348</v>
      </c>
      <c r="E42" s="238" t="s">
        <v>552</v>
      </c>
      <c r="F42" s="371"/>
      <c r="G42" s="364"/>
      <c r="H42" s="365"/>
      <c r="I42" s="365"/>
      <c r="J42" s="365"/>
      <c r="K42" s="365"/>
      <c r="L42" s="365"/>
      <c r="M42" s="365"/>
      <c r="N42" s="365"/>
      <c r="O42" s="365"/>
      <c r="P42" s="365"/>
      <c r="Q42" s="365"/>
      <c r="R42" s="365"/>
      <c r="S42" s="365"/>
      <c r="T42" s="365"/>
      <c r="U42" s="365"/>
    </row>
    <row r="43" spans="1:21" ht="25.5" customHeight="1" x14ac:dyDescent="0.2">
      <c r="A43" s="211"/>
      <c r="B43" s="211"/>
      <c r="C43" s="211"/>
      <c r="D43" s="212"/>
      <c r="E43" s="212"/>
      <c r="F43" s="364"/>
      <c r="G43" s="364"/>
      <c r="H43" s="365"/>
      <c r="I43" s="365"/>
      <c r="J43" s="365"/>
      <c r="K43" s="365"/>
      <c r="L43" s="365"/>
      <c r="M43" s="365"/>
      <c r="N43" s="365"/>
      <c r="O43" s="365"/>
      <c r="P43" s="365"/>
      <c r="Q43" s="365"/>
      <c r="R43" s="365"/>
      <c r="S43" s="365"/>
      <c r="T43" s="365"/>
      <c r="U43" s="365"/>
    </row>
    <row r="44" spans="1:21" hidden="1" x14ac:dyDescent="0.2">
      <c r="F44" s="365"/>
      <c r="G44" s="364"/>
      <c r="H44" s="365"/>
      <c r="I44" s="365"/>
      <c r="J44" s="365"/>
      <c r="K44" s="365"/>
      <c r="L44" s="365"/>
      <c r="M44" s="365"/>
      <c r="N44" s="365"/>
      <c r="O44" s="365"/>
      <c r="P44" s="365"/>
      <c r="Q44" s="365"/>
      <c r="R44" s="365"/>
      <c r="S44" s="365"/>
      <c r="T44" s="365"/>
      <c r="U44" s="365"/>
    </row>
    <row r="45" spans="1:21" x14ac:dyDescent="0.2">
      <c r="A45" s="211"/>
      <c r="B45" s="211"/>
      <c r="C45" s="211"/>
      <c r="D45" s="212"/>
      <c r="E45" s="212"/>
      <c r="F45" s="364"/>
      <c r="G45" s="364"/>
      <c r="H45" s="365"/>
      <c r="I45" s="365"/>
      <c r="J45" s="365"/>
      <c r="K45" s="365"/>
      <c r="L45" s="365"/>
      <c r="M45" s="365"/>
      <c r="N45" s="365"/>
      <c r="O45" s="365"/>
      <c r="P45" s="365"/>
      <c r="Q45" s="365"/>
      <c r="R45" s="365"/>
      <c r="S45" s="365"/>
      <c r="T45" s="365"/>
      <c r="U45" s="365"/>
    </row>
    <row r="46" spans="1:21" x14ac:dyDescent="0.2">
      <c r="A46" s="211"/>
      <c r="B46" s="211"/>
      <c r="C46" s="211"/>
      <c r="D46" s="212"/>
      <c r="E46" s="212"/>
      <c r="F46" s="364"/>
      <c r="G46" s="364"/>
      <c r="H46" s="365"/>
      <c r="I46" s="365"/>
      <c r="J46" s="365"/>
      <c r="K46" s="365"/>
      <c r="L46" s="365"/>
      <c r="M46" s="365"/>
      <c r="N46" s="365"/>
      <c r="O46" s="365"/>
      <c r="P46" s="365"/>
      <c r="Q46" s="365"/>
      <c r="R46" s="365"/>
      <c r="S46" s="365"/>
      <c r="T46" s="365"/>
      <c r="U46" s="365"/>
    </row>
    <row r="47" spans="1:21" hidden="1" x14ac:dyDescent="0.2">
      <c r="F47" s="365"/>
      <c r="G47" s="364"/>
      <c r="H47" s="365"/>
      <c r="I47" s="365"/>
      <c r="J47" s="365"/>
      <c r="K47" s="365"/>
      <c r="L47" s="365"/>
      <c r="M47" s="365"/>
      <c r="N47" s="365"/>
      <c r="O47" s="365"/>
      <c r="P47" s="365"/>
      <c r="Q47" s="365"/>
      <c r="R47" s="365"/>
      <c r="S47" s="365"/>
      <c r="T47" s="365"/>
      <c r="U47" s="365"/>
    </row>
    <row r="49" spans="4:23" x14ac:dyDescent="0.2"/>
    <row r="55" spans="4:23" hidden="1" x14ac:dyDescent="0.2">
      <c r="D55" s="372"/>
      <c r="E55" s="372"/>
      <c r="F55" s="365"/>
      <c r="G55" s="364"/>
      <c r="H55" s="365"/>
      <c r="I55" s="365"/>
      <c r="J55" s="365"/>
      <c r="K55" s="365"/>
      <c r="L55" s="365"/>
      <c r="M55" s="365"/>
      <c r="N55" s="365"/>
      <c r="O55" s="365"/>
      <c r="P55" s="365"/>
      <c r="Q55" s="365"/>
      <c r="R55" s="365"/>
      <c r="S55" s="365"/>
      <c r="T55" s="365"/>
      <c r="U55" s="365"/>
      <c r="V55" s="365"/>
      <c r="W55" s="365"/>
    </row>
    <row r="56" spans="4:23" hidden="1" x14ac:dyDescent="0.2">
      <c r="D56" s="372"/>
      <c r="E56" s="372"/>
      <c r="F56" s="365"/>
      <c r="G56" s="364"/>
      <c r="H56" s="365"/>
      <c r="I56" s="365"/>
      <c r="J56" s="365"/>
      <c r="K56" s="365"/>
      <c r="L56" s="365"/>
      <c r="M56" s="365"/>
      <c r="N56" s="365"/>
      <c r="O56" s="365"/>
      <c r="P56" s="365"/>
      <c r="Q56" s="365"/>
      <c r="R56" s="365"/>
      <c r="S56" s="365"/>
      <c r="T56" s="365"/>
      <c r="U56" s="365"/>
      <c r="V56" s="365"/>
      <c r="W56" s="365"/>
    </row>
    <row r="57" spans="4:23" hidden="1" x14ac:dyDescent="0.2">
      <c r="D57" s="372"/>
      <c r="E57" s="372"/>
      <c r="F57" s="365"/>
      <c r="G57" s="364"/>
      <c r="H57" s="365"/>
      <c r="I57" s="365"/>
      <c r="J57" s="365"/>
      <c r="K57" s="365"/>
      <c r="L57" s="365"/>
      <c r="M57" s="365"/>
      <c r="N57" s="365"/>
      <c r="O57" s="365"/>
      <c r="P57" s="365"/>
      <c r="Q57" s="365"/>
      <c r="R57" s="365"/>
      <c r="S57" s="365"/>
      <c r="T57" s="365"/>
      <c r="U57" s="365"/>
      <c r="V57" s="365"/>
      <c r="W57" s="365"/>
    </row>
    <row r="58" spans="4:23" hidden="1" x14ac:dyDescent="0.2">
      <c r="D58" s="372"/>
      <c r="E58" s="372"/>
      <c r="F58" s="365"/>
      <c r="G58" s="364"/>
      <c r="H58" s="365"/>
      <c r="I58" s="365"/>
      <c r="J58" s="365"/>
      <c r="K58" s="365"/>
      <c r="L58" s="365"/>
      <c r="M58" s="365"/>
      <c r="N58" s="365"/>
      <c r="O58" s="365"/>
      <c r="P58" s="365"/>
      <c r="Q58" s="365"/>
      <c r="R58" s="365"/>
      <c r="S58" s="365"/>
      <c r="T58" s="365"/>
      <c r="U58" s="365"/>
      <c r="V58" s="365"/>
      <c r="W58" s="365"/>
    </row>
    <row r="59" spans="4:23" hidden="1" x14ac:dyDescent="0.2">
      <c r="D59" s="372"/>
      <c r="E59" s="372"/>
      <c r="F59" s="365"/>
      <c r="G59" s="364"/>
      <c r="H59" s="365"/>
      <c r="I59" s="365"/>
      <c r="J59" s="365"/>
      <c r="K59" s="365"/>
      <c r="L59" s="365"/>
      <c r="M59" s="365"/>
      <c r="N59" s="365"/>
      <c r="O59" s="365"/>
      <c r="P59" s="365"/>
      <c r="Q59" s="365"/>
      <c r="R59" s="365"/>
      <c r="S59" s="365"/>
      <c r="T59" s="365"/>
      <c r="U59" s="365"/>
      <c r="V59" s="365"/>
      <c r="W59" s="365"/>
    </row>
    <row r="60" spans="4:23" hidden="1" x14ac:dyDescent="0.2">
      <c r="D60" s="372"/>
      <c r="E60" s="372"/>
      <c r="F60" s="365"/>
      <c r="G60" s="364"/>
      <c r="H60" s="365"/>
      <c r="I60" s="365"/>
      <c r="J60" s="365"/>
      <c r="K60" s="365"/>
      <c r="L60" s="365"/>
      <c r="M60" s="365"/>
      <c r="N60" s="365"/>
      <c r="O60" s="365"/>
      <c r="P60" s="365"/>
      <c r="Q60" s="365"/>
      <c r="R60" s="365"/>
      <c r="S60" s="365"/>
      <c r="T60" s="365"/>
      <c r="U60" s="365"/>
      <c r="V60" s="365"/>
      <c r="W60" s="365"/>
    </row>
    <row r="61" spans="4:23" hidden="1" x14ac:dyDescent="0.2">
      <c r="D61" s="372"/>
      <c r="E61" s="372"/>
      <c r="F61" s="365"/>
      <c r="G61" s="364"/>
      <c r="H61" s="365"/>
      <c r="I61" s="365"/>
      <c r="J61" s="365"/>
      <c r="K61" s="365"/>
      <c r="L61" s="365"/>
      <c r="M61" s="365"/>
      <c r="N61" s="365"/>
      <c r="O61" s="365"/>
      <c r="P61" s="365"/>
      <c r="Q61" s="365"/>
      <c r="R61" s="365"/>
      <c r="S61" s="365"/>
      <c r="T61" s="365"/>
      <c r="U61" s="365"/>
      <c r="V61" s="365"/>
      <c r="W61" s="365"/>
    </row>
    <row r="62" spans="4:23" hidden="1" x14ac:dyDescent="0.2">
      <c r="D62" s="372"/>
      <c r="E62" s="372"/>
      <c r="F62" s="365"/>
      <c r="G62" s="364"/>
      <c r="H62" s="365"/>
      <c r="I62" s="365"/>
      <c r="J62" s="365"/>
      <c r="K62" s="365"/>
      <c r="L62" s="365"/>
      <c r="M62" s="365"/>
      <c r="N62" s="365"/>
      <c r="O62" s="365"/>
      <c r="P62" s="365"/>
      <c r="Q62" s="365"/>
      <c r="R62" s="365"/>
      <c r="S62" s="365"/>
      <c r="T62" s="365"/>
      <c r="U62" s="365"/>
      <c r="V62" s="365"/>
      <c r="W62" s="365"/>
    </row>
    <row r="63" spans="4:23" hidden="1" x14ac:dyDescent="0.2">
      <c r="D63" s="372"/>
      <c r="E63" s="372"/>
      <c r="F63" s="365"/>
      <c r="G63" s="364"/>
      <c r="H63" s="365"/>
      <c r="I63" s="365"/>
      <c r="J63" s="365"/>
      <c r="K63" s="365"/>
      <c r="L63" s="365"/>
      <c r="M63" s="365"/>
      <c r="N63" s="365"/>
      <c r="O63" s="365"/>
      <c r="P63" s="365"/>
      <c r="Q63" s="365"/>
      <c r="R63" s="365"/>
      <c r="S63" s="365"/>
      <c r="T63" s="365"/>
      <c r="U63" s="365"/>
      <c r="V63" s="365"/>
      <c r="W63" s="365"/>
    </row>
    <row r="64" spans="4:23" hidden="1" x14ac:dyDescent="0.2">
      <c r="D64" s="372"/>
      <c r="E64" s="372"/>
      <c r="F64" s="365"/>
      <c r="G64" s="364"/>
      <c r="H64" s="365"/>
      <c r="I64" s="365"/>
      <c r="J64" s="365"/>
      <c r="K64" s="365"/>
      <c r="L64" s="365"/>
      <c r="M64" s="365"/>
      <c r="N64" s="365"/>
      <c r="O64" s="365"/>
      <c r="P64" s="365"/>
      <c r="Q64" s="365"/>
      <c r="R64" s="365"/>
      <c r="S64" s="365"/>
      <c r="T64" s="365"/>
      <c r="U64" s="365"/>
      <c r="V64" s="365"/>
      <c r="W64" s="365"/>
    </row>
    <row r="65" spans="4:23" hidden="1" x14ac:dyDescent="0.2">
      <c r="D65" s="372"/>
      <c r="E65" s="372"/>
      <c r="F65" s="365"/>
      <c r="G65" s="364"/>
      <c r="H65" s="365"/>
      <c r="I65" s="365"/>
      <c r="J65" s="365"/>
      <c r="K65" s="365"/>
      <c r="L65" s="365"/>
      <c r="M65" s="365"/>
      <c r="N65" s="365"/>
      <c r="O65" s="365"/>
      <c r="P65" s="365"/>
      <c r="Q65" s="365"/>
      <c r="R65" s="365"/>
      <c r="S65" s="365"/>
      <c r="T65" s="365"/>
      <c r="U65" s="365"/>
      <c r="V65" s="365"/>
      <c r="W65" s="365"/>
    </row>
    <row r="66" spans="4:23" hidden="1" x14ac:dyDescent="0.2">
      <c r="D66" s="372"/>
      <c r="E66" s="372"/>
      <c r="F66" s="365"/>
      <c r="G66" s="364"/>
      <c r="H66" s="365"/>
      <c r="I66" s="365"/>
      <c r="J66" s="365"/>
      <c r="K66" s="365"/>
      <c r="L66" s="365"/>
      <c r="M66" s="365"/>
      <c r="N66" s="365"/>
      <c r="O66" s="365"/>
      <c r="P66" s="365"/>
      <c r="Q66" s="365"/>
      <c r="R66" s="365"/>
      <c r="S66" s="365"/>
      <c r="T66" s="365"/>
      <c r="U66" s="365"/>
      <c r="V66" s="365"/>
      <c r="W66" s="365"/>
    </row>
    <row r="67" spans="4:23" hidden="1" x14ac:dyDescent="0.2">
      <c r="D67" s="372"/>
      <c r="E67" s="372"/>
      <c r="F67" s="365"/>
      <c r="G67" s="364"/>
      <c r="H67" s="365"/>
      <c r="I67" s="365"/>
      <c r="J67" s="365"/>
      <c r="K67" s="365"/>
      <c r="L67" s="365"/>
      <c r="M67" s="365"/>
      <c r="N67" s="365"/>
      <c r="O67" s="365"/>
      <c r="P67" s="365"/>
      <c r="Q67" s="365"/>
      <c r="R67" s="365"/>
      <c r="S67" s="365"/>
      <c r="T67" s="365"/>
      <c r="U67" s="365"/>
      <c r="V67" s="365"/>
      <c r="W67" s="365"/>
    </row>
    <row r="68" spans="4:23" hidden="1" x14ac:dyDescent="0.2">
      <c r="D68" s="372"/>
      <c r="E68" s="372"/>
      <c r="F68" s="365"/>
      <c r="G68" s="364"/>
      <c r="H68" s="365"/>
      <c r="I68" s="365"/>
      <c r="J68" s="365"/>
      <c r="K68" s="365"/>
      <c r="L68" s="365"/>
      <c r="M68" s="365"/>
      <c r="N68" s="365"/>
      <c r="O68" s="365"/>
      <c r="P68" s="365"/>
      <c r="Q68" s="365"/>
      <c r="R68" s="365"/>
      <c r="S68" s="365"/>
      <c r="T68" s="365"/>
      <c r="U68" s="365"/>
      <c r="V68" s="365"/>
      <c r="W68" s="365"/>
    </row>
    <row r="69" spans="4:23" hidden="1" x14ac:dyDescent="0.2">
      <c r="D69" s="372"/>
      <c r="E69" s="372"/>
      <c r="F69" s="365"/>
      <c r="G69" s="364"/>
      <c r="H69" s="365"/>
      <c r="I69" s="365"/>
      <c r="J69" s="365"/>
      <c r="K69" s="365"/>
      <c r="L69" s="365"/>
      <c r="M69" s="365"/>
      <c r="N69" s="365"/>
      <c r="O69" s="365"/>
      <c r="P69" s="365"/>
      <c r="Q69" s="365"/>
      <c r="R69" s="365"/>
      <c r="S69" s="365"/>
      <c r="T69" s="365"/>
      <c r="U69" s="365"/>
      <c r="V69" s="365"/>
      <c r="W69" s="365"/>
    </row>
    <row r="70" spans="4:23" hidden="1" x14ac:dyDescent="0.2">
      <c r="D70" s="372"/>
      <c r="E70" s="372"/>
      <c r="F70" s="365"/>
      <c r="G70" s="364"/>
      <c r="H70" s="365"/>
      <c r="I70" s="365"/>
      <c r="J70" s="365"/>
      <c r="K70" s="365"/>
      <c r="L70" s="365"/>
      <c r="M70" s="365"/>
      <c r="N70" s="365"/>
      <c r="O70" s="365"/>
      <c r="P70" s="365"/>
      <c r="Q70" s="365"/>
      <c r="R70" s="365"/>
      <c r="S70" s="365"/>
      <c r="T70" s="365"/>
      <c r="U70" s="365"/>
      <c r="V70" s="365"/>
      <c r="W70" s="365"/>
    </row>
  </sheetData>
  <sheetProtection password="C560" sheet="1" objects="1" scenarios="1" formatCells="0" formatColumns="0" formatRows="0" sort="0" autoFilter="0"/>
  <mergeCells count="4">
    <mergeCell ref="B19:C19"/>
    <mergeCell ref="A8:B13"/>
    <mergeCell ref="F15:F18"/>
    <mergeCell ref="A14:C14"/>
  </mergeCells>
  <phoneticPr fontId="47" type="noConversion"/>
  <pageMargins left="0.7" right="0.7" top="0.75" bottom="0.75" header="0.3" footer="0.3"/>
  <pageSetup scale="68" fitToHeight="0" orientation="portrait" r:id="rId1"/>
  <rowBreaks count="1" manualBreakCount="1">
    <brk id="30" max="4"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General">
    <pageSetUpPr fitToPage="1"/>
  </sheetPr>
  <dimension ref="A1:N54"/>
  <sheetViews>
    <sheetView zoomScaleNormal="100" workbookViewId="0">
      <selection activeCell="I12" sqref="I12"/>
    </sheetView>
  </sheetViews>
  <sheetFormatPr defaultRowHeight="12.75" x14ac:dyDescent="0.2"/>
  <cols>
    <col min="1" max="1" width="5.7109375" style="5" customWidth="1"/>
    <col min="2" max="2" width="10.5703125" style="5" customWidth="1"/>
    <col min="3" max="3" width="13.140625" style="5" customWidth="1"/>
    <col min="4" max="4" width="11.85546875" style="5" customWidth="1"/>
    <col min="5" max="5" width="16.28515625" style="5" customWidth="1"/>
    <col min="6" max="6" width="24.42578125" style="5" customWidth="1"/>
    <col min="7" max="7" width="41.42578125" style="5" customWidth="1"/>
    <col min="8" max="8" width="31.42578125" style="5" customWidth="1"/>
    <col min="9" max="9" width="10.7109375" style="5" customWidth="1"/>
    <col min="10" max="16384" width="9.140625" style="5"/>
  </cols>
  <sheetData>
    <row r="1" spans="1:14" ht="13.5" thickBot="1" x14ac:dyDescent="0.25"/>
    <row r="2" spans="1:14" ht="25.5" customHeight="1" thickBot="1" x14ac:dyDescent="0.25">
      <c r="A2" s="60" t="s">
        <v>22</v>
      </c>
      <c r="B2" s="522" t="s">
        <v>3</v>
      </c>
      <c r="C2" s="523"/>
      <c r="D2" s="523"/>
      <c r="E2" s="523"/>
      <c r="F2" s="523"/>
      <c r="G2" s="524"/>
      <c r="H2" s="8"/>
    </row>
    <row r="3" spans="1:14" ht="13.5" thickBot="1" x14ac:dyDescent="0.25"/>
    <row r="4" spans="1:14" ht="18" customHeight="1" thickBot="1" x14ac:dyDescent="0.25">
      <c r="A4" s="34" t="s">
        <v>23</v>
      </c>
      <c r="B4" s="6" t="s">
        <v>10</v>
      </c>
      <c r="D4" s="336">
        <v>209</v>
      </c>
      <c r="E4" s="9"/>
    </row>
    <row r="5" spans="1:14" ht="13.5" thickBot="1" x14ac:dyDescent="0.25">
      <c r="B5" s="34" t="s">
        <v>24</v>
      </c>
      <c r="C5" s="34" t="s">
        <v>25</v>
      </c>
      <c r="D5" s="34" t="s">
        <v>26</v>
      </c>
      <c r="E5" s="34" t="s">
        <v>27</v>
      </c>
      <c r="F5" s="34" t="s">
        <v>28</v>
      </c>
      <c r="G5" s="34" t="s">
        <v>36</v>
      </c>
      <c r="H5" s="34">
        <v>1.8</v>
      </c>
    </row>
    <row r="6" spans="1:14" ht="39" thickBot="1" x14ac:dyDescent="0.25">
      <c r="B6" s="39" t="s">
        <v>4</v>
      </c>
      <c r="C6" s="40" t="s">
        <v>5</v>
      </c>
      <c r="D6" s="40" t="s">
        <v>6</v>
      </c>
      <c r="E6" s="40" t="s">
        <v>533</v>
      </c>
      <c r="F6" s="40" t="s">
        <v>7</v>
      </c>
      <c r="G6" s="40" t="s">
        <v>593</v>
      </c>
      <c r="H6" s="472" t="s">
        <v>612</v>
      </c>
      <c r="I6" s="473"/>
      <c r="J6" s="34"/>
    </row>
    <row r="7" spans="1:14" ht="15.95" customHeight="1" x14ac:dyDescent="0.2">
      <c r="B7" s="266" t="s">
        <v>650</v>
      </c>
      <c r="C7" s="267">
        <v>110</v>
      </c>
      <c r="D7" s="267">
        <v>3</v>
      </c>
      <c r="E7" s="267" t="s">
        <v>40</v>
      </c>
      <c r="F7" s="268" t="s">
        <v>653</v>
      </c>
      <c r="G7" s="457" t="s">
        <v>656</v>
      </c>
      <c r="H7" s="479" t="s">
        <v>603</v>
      </c>
      <c r="K7" s="34"/>
      <c r="N7" s="7"/>
    </row>
    <row r="8" spans="1:14" ht="15.95" customHeight="1" x14ac:dyDescent="0.2">
      <c r="B8" s="269" t="s">
        <v>651</v>
      </c>
      <c r="C8" s="270">
        <v>41</v>
      </c>
      <c r="D8" s="270">
        <v>3</v>
      </c>
      <c r="E8" s="270" t="s">
        <v>40</v>
      </c>
      <c r="F8" s="271" t="s">
        <v>653</v>
      </c>
      <c r="G8" s="271" t="s">
        <v>657</v>
      </c>
      <c r="H8" s="458" t="s">
        <v>603</v>
      </c>
      <c r="N8" s="7"/>
    </row>
    <row r="9" spans="1:14" ht="15.95" customHeight="1" x14ac:dyDescent="0.2">
      <c r="B9" s="269" t="s">
        <v>652</v>
      </c>
      <c r="C9" s="270">
        <v>18</v>
      </c>
      <c r="D9" s="270">
        <v>3</v>
      </c>
      <c r="E9" s="270" t="s">
        <v>40</v>
      </c>
      <c r="F9" s="271" t="s">
        <v>654</v>
      </c>
      <c r="G9" s="271" t="s">
        <v>657</v>
      </c>
      <c r="H9" s="459" t="s">
        <v>603</v>
      </c>
      <c r="N9" s="7"/>
    </row>
    <row r="10" spans="1:14" ht="15.95" customHeight="1" x14ac:dyDescent="0.2">
      <c r="B10" s="269" t="s">
        <v>652</v>
      </c>
      <c r="C10" s="270">
        <v>40</v>
      </c>
      <c r="D10" s="270">
        <v>3</v>
      </c>
      <c r="E10" s="270" t="s">
        <v>40</v>
      </c>
      <c r="F10" s="271" t="s">
        <v>655</v>
      </c>
      <c r="G10" s="271" t="s">
        <v>658</v>
      </c>
      <c r="H10" s="459" t="s">
        <v>603</v>
      </c>
      <c r="N10" s="7"/>
    </row>
    <row r="11" spans="1:14" ht="15.95" customHeight="1" x14ac:dyDescent="0.2">
      <c r="B11" s="269"/>
      <c r="C11" s="270"/>
      <c r="D11" s="270"/>
      <c r="E11" s="270"/>
      <c r="F11" s="271"/>
      <c r="G11" s="271"/>
      <c r="H11" s="460"/>
    </row>
    <row r="12" spans="1:14" ht="15.95" customHeight="1" x14ac:dyDescent="0.2">
      <c r="B12" s="269"/>
      <c r="C12" s="270"/>
      <c r="D12" s="270"/>
      <c r="E12" s="270"/>
      <c r="F12" s="271"/>
      <c r="G12" s="271"/>
      <c r="H12" s="461"/>
    </row>
    <row r="13" spans="1:14" ht="15.95" customHeight="1" x14ac:dyDescent="0.2">
      <c r="B13" s="269"/>
      <c r="C13" s="270"/>
      <c r="D13" s="270"/>
      <c r="E13" s="270"/>
      <c r="F13" s="271"/>
      <c r="G13" s="271"/>
      <c r="H13" s="460"/>
    </row>
    <row r="14" spans="1:14" ht="15.95" customHeight="1" x14ac:dyDescent="0.2">
      <c r="B14" s="269"/>
      <c r="C14" s="270"/>
      <c r="D14" s="270"/>
      <c r="E14" s="270"/>
      <c r="F14" s="271"/>
      <c r="G14" s="271"/>
      <c r="H14" s="461"/>
    </row>
    <row r="15" spans="1:14" ht="15.95" customHeight="1" x14ac:dyDescent="0.2">
      <c r="B15" s="269"/>
      <c r="C15" s="270"/>
      <c r="D15" s="270"/>
      <c r="E15" s="270"/>
      <c r="F15" s="271"/>
      <c r="G15" s="271"/>
      <c r="H15" s="460"/>
    </row>
    <row r="16" spans="1:14" ht="15.95" customHeight="1" x14ac:dyDescent="0.2">
      <c r="B16" s="269"/>
      <c r="C16" s="270"/>
      <c r="D16" s="270"/>
      <c r="E16" s="270"/>
      <c r="F16" s="271"/>
      <c r="G16" s="271"/>
      <c r="H16" s="460"/>
    </row>
    <row r="17" spans="1:8" ht="15.95" customHeight="1" x14ac:dyDescent="0.2">
      <c r="B17" s="269"/>
      <c r="C17" s="270"/>
      <c r="D17" s="270"/>
      <c r="E17" s="270"/>
      <c r="F17" s="271"/>
      <c r="G17" s="271"/>
      <c r="H17" s="461"/>
    </row>
    <row r="18" spans="1:8" ht="15.95" customHeight="1" x14ac:dyDescent="0.2">
      <c r="B18" s="269"/>
      <c r="C18" s="270"/>
      <c r="D18" s="270"/>
      <c r="E18" s="270"/>
      <c r="F18" s="271"/>
      <c r="G18" s="271"/>
      <c r="H18" s="459"/>
    </row>
    <row r="19" spans="1:8" ht="15.95" customHeight="1" x14ac:dyDescent="0.2">
      <c r="B19" s="269"/>
      <c r="C19" s="270"/>
      <c r="D19" s="270"/>
      <c r="E19" s="270"/>
      <c r="F19" s="271"/>
      <c r="G19" s="271"/>
      <c r="H19" s="459"/>
    </row>
    <row r="20" spans="1:8" ht="15.95" customHeight="1" x14ac:dyDescent="0.2">
      <c r="B20" s="269"/>
      <c r="C20" s="270"/>
      <c r="D20" s="270"/>
      <c r="E20" s="270"/>
      <c r="F20" s="271"/>
      <c r="G20" s="271"/>
      <c r="H20" s="459"/>
    </row>
    <row r="21" spans="1:8" ht="15.95" customHeight="1" x14ac:dyDescent="0.2">
      <c r="B21" s="269"/>
      <c r="C21" s="270"/>
      <c r="D21" s="270"/>
      <c r="E21" s="270"/>
      <c r="F21" s="271"/>
      <c r="G21" s="271"/>
      <c r="H21" s="460"/>
    </row>
    <row r="22" spans="1:8" ht="15.95" customHeight="1" thickBot="1" x14ac:dyDescent="0.25">
      <c r="B22" s="272"/>
      <c r="C22" s="273"/>
      <c r="D22" s="273"/>
      <c r="E22" s="273"/>
      <c r="F22" s="274"/>
      <c r="G22" s="274"/>
      <c r="H22" s="462"/>
    </row>
    <row r="23" spans="1:8" ht="15.95" customHeight="1" thickBot="1" x14ac:dyDescent="0.25">
      <c r="F23" s="34"/>
    </row>
    <row r="24" spans="1:8" ht="16.5" thickBot="1" x14ac:dyDescent="0.3">
      <c r="B24" s="3" t="s">
        <v>9</v>
      </c>
      <c r="C24" s="4">
        <f>SUM(C7:C22)</f>
        <v>209</v>
      </c>
    </row>
    <row r="27" spans="1:8" ht="15.75" x14ac:dyDescent="0.2">
      <c r="A27" s="5">
        <v>1.9</v>
      </c>
      <c r="B27" s="34"/>
      <c r="C27" s="525" t="s">
        <v>260</v>
      </c>
      <c r="D27" s="525"/>
      <c r="E27" s="525"/>
    </row>
    <row r="28" spans="1:8" ht="13.5" thickBot="1" x14ac:dyDescent="0.25">
      <c r="C28" s="43"/>
    </row>
    <row r="29" spans="1:8" ht="16.5" thickBot="1" x14ac:dyDescent="0.25">
      <c r="C29" s="341">
        <f>YEAR(Welcome!K11)</f>
        <v>2017</v>
      </c>
      <c r="D29" s="44">
        <f>C29+1</f>
        <v>2018</v>
      </c>
      <c r="E29" s="45">
        <f>D29+1</f>
        <v>2019</v>
      </c>
    </row>
    <row r="30" spans="1:8" ht="14.25" x14ac:dyDescent="0.2">
      <c r="C30" s="275" t="s">
        <v>586</v>
      </c>
      <c r="D30" s="276" t="s">
        <v>586</v>
      </c>
      <c r="E30" s="277" t="s">
        <v>586</v>
      </c>
    </row>
    <row r="31" spans="1:8" ht="14.25" x14ac:dyDescent="0.2">
      <c r="C31" s="278" t="s">
        <v>323</v>
      </c>
      <c r="D31" s="279" t="s">
        <v>323</v>
      </c>
      <c r="E31" s="280" t="s">
        <v>323</v>
      </c>
    </row>
    <row r="32" spans="1:8" ht="14.25" x14ac:dyDescent="0.2">
      <c r="C32" s="278" t="s">
        <v>324</v>
      </c>
      <c r="D32" s="279" t="s">
        <v>324</v>
      </c>
      <c r="E32" s="280" t="s">
        <v>324</v>
      </c>
    </row>
    <row r="33" spans="3:5" ht="14.25" x14ac:dyDescent="0.2">
      <c r="C33" s="278" t="s">
        <v>325</v>
      </c>
      <c r="D33" s="279" t="s">
        <v>325</v>
      </c>
      <c r="E33" s="280" t="s">
        <v>325</v>
      </c>
    </row>
    <row r="34" spans="3:5" ht="14.25" x14ac:dyDescent="0.2">
      <c r="C34" s="278" t="s">
        <v>326</v>
      </c>
      <c r="D34" s="279" t="s">
        <v>326</v>
      </c>
      <c r="E34" s="280" t="s">
        <v>326</v>
      </c>
    </row>
    <row r="35" spans="3:5" ht="14.25" x14ac:dyDescent="0.2">
      <c r="C35" s="278" t="s">
        <v>327</v>
      </c>
      <c r="D35" s="279" t="s">
        <v>327</v>
      </c>
      <c r="E35" s="280" t="s">
        <v>327</v>
      </c>
    </row>
    <row r="36" spans="3:5" ht="14.25" x14ac:dyDescent="0.2">
      <c r="C36" s="278" t="s">
        <v>328</v>
      </c>
      <c r="D36" s="279" t="s">
        <v>328</v>
      </c>
      <c r="E36" s="280" t="s">
        <v>328</v>
      </c>
    </row>
    <row r="37" spans="3:5" ht="14.25" x14ac:dyDescent="0.2">
      <c r="C37" s="278" t="s">
        <v>329</v>
      </c>
      <c r="D37" s="279" t="s">
        <v>329</v>
      </c>
      <c r="E37" s="280" t="s">
        <v>329</v>
      </c>
    </row>
    <row r="38" spans="3:5" ht="14.25" x14ac:dyDescent="0.2">
      <c r="C38" s="278" t="s">
        <v>330</v>
      </c>
      <c r="D38" s="279" t="s">
        <v>330</v>
      </c>
      <c r="E38" s="280" t="s">
        <v>330</v>
      </c>
    </row>
    <row r="39" spans="3:5" ht="15" thickBot="1" x14ac:dyDescent="0.25">
      <c r="C39" s="281" t="s">
        <v>331</v>
      </c>
      <c r="D39" s="282" t="s">
        <v>331</v>
      </c>
      <c r="E39" s="283" t="s">
        <v>331</v>
      </c>
    </row>
    <row r="40" spans="3:5" ht="14.25" customHeight="1" x14ac:dyDescent="0.2">
      <c r="C40" s="526" t="s">
        <v>575</v>
      </c>
      <c r="D40" s="527"/>
      <c r="E40" s="528"/>
    </row>
    <row r="41" spans="3:5" ht="14.25" customHeight="1" x14ac:dyDescent="0.2">
      <c r="C41" s="529"/>
      <c r="D41" s="530"/>
      <c r="E41" s="531"/>
    </row>
    <row r="42" spans="3:5" ht="14.25" customHeight="1" x14ac:dyDescent="0.2">
      <c r="C42" s="529"/>
      <c r="D42" s="530"/>
      <c r="E42" s="531"/>
    </row>
    <row r="43" spans="3:5" ht="14.25" customHeight="1" x14ac:dyDescent="0.2">
      <c r="C43" s="529"/>
      <c r="D43" s="530"/>
      <c r="E43" s="531"/>
    </row>
    <row r="44" spans="3:5" ht="14.25" customHeight="1" x14ac:dyDescent="0.2">
      <c r="C44" s="529"/>
      <c r="D44" s="530"/>
      <c r="E44" s="531"/>
    </row>
    <row r="45" spans="3:5" ht="14.25" customHeight="1" x14ac:dyDescent="0.2">
      <c r="C45" s="529"/>
      <c r="D45" s="530"/>
      <c r="E45" s="531"/>
    </row>
    <row r="46" spans="3:5" ht="14.25" customHeight="1" x14ac:dyDescent="0.2">
      <c r="C46" s="529"/>
      <c r="D46" s="530"/>
      <c r="E46" s="531"/>
    </row>
    <row r="47" spans="3:5" ht="14.25" customHeight="1" x14ac:dyDescent="0.2">
      <c r="C47" s="529"/>
      <c r="D47" s="530"/>
      <c r="E47" s="531"/>
    </row>
    <row r="48" spans="3:5" ht="14.25" customHeight="1" x14ac:dyDescent="0.2">
      <c r="C48" s="529"/>
      <c r="D48" s="530"/>
      <c r="E48" s="531"/>
    </row>
    <row r="49" spans="3:5" ht="14.25" customHeight="1" x14ac:dyDescent="0.2">
      <c r="C49" s="529"/>
      <c r="D49" s="530"/>
      <c r="E49" s="531"/>
    </row>
    <row r="50" spans="3:5" ht="14.25" customHeight="1" x14ac:dyDescent="0.2">
      <c r="C50" s="529"/>
      <c r="D50" s="530"/>
      <c r="E50" s="531"/>
    </row>
    <row r="51" spans="3:5" ht="14.25" customHeight="1" x14ac:dyDescent="0.2">
      <c r="C51" s="529"/>
      <c r="D51" s="530"/>
      <c r="E51" s="531"/>
    </row>
    <row r="52" spans="3:5" ht="14.25" customHeight="1" x14ac:dyDescent="0.2">
      <c r="C52" s="529"/>
      <c r="D52" s="530"/>
      <c r="E52" s="531"/>
    </row>
    <row r="53" spans="3:5" ht="14.25" customHeight="1" x14ac:dyDescent="0.2">
      <c r="C53" s="529"/>
      <c r="D53" s="530"/>
      <c r="E53" s="531"/>
    </row>
    <row r="54" spans="3:5" ht="14.25" customHeight="1" x14ac:dyDescent="0.2">
      <c r="C54" s="532"/>
      <c r="D54" s="533"/>
      <c r="E54" s="534"/>
    </row>
  </sheetData>
  <sheetProtection formatCells="0" formatColumns="0" formatRows="0" selectLockedCells="1" sort="0" autoFilter="0"/>
  <protectedRanges>
    <protectedRange sqref="D4 B7:G22 C30:E54" name="Gensetup"/>
    <protectedRange sqref="D4 B7:G22 C30:E54" name="Range1"/>
  </protectedRanges>
  <mergeCells count="3">
    <mergeCell ref="B2:G2"/>
    <mergeCell ref="C27:E27"/>
    <mergeCell ref="C40:E54"/>
  </mergeCells>
  <phoneticPr fontId="47" type="noConversion"/>
  <conditionalFormatting sqref="C24">
    <cfRule type="cellIs" dxfId="28" priority="1" operator="notEqual">
      <formula>$D$4</formula>
    </cfRule>
  </conditionalFormatting>
  <dataValidations count="1">
    <dataValidation type="textLength" allowBlank="1" showInputMessage="1" showErrorMessage="1" errorTitle="Room pool code error" error="MARSHA room pool codes are 4 letter codes - use the ones provided after the phase 1 loading" sqref="B7:B22">
      <formula1>4</formula1>
      <formula2>4</formula2>
    </dataValidation>
  </dataValidations>
  <pageMargins left="0.7" right="0.7" top="0.75" bottom="0.75" header="0.3" footer="0.3"/>
  <pageSetup scale="53" orientation="portrait" r:id="rId1"/>
  <drawing r:id="rId2"/>
  <legacyDrawing r:id="rId3"/>
  <extLst>
    <ext xmlns:x14="http://schemas.microsoft.com/office/spreadsheetml/2009/9/main" uri="{CCE6A557-97BC-4b89-ADB6-D9C93CAAB3DF}">
      <x14:dataValidations xmlns:xm="http://schemas.microsoft.com/office/excel/2006/main" count="2">
        <x14:dataValidation type="list" showInputMessage="1" showErrorMessage="1" errorTitle="Room Classification" error="One of the following options must be used:_x000a_- Standard_x000a_- Concierge/Club_x000a_- Premium">
          <x14:formula1>
            <xm:f>DropDown!$A$2:$A$5</xm:f>
          </x14:formula1>
          <xm:sqref>E7:E22</xm:sqref>
        </x14:dataValidation>
        <x14:dataValidation type="list" allowBlank="1" showInputMessage="1" showErrorMessage="1">
          <x14:formula1>
            <xm:f>DropDown!$AK$3:$AK$13</xm:f>
          </x14:formula1>
          <xm:sqref>H7:H22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tail"/>
  <dimension ref="A2:W71"/>
  <sheetViews>
    <sheetView zoomScale="85" zoomScaleNormal="85" workbookViewId="0">
      <selection activeCell="F31" sqref="F31:F34"/>
    </sheetView>
  </sheetViews>
  <sheetFormatPr defaultRowHeight="12.75" x14ac:dyDescent="0.2"/>
  <cols>
    <col min="1" max="1" width="4.5703125" style="5" customWidth="1"/>
    <col min="2" max="2" width="15.140625" style="5" bestFit="1" customWidth="1"/>
    <col min="3" max="3" width="15.140625" style="5" customWidth="1"/>
    <col min="4" max="4" width="10.42578125" style="5" customWidth="1"/>
    <col min="5" max="5" width="10.85546875" style="5" customWidth="1"/>
    <col min="6" max="21" width="10.42578125" style="5" customWidth="1"/>
    <col min="22" max="16384" width="9.140625" style="5"/>
  </cols>
  <sheetData>
    <row r="2" spans="1:21" ht="18.75" thickBot="1" x14ac:dyDescent="0.3">
      <c r="A2" s="34" t="s">
        <v>358</v>
      </c>
      <c r="B2" s="41" t="s">
        <v>74</v>
      </c>
      <c r="D2" s="34" t="s">
        <v>360</v>
      </c>
      <c r="E2" s="34" t="s">
        <v>361</v>
      </c>
      <c r="F2" s="34" t="s">
        <v>362</v>
      </c>
      <c r="G2" s="34" t="s">
        <v>363</v>
      </c>
    </row>
    <row r="3" spans="1:21" s="27" customFormat="1" ht="58.5" customHeight="1" thickBot="1" x14ac:dyDescent="0.25">
      <c r="B3" s="337" t="s">
        <v>71</v>
      </c>
      <c r="C3" s="338" t="s">
        <v>72</v>
      </c>
      <c r="D3" s="19" t="s">
        <v>70</v>
      </c>
      <c r="E3" s="148" t="s">
        <v>590</v>
      </c>
      <c r="F3" s="20" t="s">
        <v>73</v>
      </c>
      <c r="G3" s="333" t="s">
        <v>69</v>
      </c>
      <c r="H3" s="334" t="s">
        <v>69</v>
      </c>
      <c r="I3" s="334" t="s">
        <v>69</v>
      </c>
      <c r="J3" s="334" t="s">
        <v>69</v>
      </c>
      <c r="K3" s="334" t="s">
        <v>69</v>
      </c>
      <c r="L3" s="334" t="s">
        <v>69</v>
      </c>
      <c r="M3" s="334" t="s">
        <v>69</v>
      </c>
      <c r="N3" s="334" t="s">
        <v>69</v>
      </c>
      <c r="O3" s="334" t="s">
        <v>69</v>
      </c>
      <c r="P3" s="334" t="s">
        <v>69</v>
      </c>
      <c r="Q3" s="334" t="s">
        <v>69</v>
      </c>
      <c r="R3" s="334" t="s">
        <v>69</v>
      </c>
      <c r="S3" s="334" t="s">
        <v>69</v>
      </c>
      <c r="T3" s="334" t="s">
        <v>69</v>
      </c>
      <c r="U3" s="335" t="s">
        <v>69</v>
      </c>
    </row>
    <row r="4" spans="1:21" s="27" customFormat="1" ht="24" customHeight="1" thickBot="1" x14ac:dyDescent="0.25">
      <c r="B4" s="535"/>
      <c r="C4" s="536"/>
      <c r="D4" s="536"/>
      <c r="E4" s="537"/>
      <c r="F4" s="21" t="s">
        <v>40</v>
      </c>
      <c r="G4" s="333" t="s">
        <v>40</v>
      </c>
      <c r="H4" s="334" t="s">
        <v>40</v>
      </c>
      <c r="I4" s="334" t="s">
        <v>40</v>
      </c>
      <c r="J4" s="334"/>
      <c r="K4" s="334"/>
      <c r="L4" s="334"/>
      <c r="M4" s="334"/>
      <c r="N4" s="334"/>
      <c r="O4" s="334"/>
      <c r="P4" s="334"/>
      <c r="Q4" s="334"/>
      <c r="R4" s="334"/>
      <c r="S4" s="334"/>
      <c r="T4" s="334"/>
      <c r="U4" s="335"/>
    </row>
    <row r="5" spans="1:21" s="28" customFormat="1" ht="18" customHeight="1" x14ac:dyDescent="0.2">
      <c r="B5" s="11" t="str">
        <f>'General Set-Up'!B7</f>
        <v>KING</v>
      </c>
      <c r="C5" s="14" t="str">
        <f>IF(B5=0,"",'General Set-Up'!E7)</f>
        <v>Standard</v>
      </c>
      <c r="D5" s="15"/>
      <c r="E5" s="16"/>
      <c r="F5" s="466">
        <v>388</v>
      </c>
      <c r="G5" s="463"/>
      <c r="H5" s="379"/>
      <c r="I5" s="379"/>
      <c r="J5" s="379"/>
      <c r="K5" s="379"/>
      <c r="L5" s="379"/>
      <c r="M5" s="379"/>
      <c r="N5" s="379"/>
      <c r="O5" s="379"/>
      <c r="P5" s="379"/>
      <c r="Q5" s="379"/>
      <c r="R5" s="379"/>
      <c r="S5" s="379"/>
      <c r="T5" s="379"/>
      <c r="U5" s="380"/>
    </row>
    <row r="6" spans="1:21" s="28" customFormat="1" ht="18" customHeight="1" x14ac:dyDescent="0.2">
      <c r="B6" s="11" t="str">
        <f>'General Set-Up'!B8</f>
        <v>DBDB</v>
      </c>
      <c r="C6" s="10" t="str">
        <f>IF(B6=0,"",'General Set-Up'!E8)</f>
        <v>Standard</v>
      </c>
      <c r="D6" s="374"/>
      <c r="E6" s="375"/>
      <c r="F6" s="467">
        <v>368</v>
      </c>
      <c r="G6" s="464" t="str">
        <f t="shared" ref="G6:H20" si="0">IF($D6="","",IF(G$4="standard",G$5+$D6,IF(G$4="alternate",G$5+$E6,"")))</f>
        <v/>
      </c>
      <c r="H6" s="450" t="str">
        <f t="shared" si="0"/>
        <v/>
      </c>
      <c r="I6" s="450" t="str">
        <f t="shared" ref="I6:U20" si="1">IF($D6="","",IF(I$4="standard",I$5+$D6,IF(I$4="alternate",I$5+$E6,"")))</f>
        <v/>
      </c>
      <c r="J6" s="450" t="str">
        <f t="shared" si="1"/>
        <v/>
      </c>
      <c r="K6" s="450" t="str">
        <f t="shared" si="1"/>
        <v/>
      </c>
      <c r="L6" s="450" t="str">
        <f t="shared" si="1"/>
        <v/>
      </c>
      <c r="M6" s="450" t="str">
        <f t="shared" si="1"/>
        <v/>
      </c>
      <c r="N6" s="450" t="str">
        <f t="shared" si="1"/>
        <v/>
      </c>
      <c r="O6" s="450" t="str">
        <f t="shared" si="1"/>
        <v/>
      </c>
      <c r="P6" s="450" t="str">
        <f t="shared" si="1"/>
        <v/>
      </c>
      <c r="Q6" s="450" t="str">
        <f t="shared" si="1"/>
        <v/>
      </c>
      <c r="R6" s="450" t="str">
        <f t="shared" si="1"/>
        <v/>
      </c>
      <c r="S6" s="450" t="str">
        <f t="shared" si="1"/>
        <v/>
      </c>
      <c r="T6" s="450" t="str">
        <f t="shared" si="1"/>
        <v/>
      </c>
      <c r="U6" s="451" t="str">
        <f t="shared" si="1"/>
        <v/>
      </c>
    </row>
    <row r="7" spans="1:21" s="28" customFormat="1" ht="18" customHeight="1" x14ac:dyDescent="0.2">
      <c r="B7" s="11" t="str">
        <f>'General Set-Up'!B9</f>
        <v>PMRS</v>
      </c>
      <c r="C7" s="10" t="str">
        <f>IF(B7=0,"",'General Set-Up'!E9)</f>
        <v>Standard</v>
      </c>
      <c r="D7" s="374"/>
      <c r="E7" s="375"/>
      <c r="F7" s="467">
        <v>438</v>
      </c>
      <c r="G7" s="464" t="str">
        <f t="shared" si="0"/>
        <v/>
      </c>
      <c r="H7" s="450" t="str">
        <f t="shared" si="0"/>
        <v/>
      </c>
      <c r="I7" s="450" t="str">
        <f t="shared" si="1"/>
        <v/>
      </c>
      <c r="J7" s="450" t="str">
        <f t="shared" si="1"/>
        <v/>
      </c>
      <c r="K7" s="450" t="str">
        <f t="shared" si="1"/>
        <v/>
      </c>
      <c r="L7" s="450" t="str">
        <f t="shared" si="1"/>
        <v/>
      </c>
      <c r="M7" s="450" t="str">
        <f t="shared" si="1"/>
        <v/>
      </c>
      <c r="N7" s="450" t="str">
        <f t="shared" si="1"/>
        <v/>
      </c>
      <c r="O7" s="450" t="str">
        <f t="shared" si="1"/>
        <v/>
      </c>
      <c r="P7" s="450" t="str">
        <f t="shared" si="1"/>
        <v/>
      </c>
      <c r="Q7" s="450" t="str">
        <f t="shared" si="1"/>
        <v/>
      </c>
      <c r="R7" s="450" t="str">
        <f t="shared" si="1"/>
        <v/>
      </c>
      <c r="S7" s="450" t="str">
        <f t="shared" si="1"/>
        <v/>
      </c>
      <c r="T7" s="450" t="str">
        <f t="shared" si="1"/>
        <v/>
      </c>
      <c r="U7" s="451" t="str">
        <f t="shared" si="1"/>
        <v/>
      </c>
    </row>
    <row r="8" spans="1:21" s="28" customFormat="1" ht="18" customHeight="1" x14ac:dyDescent="0.2">
      <c r="B8" s="11" t="str">
        <f>'General Set-Up'!B10</f>
        <v>PMRS</v>
      </c>
      <c r="C8" s="10" t="str">
        <f>IF(B8=0,"",'General Set-Up'!E10)</f>
        <v>Standard</v>
      </c>
      <c r="D8" s="374"/>
      <c r="E8" s="375"/>
      <c r="F8" s="467">
        <v>458</v>
      </c>
      <c r="G8" s="464" t="str">
        <f t="shared" si="0"/>
        <v/>
      </c>
      <c r="H8" s="450" t="str">
        <f t="shared" si="0"/>
        <v/>
      </c>
      <c r="I8" s="450" t="str">
        <f t="shared" si="1"/>
        <v/>
      </c>
      <c r="J8" s="450" t="str">
        <f t="shared" si="1"/>
        <v/>
      </c>
      <c r="K8" s="450" t="str">
        <f t="shared" si="1"/>
        <v/>
      </c>
      <c r="L8" s="450" t="str">
        <f t="shared" si="1"/>
        <v/>
      </c>
      <c r="M8" s="450" t="str">
        <f t="shared" si="1"/>
        <v/>
      </c>
      <c r="N8" s="450" t="str">
        <f t="shared" si="1"/>
        <v/>
      </c>
      <c r="O8" s="450" t="str">
        <f t="shared" si="1"/>
        <v/>
      </c>
      <c r="P8" s="450" t="str">
        <f t="shared" si="1"/>
        <v/>
      </c>
      <c r="Q8" s="450" t="str">
        <f t="shared" si="1"/>
        <v/>
      </c>
      <c r="R8" s="450" t="str">
        <f t="shared" si="1"/>
        <v/>
      </c>
      <c r="S8" s="450" t="str">
        <f t="shared" si="1"/>
        <v/>
      </c>
      <c r="T8" s="450" t="str">
        <f t="shared" si="1"/>
        <v/>
      </c>
      <c r="U8" s="451" t="str">
        <f t="shared" si="1"/>
        <v/>
      </c>
    </row>
    <row r="9" spans="1:21" s="28" customFormat="1" ht="18" customHeight="1" x14ac:dyDescent="0.2">
      <c r="B9" s="11">
        <f>'General Set-Up'!B11</f>
        <v>0</v>
      </c>
      <c r="C9" s="10" t="str">
        <f>IF(B9=0,"",'General Set-Up'!E11)</f>
        <v/>
      </c>
      <c r="D9" s="374"/>
      <c r="E9" s="375"/>
      <c r="F9" s="467" t="str">
        <f t="shared" ref="F6:F20" si="2">IF($D9="","",F$5+$D9)</f>
        <v/>
      </c>
      <c r="G9" s="464" t="str">
        <f t="shared" si="0"/>
        <v/>
      </c>
      <c r="H9" s="450" t="str">
        <f t="shared" si="0"/>
        <v/>
      </c>
      <c r="I9" s="450" t="str">
        <f t="shared" si="1"/>
        <v/>
      </c>
      <c r="J9" s="450" t="str">
        <f t="shared" si="1"/>
        <v/>
      </c>
      <c r="K9" s="450" t="str">
        <f t="shared" si="1"/>
        <v/>
      </c>
      <c r="L9" s="450" t="str">
        <f t="shared" si="1"/>
        <v/>
      </c>
      <c r="M9" s="450" t="str">
        <f t="shared" si="1"/>
        <v/>
      </c>
      <c r="N9" s="450" t="str">
        <f t="shared" si="1"/>
        <v/>
      </c>
      <c r="O9" s="450" t="str">
        <f t="shared" si="1"/>
        <v/>
      </c>
      <c r="P9" s="450" t="str">
        <f t="shared" si="1"/>
        <v/>
      </c>
      <c r="Q9" s="450" t="str">
        <f t="shared" si="1"/>
        <v/>
      </c>
      <c r="R9" s="450" t="str">
        <f t="shared" si="1"/>
        <v/>
      </c>
      <c r="S9" s="450" t="str">
        <f t="shared" si="1"/>
        <v/>
      </c>
      <c r="T9" s="450" t="str">
        <f t="shared" si="1"/>
        <v/>
      </c>
      <c r="U9" s="451" t="str">
        <f t="shared" si="1"/>
        <v/>
      </c>
    </row>
    <row r="10" spans="1:21" s="28" customFormat="1" ht="18" customHeight="1" x14ac:dyDescent="0.2">
      <c r="B10" s="11">
        <f>'General Set-Up'!B12</f>
        <v>0</v>
      </c>
      <c r="C10" s="10" t="str">
        <f>IF(B10=0,"",'General Set-Up'!E12)</f>
        <v/>
      </c>
      <c r="D10" s="374"/>
      <c r="E10" s="375"/>
      <c r="F10" s="467" t="str">
        <f t="shared" si="2"/>
        <v/>
      </c>
      <c r="G10" s="464" t="str">
        <f t="shared" si="0"/>
        <v/>
      </c>
      <c r="H10" s="450" t="str">
        <f t="shared" si="0"/>
        <v/>
      </c>
      <c r="I10" s="450" t="str">
        <f t="shared" si="1"/>
        <v/>
      </c>
      <c r="J10" s="450" t="str">
        <f t="shared" si="1"/>
        <v/>
      </c>
      <c r="K10" s="450" t="str">
        <f t="shared" si="1"/>
        <v/>
      </c>
      <c r="L10" s="450" t="str">
        <f t="shared" si="1"/>
        <v/>
      </c>
      <c r="M10" s="450" t="str">
        <f t="shared" si="1"/>
        <v/>
      </c>
      <c r="N10" s="450" t="str">
        <f t="shared" si="1"/>
        <v/>
      </c>
      <c r="O10" s="450" t="str">
        <f t="shared" si="1"/>
        <v/>
      </c>
      <c r="P10" s="450" t="str">
        <f t="shared" si="1"/>
        <v/>
      </c>
      <c r="Q10" s="450" t="str">
        <f t="shared" si="1"/>
        <v/>
      </c>
      <c r="R10" s="450" t="str">
        <f t="shared" si="1"/>
        <v/>
      </c>
      <c r="S10" s="450" t="str">
        <f t="shared" si="1"/>
        <v/>
      </c>
      <c r="T10" s="450" t="str">
        <f t="shared" si="1"/>
        <v/>
      </c>
      <c r="U10" s="451" t="str">
        <f t="shared" si="1"/>
        <v/>
      </c>
    </row>
    <row r="11" spans="1:21" s="28" customFormat="1" ht="18" customHeight="1" x14ac:dyDescent="0.2">
      <c r="B11" s="11">
        <f>'General Set-Up'!B13</f>
        <v>0</v>
      </c>
      <c r="C11" s="10" t="str">
        <f>IF(B11=0,"",'General Set-Up'!E13)</f>
        <v/>
      </c>
      <c r="D11" s="374"/>
      <c r="E11" s="375"/>
      <c r="F11" s="467" t="str">
        <f t="shared" si="2"/>
        <v/>
      </c>
      <c r="G11" s="464" t="str">
        <f t="shared" si="0"/>
        <v/>
      </c>
      <c r="H11" s="450" t="str">
        <f t="shared" si="0"/>
        <v/>
      </c>
      <c r="I11" s="450" t="str">
        <f t="shared" si="1"/>
        <v/>
      </c>
      <c r="J11" s="450" t="str">
        <f t="shared" si="1"/>
        <v/>
      </c>
      <c r="K11" s="450" t="str">
        <f t="shared" si="1"/>
        <v/>
      </c>
      <c r="L11" s="450" t="str">
        <f t="shared" si="1"/>
        <v/>
      </c>
      <c r="M11" s="450" t="str">
        <f t="shared" si="1"/>
        <v/>
      </c>
      <c r="N11" s="450" t="str">
        <f t="shared" si="1"/>
        <v/>
      </c>
      <c r="O11" s="450" t="str">
        <f t="shared" si="1"/>
        <v/>
      </c>
      <c r="P11" s="450" t="str">
        <f t="shared" si="1"/>
        <v/>
      </c>
      <c r="Q11" s="450" t="str">
        <f t="shared" si="1"/>
        <v/>
      </c>
      <c r="R11" s="450" t="str">
        <f t="shared" si="1"/>
        <v/>
      </c>
      <c r="S11" s="450" t="str">
        <f t="shared" si="1"/>
        <v/>
      </c>
      <c r="T11" s="450" t="str">
        <f t="shared" si="1"/>
        <v/>
      </c>
      <c r="U11" s="451" t="str">
        <f t="shared" si="1"/>
        <v/>
      </c>
    </row>
    <row r="12" spans="1:21" s="28" customFormat="1" ht="18" customHeight="1" x14ac:dyDescent="0.2">
      <c r="B12" s="11">
        <f>'General Set-Up'!B14</f>
        <v>0</v>
      </c>
      <c r="C12" s="10" t="str">
        <f>IF(B12=0,"",'General Set-Up'!E14)</f>
        <v/>
      </c>
      <c r="D12" s="374"/>
      <c r="E12" s="375"/>
      <c r="F12" s="467" t="str">
        <f t="shared" si="2"/>
        <v/>
      </c>
      <c r="G12" s="464" t="str">
        <f t="shared" si="0"/>
        <v/>
      </c>
      <c r="H12" s="450" t="str">
        <f t="shared" si="0"/>
        <v/>
      </c>
      <c r="I12" s="450" t="str">
        <f t="shared" si="1"/>
        <v/>
      </c>
      <c r="J12" s="450" t="str">
        <f t="shared" si="1"/>
        <v/>
      </c>
      <c r="K12" s="450" t="str">
        <f t="shared" si="1"/>
        <v/>
      </c>
      <c r="L12" s="450" t="str">
        <f t="shared" si="1"/>
        <v/>
      </c>
      <c r="M12" s="450" t="str">
        <f t="shared" si="1"/>
        <v/>
      </c>
      <c r="N12" s="450" t="str">
        <f t="shared" si="1"/>
        <v/>
      </c>
      <c r="O12" s="450" t="str">
        <f t="shared" si="1"/>
        <v/>
      </c>
      <c r="P12" s="450" t="str">
        <f t="shared" si="1"/>
        <v/>
      </c>
      <c r="Q12" s="450" t="str">
        <f t="shared" si="1"/>
        <v/>
      </c>
      <c r="R12" s="450" t="str">
        <f t="shared" si="1"/>
        <v/>
      </c>
      <c r="S12" s="450" t="str">
        <f t="shared" si="1"/>
        <v/>
      </c>
      <c r="T12" s="450" t="str">
        <f t="shared" si="1"/>
        <v/>
      </c>
      <c r="U12" s="451" t="str">
        <f t="shared" si="1"/>
        <v/>
      </c>
    </row>
    <row r="13" spans="1:21" s="28" customFormat="1" ht="18" customHeight="1" x14ac:dyDescent="0.2">
      <c r="B13" s="11">
        <f>'General Set-Up'!B15</f>
        <v>0</v>
      </c>
      <c r="C13" s="10" t="str">
        <f>IF(B13=0,"",'General Set-Up'!E15)</f>
        <v/>
      </c>
      <c r="D13" s="374"/>
      <c r="E13" s="375"/>
      <c r="F13" s="467" t="str">
        <f t="shared" si="2"/>
        <v/>
      </c>
      <c r="G13" s="464" t="str">
        <f t="shared" si="0"/>
        <v/>
      </c>
      <c r="H13" s="450" t="str">
        <f t="shared" si="0"/>
        <v/>
      </c>
      <c r="I13" s="450" t="str">
        <f t="shared" si="1"/>
        <v/>
      </c>
      <c r="J13" s="450" t="str">
        <f t="shared" si="1"/>
        <v/>
      </c>
      <c r="K13" s="450" t="str">
        <f t="shared" si="1"/>
        <v/>
      </c>
      <c r="L13" s="450" t="str">
        <f t="shared" si="1"/>
        <v/>
      </c>
      <c r="M13" s="450" t="str">
        <f t="shared" si="1"/>
        <v/>
      </c>
      <c r="N13" s="450" t="str">
        <f t="shared" si="1"/>
        <v/>
      </c>
      <c r="O13" s="450" t="str">
        <f t="shared" si="1"/>
        <v/>
      </c>
      <c r="P13" s="450" t="str">
        <f t="shared" si="1"/>
        <v/>
      </c>
      <c r="Q13" s="450" t="str">
        <f t="shared" si="1"/>
        <v/>
      </c>
      <c r="R13" s="450" t="str">
        <f t="shared" si="1"/>
        <v/>
      </c>
      <c r="S13" s="450" t="str">
        <f t="shared" si="1"/>
        <v/>
      </c>
      <c r="T13" s="450" t="str">
        <f t="shared" si="1"/>
        <v/>
      </c>
      <c r="U13" s="451" t="str">
        <f t="shared" si="1"/>
        <v/>
      </c>
    </row>
    <row r="14" spans="1:21" s="28" customFormat="1" ht="18" customHeight="1" x14ac:dyDescent="0.2">
      <c r="B14" s="11">
        <f>'General Set-Up'!B16</f>
        <v>0</v>
      </c>
      <c r="C14" s="10" t="str">
        <f>IF(B14=0,"",'General Set-Up'!E16)</f>
        <v/>
      </c>
      <c r="D14" s="374"/>
      <c r="E14" s="375"/>
      <c r="F14" s="467" t="str">
        <f t="shared" si="2"/>
        <v/>
      </c>
      <c r="G14" s="464" t="str">
        <f t="shared" si="0"/>
        <v/>
      </c>
      <c r="H14" s="450" t="str">
        <f t="shared" si="0"/>
        <v/>
      </c>
      <c r="I14" s="450" t="str">
        <f t="shared" si="1"/>
        <v/>
      </c>
      <c r="J14" s="450" t="str">
        <f t="shared" si="1"/>
        <v/>
      </c>
      <c r="K14" s="450" t="str">
        <f t="shared" si="1"/>
        <v/>
      </c>
      <c r="L14" s="450" t="str">
        <f t="shared" si="1"/>
        <v/>
      </c>
      <c r="M14" s="450" t="str">
        <f t="shared" si="1"/>
        <v/>
      </c>
      <c r="N14" s="450" t="str">
        <f t="shared" si="1"/>
        <v/>
      </c>
      <c r="O14" s="450" t="str">
        <f t="shared" si="1"/>
        <v/>
      </c>
      <c r="P14" s="450" t="str">
        <f t="shared" si="1"/>
        <v/>
      </c>
      <c r="Q14" s="450" t="str">
        <f t="shared" si="1"/>
        <v/>
      </c>
      <c r="R14" s="450" t="str">
        <f t="shared" si="1"/>
        <v/>
      </c>
      <c r="S14" s="450" t="str">
        <f t="shared" si="1"/>
        <v/>
      </c>
      <c r="T14" s="450" t="str">
        <f t="shared" si="1"/>
        <v/>
      </c>
      <c r="U14" s="451" t="str">
        <f t="shared" si="1"/>
        <v/>
      </c>
    </row>
    <row r="15" spans="1:21" s="28" customFormat="1" ht="18" customHeight="1" x14ac:dyDescent="0.2">
      <c r="B15" s="11">
        <f>'General Set-Up'!B17</f>
        <v>0</v>
      </c>
      <c r="C15" s="10" t="str">
        <f>IF(B15=0,"",'General Set-Up'!E17)</f>
        <v/>
      </c>
      <c r="D15" s="374"/>
      <c r="E15" s="375"/>
      <c r="F15" s="467" t="str">
        <f t="shared" si="2"/>
        <v/>
      </c>
      <c r="G15" s="464" t="str">
        <f t="shared" si="0"/>
        <v/>
      </c>
      <c r="H15" s="450" t="str">
        <f t="shared" si="0"/>
        <v/>
      </c>
      <c r="I15" s="450" t="str">
        <f t="shared" si="1"/>
        <v/>
      </c>
      <c r="J15" s="450" t="str">
        <f t="shared" si="1"/>
        <v/>
      </c>
      <c r="K15" s="450" t="str">
        <f t="shared" si="1"/>
        <v/>
      </c>
      <c r="L15" s="450" t="str">
        <f t="shared" si="1"/>
        <v/>
      </c>
      <c r="M15" s="450" t="str">
        <f t="shared" si="1"/>
        <v/>
      </c>
      <c r="N15" s="450" t="str">
        <f t="shared" si="1"/>
        <v/>
      </c>
      <c r="O15" s="450" t="str">
        <f t="shared" si="1"/>
        <v/>
      </c>
      <c r="P15" s="450" t="str">
        <f t="shared" si="1"/>
        <v/>
      </c>
      <c r="Q15" s="450" t="str">
        <f t="shared" si="1"/>
        <v/>
      </c>
      <c r="R15" s="450" t="str">
        <f t="shared" si="1"/>
        <v/>
      </c>
      <c r="S15" s="450" t="str">
        <f t="shared" si="1"/>
        <v/>
      </c>
      <c r="T15" s="450" t="str">
        <f t="shared" si="1"/>
        <v/>
      </c>
      <c r="U15" s="451" t="str">
        <f t="shared" si="1"/>
        <v/>
      </c>
    </row>
    <row r="16" spans="1:21" s="28" customFormat="1" ht="18" customHeight="1" x14ac:dyDescent="0.2">
      <c r="B16" s="11">
        <f>'General Set-Up'!B18</f>
        <v>0</v>
      </c>
      <c r="C16" s="10" t="str">
        <f>IF(B16=0,"",'General Set-Up'!E18)</f>
        <v/>
      </c>
      <c r="D16" s="374"/>
      <c r="E16" s="375"/>
      <c r="F16" s="467" t="str">
        <f t="shared" si="2"/>
        <v/>
      </c>
      <c r="G16" s="464" t="str">
        <f t="shared" si="0"/>
        <v/>
      </c>
      <c r="H16" s="450" t="str">
        <f t="shared" si="0"/>
        <v/>
      </c>
      <c r="I16" s="450" t="str">
        <f t="shared" si="1"/>
        <v/>
      </c>
      <c r="J16" s="450" t="str">
        <f t="shared" si="1"/>
        <v/>
      </c>
      <c r="K16" s="450" t="str">
        <f t="shared" si="1"/>
        <v/>
      </c>
      <c r="L16" s="450" t="str">
        <f t="shared" si="1"/>
        <v/>
      </c>
      <c r="M16" s="450" t="str">
        <f t="shared" si="1"/>
        <v/>
      </c>
      <c r="N16" s="450" t="str">
        <f t="shared" si="1"/>
        <v/>
      </c>
      <c r="O16" s="450" t="str">
        <f t="shared" si="1"/>
        <v/>
      </c>
      <c r="P16" s="450" t="str">
        <f t="shared" si="1"/>
        <v/>
      </c>
      <c r="Q16" s="450" t="str">
        <f t="shared" si="1"/>
        <v/>
      </c>
      <c r="R16" s="450" t="str">
        <f t="shared" si="1"/>
        <v/>
      </c>
      <c r="S16" s="450" t="str">
        <f t="shared" si="1"/>
        <v/>
      </c>
      <c r="T16" s="450" t="str">
        <f t="shared" si="1"/>
        <v/>
      </c>
      <c r="U16" s="451" t="str">
        <f t="shared" si="1"/>
        <v/>
      </c>
    </row>
    <row r="17" spans="1:21" s="28" customFormat="1" ht="18" customHeight="1" x14ac:dyDescent="0.2">
      <c r="B17" s="11">
        <f>'General Set-Up'!B19</f>
        <v>0</v>
      </c>
      <c r="C17" s="10" t="str">
        <f>IF(B17=0,"",'General Set-Up'!E19)</f>
        <v/>
      </c>
      <c r="D17" s="374"/>
      <c r="E17" s="375"/>
      <c r="F17" s="467" t="str">
        <f t="shared" si="2"/>
        <v/>
      </c>
      <c r="G17" s="464" t="str">
        <f t="shared" si="0"/>
        <v/>
      </c>
      <c r="H17" s="450" t="str">
        <f t="shared" si="0"/>
        <v/>
      </c>
      <c r="I17" s="450" t="str">
        <f t="shared" si="1"/>
        <v/>
      </c>
      <c r="J17" s="450" t="str">
        <f t="shared" si="1"/>
        <v/>
      </c>
      <c r="K17" s="450" t="str">
        <f t="shared" si="1"/>
        <v/>
      </c>
      <c r="L17" s="450" t="str">
        <f t="shared" si="1"/>
        <v/>
      </c>
      <c r="M17" s="450" t="str">
        <f t="shared" si="1"/>
        <v/>
      </c>
      <c r="N17" s="450" t="str">
        <f t="shared" si="1"/>
        <v/>
      </c>
      <c r="O17" s="450" t="str">
        <f t="shared" si="1"/>
        <v/>
      </c>
      <c r="P17" s="450" t="str">
        <f t="shared" si="1"/>
        <v/>
      </c>
      <c r="Q17" s="450" t="str">
        <f t="shared" si="1"/>
        <v/>
      </c>
      <c r="R17" s="450" t="str">
        <f t="shared" si="1"/>
        <v/>
      </c>
      <c r="S17" s="450" t="str">
        <f t="shared" si="1"/>
        <v/>
      </c>
      <c r="T17" s="450" t="str">
        <f t="shared" si="1"/>
        <v/>
      </c>
      <c r="U17" s="451" t="str">
        <f t="shared" si="1"/>
        <v/>
      </c>
    </row>
    <row r="18" spans="1:21" s="28" customFormat="1" ht="18" customHeight="1" x14ac:dyDescent="0.2">
      <c r="B18" s="11">
        <f>'General Set-Up'!B20</f>
        <v>0</v>
      </c>
      <c r="C18" s="10" t="str">
        <f>IF(B18=0,"",'General Set-Up'!E20)</f>
        <v/>
      </c>
      <c r="D18" s="374"/>
      <c r="E18" s="375"/>
      <c r="F18" s="467" t="str">
        <f t="shared" si="2"/>
        <v/>
      </c>
      <c r="G18" s="464" t="str">
        <f t="shared" si="0"/>
        <v/>
      </c>
      <c r="H18" s="450" t="str">
        <f t="shared" si="0"/>
        <v/>
      </c>
      <c r="I18" s="450" t="str">
        <f t="shared" si="1"/>
        <v/>
      </c>
      <c r="J18" s="450" t="str">
        <f t="shared" si="1"/>
        <v/>
      </c>
      <c r="K18" s="450" t="str">
        <f t="shared" si="1"/>
        <v/>
      </c>
      <c r="L18" s="450" t="str">
        <f t="shared" si="1"/>
        <v/>
      </c>
      <c r="M18" s="450" t="str">
        <f t="shared" si="1"/>
        <v/>
      </c>
      <c r="N18" s="450" t="str">
        <f t="shared" si="1"/>
        <v/>
      </c>
      <c r="O18" s="450" t="str">
        <f t="shared" si="1"/>
        <v/>
      </c>
      <c r="P18" s="450" t="str">
        <f t="shared" si="1"/>
        <v/>
      </c>
      <c r="Q18" s="450" t="str">
        <f t="shared" si="1"/>
        <v/>
      </c>
      <c r="R18" s="450" t="str">
        <f t="shared" si="1"/>
        <v/>
      </c>
      <c r="S18" s="450" t="str">
        <f t="shared" si="1"/>
        <v/>
      </c>
      <c r="T18" s="450" t="str">
        <f t="shared" si="1"/>
        <v/>
      </c>
      <c r="U18" s="451" t="str">
        <f t="shared" si="1"/>
        <v/>
      </c>
    </row>
    <row r="19" spans="1:21" s="28" customFormat="1" ht="18" customHeight="1" x14ac:dyDescent="0.2">
      <c r="B19" s="11">
        <f>'General Set-Up'!B21</f>
        <v>0</v>
      </c>
      <c r="C19" s="10" t="str">
        <f>IF(B19=0,"",'General Set-Up'!E21)</f>
        <v/>
      </c>
      <c r="D19" s="374"/>
      <c r="E19" s="375"/>
      <c r="F19" s="467" t="str">
        <f t="shared" si="2"/>
        <v/>
      </c>
      <c r="G19" s="464" t="str">
        <f t="shared" si="0"/>
        <v/>
      </c>
      <c r="H19" s="450" t="str">
        <f t="shared" si="0"/>
        <v/>
      </c>
      <c r="I19" s="450" t="str">
        <f t="shared" si="1"/>
        <v/>
      </c>
      <c r="J19" s="450" t="str">
        <f t="shared" si="1"/>
        <v/>
      </c>
      <c r="K19" s="450" t="str">
        <f t="shared" si="1"/>
        <v/>
      </c>
      <c r="L19" s="450" t="str">
        <f t="shared" si="1"/>
        <v/>
      </c>
      <c r="M19" s="450" t="str">
        <f t="shared" si="1"/>
        <v/>
      </c>
      <c r="N19" s="450" t="str">
        <f t="shared" si="1"/>
        <v/>
      </c>
      <c r="O19" s="450" t="str">
        <f t="shared" si="1"/>
        <v/>
      </c>
      <c r="P19" s="450" t="str">
        <f t="shared" si="1"/>
        <v/>
      </c>
      <c r="Q19" s="450" t="str">
        <f t="shared" si="1"/>
        <v/>
      </c>
      <c r="R19" s="450" t="str">
        <f t="shared" si="1"/>
        <v/>
      </c>
      <c r="S19" s="450" t="str">
        <f t="shared" si="1"/>
        <v/>
      </c>
      <c r="T19" s="450" t="str">
        <f t="shared" si="1"/>
        <v/>
      </c>
      <c r="U19" s="451" t="str">
        <f t="shared" si="1"/>
        <v/>
      </c>
    </row>
    <row r="20" spans="1:21" s="28" customFormat="1" ht="18" customHeight="1" thickBot="1" x14ac:dyDescent="0.25">
      <c r="B20" s="12">
        <f>'General Set-Up'!B22</f>
        <v>0</v>
      </c>
      <c r="C20" s="13" t="str">
        <f>IF(B20=0,"",'General Set-Up'!E22)</f>
        <v/>
      </c>
      <c r="D20" s="376"/>
      <c r="E20" s="377"/>
      <c r="F20" s="468" t="str">
        <f t="shared" si="2"/>
        <v/>
      </c>
      <c r="G20" s="465" t="str">
        <f t="shared" si="0"/>
        <v/>
      </c>
      <c r="H20" s="454" t="str">
        <f t="shared" si="0"/>
        <v/>
      </c>
      <c r="I20" s="454" t="str">
        <f t="shared" si="1"/>
        <v/>
      </c>
      <c r="J20" s="454" t="str">
        <f t="shared" si="1"/>
        <v/>
      </c>
      <c r="K20" s="454" t="str">
        <f t="shared" si="1"/>
        <v/>
      </c>
      <c r="L20" s="454" t="str">
        <f t="shared" si="1"/>
        <v/>
      </c>
      <c r="M20" s="454" t="str">
        <f t="shared" si="1"/>
        <v/>
      </c>
      <c r="N20" s="454" t="str">
        <f t="shared" si="1"/>
        <v/>
      </c>
      <c r="O20" s="454" t="str">
        <f t="shared" si="1"/>
        <v/>
      </c>
      <c r="P20" s="454" t="str">
        <f t="shared" si="1"/>
        <v/>
      </c>
      <c r="Q20" s="454" t="str">
        <f t="shared" si="1"/>
        <v/>
      </c>
      <c r="R20" s="454" t="str">
        <f t="shared" si="1"/>
        <v/>
      </c>
      <c r="S20" s="454" t="str">
        <f t="shared" si="1"/>
        <v/>
      </c>
      <c r="T20" s="454" t="str">
        <f t="shared" si="1"/>
        <v/>
      </c>
      <c r="U20" s="455" t="str">
        <f t="shared" si="1"/>
        <v/>
      </c>
    </row>
    <row r="22" spans="1:21" x14ac:dyDescent="0.2">
      <c r="D22" s="34" t="s">
        <v>366</v>
      </c>
    </row>
    <row r="23" spans="1:21" ht="18" x14ac:dyDescent="0.25">
      <c r="A23" s="34" t="s">
        <v>365</v>
      </c>
      <c r="B23" s="41" t="s">
        <v>405</v>
      </c>
      <c r="D23" s="57" t="s">
        <v>379</v>
      </c>
      <c r="E23" s="57" t="s">
        <v>380</v>
      </c>
      <c r="F23" s="57"/>
      <c r="G23" s="42"/>
      <c r="H23" s="42"/>
      <c r="I23" s="42"/>
      <c r="J23" s="42"/>
      <c r="K23" s="42"/>
    </row>
    <row r="25" spans="1:21" x14ac:dyDescent="0.2">
      <c r="A25" s="34" t="s">
        <v>371</v>
      </c>
      <c r="B25" s="6" t="s">
        <v>76</v>
      </c>
      <c r="D25" s="62" t="s">
        <v>406</v>
      </c>
      <c r="E25" s="58"/>
      <c r="F25" s="58"/>
    </row>
    <row r="26" spans="1:21" x14ac:dyDescent="0.2">
      <c r="B26" s="6"/>
    </row>
    <row r="27" spans="1:21" x14ac:dyDescent="0.2">
      <c r="B27" s="30" t="s">
        <v>102</v>
      </c>
    </row>
    <row r="28" spans="1:21" ht="13.5" thickBot="1" x14ac:dyDescent="0.25">
      <c r="B28" s="34" t="s">
        <v>381</v>
      </c>
    </row>
    <row r="29" spans="1:21" ht="36.75" thickBot="1" x14ac:dyDescent="0.25">
      <c r="B29" s="24" t="str">
        <f>B3</f>
        <v>Room Pool</v>
      </c>
      <c r="C29" s="23" t="str">
        <f>C3</f>
        <v>Room Pool Classification</v>
      </c>
      <c r="D29" s="25" t="str">
        <f>D3</f>
        <v>Standard Supplement</v>
      </c>
      <c r="E29" s="26" t="str">
        <f>E3</f>
        <v>Alternate Supplement 
(optional)</v>
      </c>
      <c r="F29" s="20" t="str">
        <f>F3</f>
        <v>Default Rates</v>
      </c>
      <c r="G29" s="333" t="s">
        <v>69</v>
      </c>
      <c r="H29" s="334" t="s">
        <v>69</v>
      </c>
      <c r="I29" s="334" t="s">
        <v>69</v>
      </c>
      <c r="J29" s="334" t="s">
        <v>69</v>
      </c>
      <c r="K29" s="334" t="s">
        <v>69</v>
      </c>
      <c r="L29" s="334" t="s">
        <v>69</v>
      </c>
      <c r="M29" s="334" t="s">
        <v>69</v>
      </c>
      <c r="N29" s="334" t="s">
        <v>69</v>
      </c>
      <c r="O29" s="334" t="s">
        <v>69</v>
      </c>
      <c r="P29" s="334" t="s">
        <v>69</v>
      </c>
      <c r="Q29" s="334" t="s">
        <v>69</v>
      </c>
      <c r="R29" s="334" t="s">
        <v>69</v>
      </c>
      <c r="S29" s="334" t="s">
        <v>69</v>
      </c>
      <c r="T29" s="334" t="s">
        <v>69</v>
      </c>
      <c r="U29" s="335" t="s">
        <v>69</v>
      </c>
    </row>
    <row r="30" spans="1:21" ht="24" customHeight="1" thickBot="1" x14ac:dyDescent="0.25">
      <c r="B30" s="31"/>
      <c r="C30" s="32"/>
      <c r="D30" s="538"/>
      <c r="E30" s="539"/>
      <c r="F30" s="21" t="str">
        <f>F4</f>
        <v>Standard</v>
      </c>
      <c r="G30" s="333"/>
      <c r="H30" s="334"/>
      <c r="I30" s="334"/>
      <c r="J30" s="334"/>
      <c r="K30" s="334"/>
      <c r="L30" s="334"/>
      <c r="M30" s="334"/>
      <c r="N30" s="334"/>
      <c r="O30" s="334"/>
      <c r="P30" s="334"/>
      <c r="Q30" s="334"/>
      <c r="R30" s="334"/>
      <c r="S30" s="334"/>
      <c r="T30" s="334"/>
      <c r="U30" s="335"/>
    </row>
    <row r="31" spans="1:21" ht="18" customHeight="1" x14ac:dyDescent="0.2">
      <c r="B31" s="11" t="str">
        <f t="shared" ref="B31:C46" si="3">B5</f>
        <v>KING</v>
      </c>
      <c r="C31" s="14" t="str">
        <f t="shared" si="3"/>
        <v>Standard</v>
      </c>
      <c r="D31" s="15"/>
      <c r="E31" s="16"/>
      <c r="F31" s="466">
        <v>388</v>
      </c>
      <c r="G31" s="378"/>
      <c r="H31" s="379"/>
      <c r="I31" s="379"/>
      <c r="J31" s="379"/>
      <c r="K31" s="379"/>
      <c r="L31" s="379"/>
      <c r="M31" s="379"/>
      <c r="N31" s="379"/>
      <c r="O31" s="379"/>
      <c r="P31" s="379"/>
      <c r="Q31" s="379"/>
      <c r="R31" s="379"/>
      <c r="S31" s="379"/>
      <c r="T31" s="379"/>
      <c r="U31" s="380"/>
    </row>
    <row r="32" spans="1:21" ht="18" customHeight="1" x14ac:dyDescent="0.2">
      <c r="B32" s="11" t="str">
        <f t="shared" si="3"/>
        <v>DBDB</v>
      </c>
      <c r="C32" s="10" t="str">
        <f t="shared" si="3"/>
        <v>Standard</v>
      </c>
      <c r="D32" s="385" t="str">
        <f t="shared" ref="D32:E46" si="4">IF(D6="","",D6)</f>
        <v/>
      </c>
      <c r="E32" s="386" t="str">
        <f>IF(E6="","",E6)</f>
        <v/>
      </c>
      <c r="F32" s="467">
        <v>368</v>
      </c>
      <c r="G32" s="449" t="str">
        <f t="shared" ref="G32:U46" si="5">IF($D32="","",IF(G$30="standard",G$31+$D32,IF(G$30="alternate",G$31+$E32,"")))</f>
        <v/>
      </c>
      <c r="H32" s="450" t="str">
        <f t="shared" si="5"/>
        <v/>
      </c>
      <c r="I32" s="450" t="str">
        <f t="shared" si="5"/>
        <v/>
      </c>
      <c r="J32" s="450" t="str">
        <f t="shared" si="5"/>
        <v/>
      </c>
      <c r="K32" s="450" t="str">
        <f t="shared" si="5"/>
        <v/>
      </c>
      <c r="L32" s="450" t="str">
        <f t="shared" si="5"/>
        <v/>
      </c>
      <c r="M32" s="450" t="str">
        <f t="shared" si="5"/>
        <v/>
      </c>
      <c r="N32" s="450" t="str">
        <f t="shared" si="5"/>
        <v/>
      </c>
      <c r="O32" s="450" t="str">
        <f t="shared" si="5"/>
        <v/>
      </c>
      <c r="P32" s="450" t="str">
        <f t="shared" si="5"/>
        <v/>
      </c>
      <c r="Q32" s="450" t="str">
        <f t="shared" si="5"/>
        <v/>
      </c>
      <c r="R32" s="450" t="str">
        <f t="shared" si="5"/>
        <v/>
      </c>
      <c r="S32" s="450" t="str">
        <f t="shared" si="5"/>
        <v/>
      </c>
      <c r="T32" s="450" t="str">
        <f t="shared" si="5"/>
        <v/>
      </c>
      <c r="U32" s="451" t="str">
        <f t="shared" si="5"/>
        <v/>
      </c>
    </row>
    <row r="33" spans="2:21" ht="18" customHeight="1" x14ac:dyDescent="0.2">
      <c r="B33" s="11" t="str">
        <f t="shared" si="3"/>
        <v>PMRS</v>
      </c>
      <c r="C33" s="10" t="str">
        <f t="shared" si="3"/>
        <v>Standard</v>
      </c>
      <c r="D33" s="385" t="str">
        <f t="shared" si="4"/>
        <v/>
      </c>
      <c r="E33" s="386" t="str">
        <f t="shared" si="4"/>
        <v/>
      </c>
      <c r="F33" s="467">
        <v>438</v>
      </c>
      <c r="G33" s="452" t="str">
        <f t="shared" si="5"/>
        <v/>
      </c>
      <c r="H33" s="450" t="str">
        <f t="shared" si="5"/>
        <v/>
      </c>
      <c r="I33" s="450" t="str">
        <f t="shared" si="5"/>
        <v/>
      </c>
      <c r="J33" s="450" t="str">
        <f t="shared" si="5"/>
        <v/>
      </c>
      <c r="K33" s="450" t="str">
        <f t="shared" si="5"/>
        <v/>
      </c>
      <c r="L33" s="450" t="str">
        <f t="shared" si="5"/>
        <v/>
      </c>
      <c r="M33" s="450" t="str">
        <f t="shared" si="5"/>
        <v/>
      </c>
      <c r="N33" s="450" t="str">
        <f t="shared" si="5"/>
        <v/>
      </c>
      <c r="O33" s="450" t="str">
        <f t="shared" si="5"/>
        <v/>
      </c>
      <c r="P33" s="450" t="str">
        <f t="shared" si="5"/>
        <v/>
      </c>
      <c r="Q33" s="450" t="str">
        <f t="shared" si="5"/>
        <v/>
      </c>
      <c r="R33" s="450" t="str">
        <f t="shared" si="5"/>
        <v/>
      </c>
      <c r="S33" s="450" t="str">
        <f t="shared" si="5"/>
        <v/>
      </c>
      <c r="T33" s="450" t="str">
        <f t="shared" si="5"/>
        <v/>
      </c>
      <c r="U33" s="451" t="str">
        <f t="shared" si="5"/>
        <v/>
      </c>
    </row>
    <row r="34" spans="2:21" ht="18" customHeight="1" x14ac:dyDescent="0.2">
      <c r="B34" s="11" t="str">
        <f t="shared" si="3"/>
        <v>PMRS</v>
      </c>
      <c r="C34" s="10" t="str">
        <f t="shared" si="3"/>
        <v>Standard</v>
      </c>
      <c r="D34" s="385" t="str">
        <f t="shared" si="4"/>
        <v/>
      </c>
      <c r="E34" s="386" t="str">
        <f t="shared" si="4"/>
        <v/>
      </c>
      <c r="F34" s="467">
        <v>458</v>
      </c>
      <c r="G34" s="452" t="str">
        <f t="shared" si="5"/>
        <v/>
      </c>
      <c r="H34" s="450" t="str">
        <f t="shared" si="5"/>
        <v/>
      </c>
      <c r="I34" s="450" t="str">
        <f t="shared" si="5"/>
        <v/>
      </c>
      <c r="J34" s="450" t="str">
        <f t="shared" si="5"/>
        <v/>
      </c>
      <c r="K34" s="450" t="str">
        <f t="shared" si="5"/>
        <v/>
      </c>
      <c r="L34" s="450" t="str">
        <f t="shared" si="5"/>
        <v/>
      </c>
      <c r="M34" s="450" t="str">
        <f t="shared" si="5"/>
        <v/>
      </c>
      <c r="N34" s="450" t="str">
        <f t="shared" si="5"/>
        <v/>
      </c>
      <c r="O34" s="450" t="str">
        <f t="shared" si="5"/>
        <v/>
      </c>
      <c r="P34" s="450" t="str">
        <f t="shared" si="5"/>
        <v/>
      </c>
      <c r="Q34" s="450" t="str">
        <f t="shared" si="5"/>
        <v/>
      </c>
      <c r="R34" s="450" t="str">
        <f t="shared" si="5"/>
        <v/>
      </c>
      <c r="S34" s="450" t="str">
        <f t="shared" si="5"/>
        <v/>
      </c>
      <c r="T34" s="450" t="str">
        <f t="shared" si="5"/>
        <v/>
      </c>
      <c r="U34" s="451" t="str">
        <f t="shared" si="5"/>
        <v/>
      </c>
    </row>
    <row r="35" spans="2:21" ht="18" customHeight="1" x14ac:dyDescent="0.2">
      <c r="B35" s="11">
        <f t="shared" si="3"/>
        <v>0</v>
      </c>
      <c r="C35" s="10" t="str">
        <f t="shared" si="3"/>
        <v/>
      </c>
      <c r="D35" s="385" t="str">
        <f t="shared" si="4"/>
        <v/>
      </c>
      <c r="E35" s="386" t="str">
        <f t="shared" si="4"/>
        <v/>
      </c>
      <c r="F35" s="429" t="str">
        <f t="shared" ref="F33:F46" si="6">IF($D35="","",F$31+$D35)</f>
        <v/>
      </c>
      <c r="G35" s="452" t="str">
        <f t="shared" si="5"/>
        <v/>
      </c>
      <c r="H35" s="450" t="str">
        <f t="shared" si="5"/>
        <v/>
      </c>
      <c r="I35" s="450" t="str">
        <f t="shared" si="5"/>
        <v/>
      </c>
      <c r="J35" s="450" t="str">
        <f t="shared" si="5"/>
        <v/>
      </c>
      <c r="K35" s="450" t="str">
        <f t="shared" si="5"/>
        <v/>
      </c>
      <c r="L35" s="450" t="str">
        <f t="shared" si="5"/>
        <v/>
      </c>
      <c r="M35" s="450" t="str">
        <f t="shared" si="5"/>
        <v/>
      </c>
      <c r="N35" s="450" t="str">
        <f t="shared" si="5"/>
        <v/>
      </c>
      <c r="O35" s="450" t="str">
        <f t="shared" si="5"/>
        <v/>
      </c>
      <c r="P35" s="450" t="str">
        <f t="shared" si="5"/>
        <v/>
      </c>
      <c r="Q35" s="450" t="str">
        <f t="shared" si="5"/>
        <v/>
      </c>
      <c r="R35" s="450" t="str">
        <f t="shared" si="5"/>
        <v/>
      </c>
      <c r="S35" s="450" t="str">
        <f t="shared" si="5"/>
        <v/>
      </c>
      <c r="T35" s="450" t="str">
        <f t="shared" si="5"/>
        <v/>
      </c>
      <c r="U35" s="451" t="str">
        <f t="shared" si="5"/>
        <v/>
      </c>
    </row>
    <row r="36" spans="2:21" ht="18" customHeight="1" x14ac:dyDescent="0.2">
      <c r="B36" s="11">
        <f t="shared" si="3"/>
        <v>0</v>
      </c>
      <c r="C36" s="10" t="str">
        <f t="shared" si="3"/>
        <v/>
      </c>
      <c r="D36" s="385" t="str">
        <f t="shared" si="4"/>
        <v/>
      </c>
      <c r="E36" s="386" t="str">
        <f t="shared" si="4"/>
        <v/>
      </c>
      <c r="F36" s="429" t="str">
        <f t="shared" si="6"/>
        <v/>
      </c>
      <c r="G36" s="452" t="str">
        <f t="shared" si="5"/>
        <v/>
      </c>
      <c r="H36" s="450" t="str">
        <f t="shared" si="5"/>
        <v/>
      </c>
      <c r="I36" s="450" t="str">
        <f t="shared" si="5"/>
        <v/>
      </c>
      <c r="J36" s="450" t="str">
        <f t="shared" si="5"/>
        <v/>
      </c>
      <c r="K36" s="450" t="str">
        <f t="shared" si="5"/>
        <v/>
      </c>
      <c r="L36" s="450" t="str">
        <f t="shared" si="5"/>
        <v/>
      </c>
      <c r="M36" s="450" t="str">
        <f t="shared" si="5"/>
        <v/>
      </c>
      <c r="N36" s="450" t="str">
        <f t="shared" si="5"/>
        <v/>
      </c>
      <c r="O36" s="450" t="str">
        <f t="shared" si="5"/>
        <v/>
      </c>
      <c r="P36" s="450" t="str">
        <f t="shared" si="5"/>
        <v/>
      </c>
      <c r="Q36" s="450" t="str">
        <f t="shared" si="5"/>
        <v/>
      </c>
      <c r="R36" s="450" t="str">
        <f t="shared" si="5"/>
        <v/>
      </c>
      <c r="S36" s="450" t="str">
        <f t="shared" si="5"/>
        <v/>
      </c>
      <c r="T36" s="450" t="str">
        <f t="shared" si="5"/>
        <v/>
      </c>
      <c r="U36" s="451" t="str">
        <f t="shared" si="5"/>
        <v/>
      </c>
    </row>
    <row r="37" spans="2:21" ht="18" customHeight="1" x14ac:dyDescent="0.2">
      <c r="B37" s="11">
        <f t="shared" si="3"/>
        <v>0</v>
      </c>
      <c r="C37" s="10" t="str">
        <f t="shared" si="3"/>
        <v/>
      </c>
      <c r="D37" s="385" t="str">
        <f t="shared" si="4"/>
        <v/>
      </c>
      <c r="E37" s="386" t="str">
        <f t="shared" si="4"/>
        <v/>
      </c>
      <c r="F37" s="429" t="str">
        <f t="shared" si="6"/>
        <v/>
      </c>
      <c r="G37" s="452" t="str">
        <f t="shared" si="5"/>
        <v/>
      </c>
      <c r="H37" s="450" t="str">
        <f t="shared" si="5"/>
        <v/>
      </c>
      <c r="I37" s="450" t="str">
        <f t="shared" si="5"/>
        <v/>
      </c>
      <c r="J37" s="450" t="str">
        <f t="shared" si="5"/>
        <v/>
      </c>
      <c r="K37" s="450" t="str">
        <f t="shared" si="5"/>
        <v/>
      </c>
      <c r="L37" s="450" t="str">
        <f t="shared" si="5"/>
        <v/>
      </c>
      <c r="M37" s="450" t="str">
        <f t="shared" si="5"/>
        <v/>
      </c>
      <c r="N37" s="450" t="str">
        <f t="shared" si="5"/>
        <v/>
      </c>
      <c r="O37" s="450" t="str">
        <f t="shared" si="5"/>
        <v/>
      </c>
      <c r="P37" s="450" t="str">
        <f t="shared" si="5"/>
        <v/>
      </c>
      <c r="Q37" s="450" t="str">
        <f t="shared" si="5"/>
        <v/>
      </c>
      <c r="R37" s="450" t="str">
        <f t="shared" si="5"/>
        <v/>
      </c>
      <c r="S37" s="450" t="str">
        <f t="shared" si="5"/>
        <v/>
      </c>
      <c r="T37" s="450" t="str">
        <f t="shared" si="5"/>
        <v/>
      </c>
      <c r="U37" s="451" t="str">
        <f t="shared" si="5"/>
        <v/>
      </c>
    </row>
    <row r="38" spans="2:21" ht="18" customHeight="1" x14ac:dyDescent="0.2">
      <c r="B38" s="11">
        <f t="shared" si="3"/>
        <v>0</v>
      </c>
      <c r="C38" s="10" t="str">
        <f t="shared" si="3"/>
        <v/>
      </c>
      <c r="D38" s="385" t="str">
        <f t="shared" si="4"/>
        <v/>
      </c>
      <c r="E38" s="386" t="str">
        <f t="shared" si="4"/>
        <v/>
      </c>
      <c r="F38" s="429" t="str">
        <f t="shared" si="6"/>
        <v/>
      </c>
      <c r="G38" s="452" t="str">
        <f t="shared" si="5"/>
        <v/>
      </c>
      <c r="H38" s="450" t="str">
        <f t="shared" si="5"/>
        <v/>
      </c>
      <c r="I38" s="450" t="str">
        <f t="shared" si="5"/>
        <v/>
      </c>
      <c r="J38" s="450" t="str">
        <f t="shared" si="5"/>
        <v/>
      </c>
      <c r="K38" s="450" t="str">
        <f t="shared" si="5"/>
        <v/>
      </c>
      <c r="L38" s="450" t="str">
        <f t="shared" si="5"/>
        <v/>
      </c>
      <c r="M38" s="450" t="str">
        <f t="shared" si="5"/>
        <v/>
      </c>
      <c r="N38" s="450" t="str">
        <f t="shared" si="5"/>
        <v/>
      </c>
      <c r="O38" s="450" t="str">
        <f t="shared" si="5"/>
        <v/>
      </c>
      <c r="P38" s="450" t="str">
        <f t="shared" si="5"/>
        <v/>
      </c>
      <c r="Q38" s="450" t="str">
        <f t="shared" si="5"/>
        <v/>
      </c>
      <c r="R38" s="450" t="str">
        <f t="shared" si="5"/>
        <v/>
      </c>
      <c r="S38" s="450" t="str">
        <f t="shared" si="5"/>
        <v/>
      </c>
      <c r="T38" s="450" t="str">
        <f t="shared" si="5"/>
        <v/>
      </c>
      <c r="U38" s="451" t="str">
        <f t="shared" si="5"/>
        <v/>
      </c>
    </row>
    <row r="39" spans="2:21" ht="18" customHeight="1" x14ac:dyDescent="0.2">
      <c r="B39" s="11">
        <f t="shared" si="3"/>
        <v>0</v>
      </c>
      <c r="C39" s="10" t="str">
        <f t="shared" si="3"/>
        <v/>
      </c>
      <c r="D39" s="385" t="str">
        <f t="shared" si="4"/>
        <v/>
      </c>
      <c r="E39" s="386" t="str">
        <f t="shared" si="4"/>
        <v/>
      </c>
      <c r="F39" s="429" t="str">
        <f t="shared" si="6"/>
        <v/>
      </c>
      <c r="G39" s="452" t="str">
        <f t="shared" si="5"/>
        <v/>
      </c>
      <c r="H39" s="450" t="str">
        <f t="shared" si="5"/>
        <v/>
      </c>
      <c r="I39" s="450" t="str">
        <f t="shared" si="5"/>
        <v/>
      </c>
      <c r="J39" s="450" t="str">
        <f t="shared" si="5"/>
        <v/>
      </c>
      <c r="K39" s="450" t="str">
        <f t="shared" si="5"/>
        <v/>
      </c>
      <c r="L39" s="450" t="str">
        <f t="shared" si="5"/>
        <v/>
      </c>
      <c r="M39" s="450" t="str">
        <f t="shared" si="5"/>
        <v/>
      </c>
      <c r="N39" s="450" t="str">
        <f t="shared" si="5"/>
        <v/>
      </c>
      <c r="O39" s="450" t="str">
        <f t="shared" si="5"/>
        <v/>
      </c>
      <c r="P39" s="450" t="str">
        <f t="shared" si="5"/>
        <v/>
      </c>
      <c r="Q39" s="450" t="str">
        <f t="shared" si="5"/>
        <v/>
      </c>
      <c r="R39" s="450" t="str">
        <f t="shared" si="5"/>
        <v/>
      </c>
      <c r="S39" s="450" t="str">
        <f t="shared" si="5"/>
        <v/>
      </c>
      <c r="T39" s="450" t="str">
        <f t="shared" si="5"/>
        <v/>
      </c>
      <c r="U39" s="451" t="str">
        <f t="shared" si="5"/>
        <v/>
      </c>
    </row>
    <row r="40" spans="2:21" ht="18" customHeight="1" x14ac:dyDescent="0.2">
      <c r="B40" s="11">
        <f t="shared" si="3"/>
        <v>0</v>
      </c>
      <c r="C40" s="10" t="str">
        <f t="shared" si="3"/>
        <v/>
      </c>
      <c r="D40" s="385" t="str">
        <f t="shared" si="4"/>
        <v/>
      </c>
      <c r="E40" s="386" t="str">
        <f t="shared" si="4"/>
        <v/>
      </c>
      <c r="F40" s="429" t="str">
        <f t="shared" si="6"/>
        <v/>
      </c>
      <c r="G40" s="452" t="str">
        <f t="shared" si="5"/>
        <v/>
      </c>
      <c r="H40" s="450" t="str">
        <f t="shared" si="5"/>
        <v/>
      </c>
      <c r="I40" s="450" t="str">
        <f t="shared" si="5"/>
        <v/>
      </c>
      <c r="J40" s="450" t="str">
        <f t="shared" si="5"/>
        <v/>
      </c>
      <c r="K40" s="450" t="str">
        <f t="shared" si="5"/>
        <v/>
      </c>
      <c r="L40" s="450" t="str">
        <f t="shared" si="5"/>
        <v/>
      </c>
      <c r="M40" s="450" t="str">
        <f t="shared" si="5"/>
        <v/>
      </c>
      <c r="N40" s="450" t="str">
        <f t="shared" si="5"/>
        <v/>
      </c>
      <c r="O40" s="450" t="str">
        <f t="shared" si="5"/>
        <v/>
      </c>
      <c r="P40" s="450" t="str">
        <f t="shared" si="5"/>
        <v/>
      </c>
      <c r="Q40" s="450" t="str">
        <f t="shared" si="5"/>
        <v/>
      </c>
      <c r="R40" s="450" t="str">
        <f t="shared" si="5"/>
        <v/>
      </c>
      <c r="S40" s="450" t="str">
        <f t="shared" si="5"/>
        <v/>
      </c>
      <c r="T40" s="450" t="str">
        <f t="shared" si="5"/>
        <v/>
      </c>
      <c r="U40" s="451" t="str">
        <f t="shared" si="5"/>
        <v/>
      </c>
    </row>
    <row r="41" spans="2:21" ht="18" customHeight="1" x14ac:dyDescent="0.2">
      <c r="B41" s="11">
        <f t="shared" si="3"/>
        <v>0</v>
      </c>
      <c r="C41" s="10" t="str">
        <f t="shared" si="3"/>
        <v/>
      </c>
      <c r="D41" s="385" t="str">
        <f t="shared" si="4"/>
        <v/>
      </c>
      <c r="E41" s="386" t="str">
        <f t="shared" si="4"/>
        <v/>
      </c>
      <c r="F41" s="429" t="str">
        <f t="shared" si="6"/>
        <v/>
      </c>
      <c r="G41" s="452" t="str">
        <f t="shared" si="5"/>
        <v/>
      </c>
      <c r="H41" s="450" t="str">
        <f t="shared" si="5"/>
        <v/>
      </c>
      <c r="I41" s="450" t="str">
        <f t="shared" si="5"/>
        <v/>
      </c>
      <c r="J41" s="450" t="str">
        <f t="shared" si="5"/>
        <v/>
      </c>
      <c r="K41" s="450" t="str">
        <f t="shared" si="5"/>
        <v/>
      </c>
      <c r="L41" s="450" t="str">
        <f t="shared" si="5"/>
        <v/>
      </c>
      <c r="M41" s="450" t="str">
        <f t="shared" si="5"/>
        <v/>
      </c>
      <c r="N41" s="450" t="str">
        <f t="shared" si="5"/>
        <v/>
      </c>
      <c r="O41" s="450" t="str">
        <f t="shared" si="5"/>
        <v/>
      </c>
      <c r="P41" s="450" t="str">
        <f t="shared" si="5"/>
        <v/>
      </c>
      <c r="Q41" s="450" t="str">
        <f t="shared" si="5"/>
        <v/>
      </c>
      <c r="R41" s="450" t="str">
        <f t="shared" si="5"/>
        <v/>
      </c>
      <c r="S41" s="450" t="str">
        <f t="shared" si="5"/>
        <v/>
      </c>
      <c r="T41" s="450" t="str">
        <f t="shared" si="5"/>
        <v/>
      </c>
      <c r="U41" s="451" t="str">
        <f t="shared" si="5"/>
        <v/>
      </c>
    </row>
    <row r="42" spans="2:21" ht="18" customHeight="1" x14ac:dyDescent="0.2">
      <c r="B42" s="11">
        <f t="shared" si="3"/>
        <v>0</v>
      </c>
      <c r="C42" s="10" t="str">
        <f t="shared" si="3"/>
        <v/>
      </c>
      <c r="D42" s="385" t="str">
        <f t="shared" si="4"/>
        <v/>
      </c>
      <c r="E42" s="386" t="str">
        <f t="shared" si="4"/>
        <v/>
      </c>
      <c r="F42" s="429" t="str">
        <f t="shared" si="6"/>
        <v/>
      </c>
      <c r="G42" s="452" t="str">
        <f t="shared" si="5"/>
        <v/>
      </c>
      <c r="H42" s="450" t="str">
        <f t="shared" si="5"/>
        <v/>
      </c>
      <c r="I42" s="450" t="str">
        <f t="shared" si="5"/>
        <v/>
      </c>
      <c r="J42" s="450" t="str">
        <f t="shared" si="5"/>
        <v/>
      </c>
      <c r="K42" s="450" t="str">
        <f t="shared" si="5"/>
        <v/>
      </c>
      <c r="L42" s="450" t="str">
        <f t="shared" si="5"/>
        <v/>
      </c>
      <c r="M42" s="450" t="str">
        <f t="shared" si="5"/>
        <v/>
      </c>
      <c r="N42" s="450" t="str">
        <f t="shared" si="5"/>
        <v/>
      </c>
      <c r="O42" s="450" t="str">
        <f t="shared" si="5"/>
        <v/>
      </c>
      <c r="P42" s="450" t="str">
        <f t="shared" si="5"/>
        <v/>
      </c>
      <c r="Q42" s="450" t="str">
        <f t="shared" si="5"/>
        <v/>
      </c>
      <c r="R42" s="450" t="str">
        <f t="shared" si="5"/>
        <v/>
      </c>
      <c r="S42" s="450" t="str">
        <f t="shared" si="5"/>
        <v/>
      </c>
      <c r="T42" s="450" t="str">
        <f t="shared" si="5"/>
        <v/>
      </c>
      <c r="U42" s="451" t="str">
        <f t="shared" si="5"/>
        <v/>
      </c>
    </row>
    <row r="43" spans="2:21" ht="18" customHeight="1" x14ac:dyDescent="0.2">
      <c r="B43" s="11">
        <f t="shared" si="3"/>
        <v>0</v>
      </c>
      <c r="C43" s="10" t="str">
        <f t="shared" si="3"/>
        <v/>
      </c>
      <c r="D43" s="385" t="str">
        <f t="shared" si="4"/>
        <v/>
      </c>
      <c r="E43" s="386" t="str">
        <f t="shared" si="4"/>
        <v/>
      </c>
      <c r="F43" s="429" t="str">
        <f t="shared" si="6"/>
        <v/>
      </c>
      <c r="G43" s="452" t="str">
        <f t="shared" si="5"/>
        <v/>
      </c>
      <c r="H43" s="450" t="str">
        <f t="shared" si="5"/>
        <v/>
      </c>
      <c r="I43" s="450" t="str">
        <f t="shared" si="5"/>
        <v/>
      </c>
      <c r="J43" s="450" t="str">
        <f t="shared" si="5"/>
        <v/>
      </c>
      <c r="K43" s="450" t="str">
        <f t="shared" si="5"/>
        <v/>
      </c>
      <c r="L43" s="450" t="str">
        <f t="shared" si="5"/>
        <v/>
      </c>
      <c r="M43" s="450" t="str">
        <f t="shared" si="5"/>
        <v/>
      </c>
      <c r="N43" s="450" t="str">
        <f t="shared" si="5"/>
        <v/>
      </c>
      <c r="O43" s="450" t="str">
        <f t="shared" si="5"/>
        <v/>
      </c>
      <c r="P43" s="450" t="str">
        <f t="shared" si="5"/>
        <v/>
      </c>
      <c r="Q43" s="450" t="str">
        <f t="shared" si="5"/>
        <v/>
      </c>
      <c r="R43" s="450" t="str">
        <f t="shared" si="5"/>
        <v/>
      </c>
      <c r="S43" s="450" t="str">
        <f t="shared" si="5"/>
        <v/>
      </c>
      <c r="T43" s="450" t="str">
        <f t="shared" si="5"/>
        <v/>
      </c>
      <c r="U43" s="451" t="str">
        <f t="shared" si="5"/>
        <v/>
      </c>
    </row>
    <row r="44" spans="2:21" ht="18" customHeight="1" x14ac:dyDescent="0.2">
      <c r="B44" s="11">
        <f t="shared" si="3"/>
        <v>0</v>
      </c>
      <c r="C44" s="10" t="str">
        <f t="shared" si="3"/>
        <v/>
      </c>
      <c r="D44" s="385" t="str">
        <f t="shared" si="4"/>
        <v/>
      </c>
      <c r="E44" s="386" t="str">
        <f t="shared" si="4"/>
        <v/>
      </c>
      <c r="F44" s="429" t="str">
        <f t="shared" si="6"/>
        <v/>
      </c>
      <c r="G44" s="452" t="str">
        <f t="shared" si="5"/>
        <v/>
      </c>
      <c r="H44" s="450" t="str">
        <f t="shared" si="5"/>
        <v/>
      </c>
      <c r="I44" s="450" t="str">
        <f t="shared" si="5"/>
        <v/>
      </c>
      <c r="J44" s="450" t="str">
        <f t="shared" si="5"/>
        <v/>
      </c>
      <c r="K44" s="450" t="str">
        <f t="shared" si="5"/>
        <v/>
      </c>
      <c r="L44" s="450" t="str">
        <f t="shared" si="5"/>
        <v/>
      </c>
      <c r="M44" s="450" t="str">
        <f t="shared" si="5"/>
        <v/>
      </c>
      <c r="N44" s="450" t="str">
        <f t="shared" si="5"/>
        <v/>
      </c>
      <c r="O44" s="450" t="str">
        <f t="shared" si="5"/>
        <v/>
      </c>
      <c r="P44" s="450" t="str">
        <f t="shared" si="5"/>
        <v/>
      </c>
      <c r="Q44" s="450" t="str">
        <f t="shared" si="5"/>
        <v/>
      </c>
      <c r="R44" s="450" t="str">
        <f t="shared" si="5"/>
        <v/>
      </c>
      <c r="S44" s="450" t="str">
        <f t="shared" si="5"/>
        <v/>
      </c>
      <c r="T44" s="450" t="str">
        <f t="shared" si="5"/>
        <v/>
      </c>
      <c r="U44" s="451" t="str">
        <f t="shared" si="5"/>
        <v/>
      </c>
    </row>
    <row r="45" spans="2:21" ht="18" customHeight="1" x14ac:dyDescent="0.2">
      <c r="B45" s="11">
        <f t="shared" si="3"/>
        <v>0</v>
      </c>
      <c r="C45" s="10" t="str">
        <f t="shared" si="3"/>
        <v/>
      </c>
      <c r="D45" s="385" t="str">
        <f t="shared" si="4"/>
        <v/>
      </c>
      <c r="E45" s="386" t="str">
        <f t="shared" si="4"/>
        <v/>
      </c>
      <c r="F45" s="429" t="str">
        <f t="shared" si="6"/>
        <v/>
      </c>
      <c r="G45" s="452" t="str">
        <f t="shared" si="5"/>
        <v/>
      </c>
      <c r="H45" s="450" t="str">
        <f t="shared" si="5"/>
        <v/>
      </c>
      <c r="I45" s="450" t="str">
        <f t="shared" si="5"/>
        <v/>
      </c>
      <c r="J45" s="450" t="str">
        <f t="shared" si="5"/>
        <v/>
      </c>
      <c r="K45" s="450" t="str">
        <f t="shared" si="5"/>
        <v/>
      </c>
      <c r="L45" s="450" t="str">
        <f t="shared" si="5"/>
        <v/>
      </c>
      <c r="M45" s="450" t="str">
        <f t="shared" si="5"/>
        <v/>
      </c>
      <c r="N45" s="450" t="str">
        <f t="shared" si="5"/>
        <v/>
      </c>
      <c r="O45" s="450" t="str">
        <f t="shared" si="5"/>
        <v/>
      </c>
      <c r="P45" s="450" t="str">
        <f t="shared" si="5"/>
        <v/>
      </c>
      <c r="Q45" s="450" t="str">
        <f t="shared" si="5"/>
        <v/>
      </c>
      <c r="R45" s="450" t="str">
        <f t="shared" si="5"/>
        <v/>
      </c>
      <c r="S45" s="450" t="str">
        <f t="shared" si="5"/>
        <v/>
      </c>
      <c r="T45" s="450" t="str">
        <f t="shared" si="5"/>
        <v/>
      </c>
      <c r="U45" s="451" t="str">
        <f t="shared" si="5"/>
        <v/>
      </c>
    </row>
    <row r="46" spans="2:21" ht="18" customHeight="1" thickBot="1" x14ac:dyDescent="0.25">
      <c r="B46" s="12">
        <f t="shared" si="3"/>
        <v>0</v>
      </c>
      <c r="C46" s="13" t="str">
        <f t="shared" si="3"/>
        <v/>
      </c>
      <c r="D46" s="387" t="str">
        <f t="shared" si="4"/>
        <v/>
      </c>
      <c r="E46" s="388" t="str">
        <f t="shared" si="4"/>
        <v/>
      </c>
      <c r="F46" s="430" t="str">
        <f t="shared" si="6"/>
        <v/>
      </c>
      <c r="G46" s="453" t="str">
        <f t="shared" si="5"/>
        <v/>
      </c>
      <c r="H46" s="454" t="str">
        <f t="shared" si="5"/>
        <v/>
      </c>
      <c r="I46" s="454" t="str">
        <f t="shared" si="5"/>
        <v/>
      </c>
      <c r="J46" s="454" t="str">
        <f t="shared" si="5"/>
        <v/>
      </c>
      <c r="K46" s="454" t="str">
        <f t="shared" si="5"/>
        <v/>
      </c>
      <c r="L46" s="454" t="str">
        <f t="shared" si="5"/>
        <v/>
      </c>
      <c r="M46" s="454" t="str">
        <f t="shared" si="5"/>
        <v/>
      </c>
      <c r="N46" s="454" t="str">
        <f t="shared" si="5"/>
        <v/>
      </c>
      <c r="O46" s="454" t="str">
        <f t="shared" si="5"/>
        <v/>
      </c>
      <c r="P46" s="454" t="str">
        <f t="shared" si="5"/>
        <v/>
      </c>
      <c r="Q46" s="454" t="str">
        <f t="shared" si="5"/>
        <v/>
      </c>
      <c r="R46" s="454" t="str">
        <f t="shared" si="5"/>
        <v/>
      </c>
      <c r="S46" s="454" t="str">
        <f t="shared" si="5"/>
        <v/>
      </c>
      <c r="T46" s="454" t="str">
        <f t="shared" si="5"/>
        <v/>
      </c>
      <c r="U46" s="455" t="str">
        <f t="shared" si="5"/>
        <v/>
      </c>
    </row>
    <row r="49" spans="1:23" ht="18" x14ac:dyDescent="0.25">
      <c r="B49" s="41" t="s">
        <v>636</v>
      </c>
    </row>
    <row r="50" spans="1:23" ht="13.5" thickBot="1" x14ac:dyDescent="0.25">
      <c r="D50" s="56" t="s">
        <v>394</v>
      </c>
      <c r="E50" s="56" t="s">
        <v>395</v>
      </c>
    </row>
    <row r="51" spans="1:23" ht="42" customHeight="1" x14ac:dyDescent="0.2">
      <c r="A51" s="34" t="s">
        <v>392</v>
      </c>
      <c r="D51" s="542" t="s">
        <v>307</v>
      </c>
      <c r="E51" s="543"/>
      <c r="F51" s="542" t="s">
        <v>311</v>
      </c>
      <c r="G51" s="543"/>
      <c r="H51" s="542" t="s">
        <v>312</v>
      </c>
      <c r="I51" s="543"/>
      <c r="J51" s="542" t="s">
        <v>313</v>
      </c>
      <c r="K51" s="543"/>
      <c r="L51" s="542" t="s">
        <v>314</v>
      </c>
      <c r="M51" s="543"/>
      <c r="N51" s="542" t="s">
        <v>315</v>
      </c>
      <c r="O51" s="543"/>
      <c r="P51" s="542" t="s">
        <v>316</v>
      </c>
      <c r="Q51" s="543"/>
      <c r="R51" s="542" t="s">
        <v>317</v>
      </c>
      <c r="S51" s="543"/>
      <c r="T51" s="542" t="s">
        <v>318</v>
      </c>
      <c r="U51" s="543"/>
      <c r="V51" s="542" t="s">
        <v>319</v>
      </c>
      <c r="W51" s="543"/>
    </row>
    <row r="52" spans="1:23" ht="40.5" customHeight="1" thickBot="1" x14ac:dyDescent="0.3">
      <c r="B52" s="29"/>
      <c r="D52" s="550" t="s">
        <v>320</v>
      </c>
      <c r="E52" s="551"/>
      <c r="F52" s="550" t="s">
        <v>320</v>
      </c>
      <c r="G52" s="551"/>
      <c r="H52" s="550" t="s">
        <v>320</v>
      </c>
      <c r="I52" s="551"/>
      <c r="J52" s="550" t="s">
        <v>320</v>
      </c>
      <c r="K52" s="551"/>
      <c r="L52" s="550" t="s">
        <v>320</v>
      </c>
      <c r="M52" s="551"/>
      <c r="N52" s="550" t="s">
        <v>320</v>
      </c>
      <c r="O52" s="551"/>
      <c r="P52" s="550" t="s">
        <v>320</v>
      </c>
      <c r="Q52" s="551"/>
      <c r="R52" s="550" t="s">
        <v>320</v>
      </c>
      <c r="S52" s="551"/>
      <c r="T52" s="550" t="s">
        <v>320</v>
      </c>
      <c r="U52" s="551"/>
      <c r="V52" s="550" t="s">
        <v>320</v>
      </c>
      <c r="W52" s="551"/>
    </row>
    <row r="53" spans="1:23" ht="24.75" thickBot="1" x14ac:dyDescent="0.25">
      <c r="A53" s="34" t="s">
        <v>393</v>
      </c>
      <c r="B53" s="17" t="s">
        <v>71</v>
      </c>
      <c r="C53" s="18" t="s">
        <v>72</v>
      </c>
      <c r="D53" s="37" t="s">
        <v>103</v>
      </c>
      <c r="E53" s="38" t="s">
        <v>308</v>
      </c>
      <c r="F53" s="37" t="s">
        <v>103</v>
      </c>
      <c r="G53" s="38" t="s">
        <v>308</v>
      </c>
      <c r="H53" s="37" t="s">
        <v>103</v>
      </c>
      <c r="I53" s="38" t="s">
        <v>308</v>
      </c>
      <c r="J53" s="37" t="s">
        <v>103</v>
      </c>
      <c r="K53" s="38" t="s">
        <v>308</v>
      </c>
      <c r="L53" s="37" t="s">
        <v>103</v>
      </c>
      <c r="M53" s="38" t="s">
        <v>308</v>
      </c>
      <c r="N53" s="37" t="s">
        <v>103</v>
      </c>
      <c r="O53" s="38" t="s">
        <v>308</v>
      </c>
      <c r="P53" s="37" t="s">
        <v>103</v>
      </c>
      <c r="Q53" s="38" t="s">
        <v>308</v>
      </c>
      <c r="R53" s="37" t="s">
        <v>103</v>
      </c>
      <c r="S53" s="38" t="s">
        <v>308</v>
      </c>
      <c r="T53" s="37" t="s">
        <v>103</v>
      </c>
      <c r="U53" s="38" t="s">
        <v>308</v>
      </c>
      <c r="V53" s="37" t="s">
        <v>103</v>
      </c>
      <c r="W53" s="38" t="s">
        <v>308</v>
      </c>
    </row>
    <row r="54" spans="1:23" s="28" customFormat="1" ht="15" customHeight="1" x14ac:dyDescent="0.2">
      <c r="B54" s="11" t="str">
        <f t="shared" ref="B54:C69" si="7">B5</f>
        <v>KING</v>
      </c>
      <c r="C54" s="14" t="str">
        <f t="shared" si="7"/>
        <v>Standard</v>
      </c>
      <c r="D54" s="389"/>
      <c r="E54" s="390"/>
      <c r="F54" s="389"/>
      <c r="G54" s="390"/>
      <c r="H54" s="389"/>
      <c r="I54" s="390"/>
      <c r="J54" s="389"/>
      <c r="K54" s="390"/>
      <c r="L54" s="389"/>
      <c r="M54" s="390"/>
      <c r="N54" s="389"/>
      <c r="O54" s="390"/>
      <c r="P54" s="389"/>
      <c r="Q54" s="390"/>
      <c r="R54" s="389"/>
      <c r="S54" s="390"/>
      <c r="T54" s="389"/>
      <c r="U54" s="390"/>
      <c r="V54" s="389"/>
      <c r="W54" s="390"/>
    </row>
    <row r="55" spans="1:23" s="28" customFormat="1" ht="15" customHeight="1" x14ac:dyDescent="0.2">
      <c r="B55" s="11" t="str">
        <f t="shared" si="7"/>
        <v>DBDB</v>
      </c>
      <c r="C55" s="10" t="str">
        <f t="shared" si="7"/>
        <v>Standard</v>
      </c>
      <c r="D55" s="391"/>
      <c r="E55" s="392"/>
      <c r="F55" s="391"/>
      <c r="G55" s="392"/>
      <c r="H55" s="391"/>
      <c r="I55" s="392"/>
      <c r="J55" s="391"/>
      <c r="K55" s="392"/>
      <c r="L55" s="391"/>
      <c r="M55" s="392"/>
      <c r="N55" s="391"/>
      <c r="O55" s="392"/>
      <c r="P55" s="391"/>
      <c r="Q55" s="392"/>
      <c r="R55" s="391"/>
      <c r="S55" s="392"/>
      <c r="T55" s="391"/>
      <c r="U55" s="392"/>
      <c r="V55" s="391"/>
      <c r="W55" s="392"/>
    </row>
    <row r="56" spans="1:23" s="28" customFormat="1" ht="15" customHeight="1" x14ac:dyDescent="0.2">
      <c r="B56" s="11" t="str">
        <f t="shared" si="7"/>
        <v>PMRS</v>
      </c>
      <c r="C56" s="10" t="str">
        <f t="shared" si="7"/>
        <v>Standard</v>
      </c>
      <c r="D56" s="391"/>
      <c r="E56" s="392"/>
      <c r="F56" s="391"/>
      <c r="G56" s="392"/>
      <c r="H56" s="391"/>
      <c r="I56" s="392"/>
      <c r="J56" s="391"/>
      <c r="K56" s="392"/>
      <c r="L56" s="391"/>
      <c r="M56" s="392"/>
      <c r="N56" s="391"/>
      <c r="O56" s="392"/>
      <c r="P56" s="391"/>
      <c r="Q56" s="392"/>
      <c r="R56" s="391"/>
      <c r="S56" s="392"/>
      <c r="T56" s="391"/>
      <c r="U56" s="392"/>
      <c r="V56" s="391"/>
      <c r="W56" s="392"/>
    </row>
    <row r="57" spans="1:23" s="28" customFormat="1" ht="15" customHeight="1" x14ac:dyDescent="0.2">
      <c r="B57" s="11" t="str">
        <f t="shared" si="7"/>
        <v>PMRS</v>
      </c>
      <c r="C57" s="10" t="str">
        <f t="shared" si="7"/>
        <v>Standard</v>
      </c>
      <c r="D57" s="391"/>
      <c r="E57" s="392"/>
      <c r="F57" s="391"/>
      <c r="G57" s="392"/>
      <c r="H57" s="391"/>
      <c r="I57" s="392"/>
      <c r="J57" s="391"/>
      <c r="K57" s="392"/>
      <c r="L57" s="391"/>
      <c r="M57" s="392"/>
      <c r="N57" s="391"/>
      <c r="O57" s="392"/>
      <c r="P57" s="391"/>
      <c r="Q57" s="392"/>
      <c r="R57" s="391"/>
      <c r="S57" s="392"/>
      <c r="T57" s="391"/>
      <c r="U57" s="392"/>
      <c r="V57" s="391"/>
      <c r="W57" s="392"/>
    </row>
    <row r="58" spans="1:23" s="28" customFormat="1" ht="15" customHeight="1" x14ac:dyDescent="0.2">
      <c r="B58" s="11">
        <f t="shared" si="7"/>
        <v>0</v>
      </c>
      <c r="C58" s="10" t="str">
        <f t="shared" si="7"/>
        <v/>
      </c>
      <c r="D58" s="391"/>
      <c r="E58" s="392"/>
      <c r="F58" s="391"/>
      <c r="G58" s="392"/>
      <c r="H58" s="391"/>
      <c r="I58" s="392"/>
      <c r="J58" s="391"/>
      <c r="K58" s="392"/>
      <c r="L58" s="391"/>
      <c r="M58" s="392"/>
      <c r="N58" s="391"/>
      <c r="O58" s="392"/>
      <c r="P58" s="391"/>
      <c r="Q58" s="392"/>
      <c r="R58" s="391"/>
      <c r="S58" s="392"/>
      <c r="T58" s="391"/>
      <c r="U58" s="392"/>
      <c r="V58" s="391"/>
      <c r="W58" s="392"/>
    </row>
    <row r="59" spans="1:23" s="28" customFormat="1" ht="15" customHeight="1" x14ac:dyDescent="0.2">
      <c r="B59" s="11">
        <f t="shared" si="7"/>
        <v>0</v>
      </c>
      <c r="C59" s="10" t="str">
        <f t="shared" si="7"/>
        <v/>
      </c>
      <c r="D59" s="391"/>
      <c r="E59" s="392"/>
      <c r="F59" s="391"/>
      <c r="G59" s="392"/>
      <c r="H59" s="391"/>
      <c r="I59" s="392"/>
      <c r="J59" s="391"/>
      <c r="K59" s="392"/>
      <c r="L59" s="391"/>
      <c r="M59" s="392"/>
      <c r="N59" s="391"/>
      <c r="O59" s="392"/>
      <c r="P59" s="391"/>
      <c r="Q59" s="392"/>
      <c r="R59" s="391"/>
      <c r="S59" s="392"/>
      <c r="T59" s="391"/>
      <c r="U59" s="392"/>
      <c r="V59" s="391"/>
      <c r="W59" s="392"/>
    </row>
    <row r="60" spans="1:23" s="28" customFormat="1" ht="15" customHeight="1" x14ac:dyDescent="0.2">
      <c r="B60" s="11">
        <f t="shared" si="7"/>
        <v>0</v>
      </c>
      <c r="C60" s="10" t="str">
        <f t="shared" si="7"/>
        <v/>
      </c>
      <c r="D60" s="391"/>
      <c r="E60" s="392"/>
      <c r="F60" s="391"/>
      <c r="G60" s="392"/>
      <c r="H60" s="391"/>
      <c r="I60" s="392"/>
      <c r="J60" s="391"/>
      <c r="K60" s="392"/>
      <c r="L60" s="391"/>
      <c r="M60" s="392"/>
      <c r="N60" s="391"/>
      <c r="O60" s="392"/>
      <c r="P60" s="391"/>
      <c r="Q60" s="392"/>
      <c r="R60" s="391"/>
      <c r="S60" s="392"/>
      <c r="T60" s="391"/>
      <c r="U60" s="392"/>
      <c r="V60" s="391"/>
      <c r="W60" s="392"/>
    </row>
    <row r="61" spans="1:23" s="28" customFormat="1" ht="15" customHeight="1" x14ac:dyDescent="0.2">
      <c r="B61" s="11">
        <f t="shared" si="7"/>
        <v>0</v>
      </c>
      <c r="C61" s="10" t="str">
        <f t="shared" si="7"/>
        <v/>
      </c>
      <c r="D61" s="391"/>
      <c r="E61" s="392"/>
      <c r="F61" s="391"/>
      <c r="G61" s="392"/>
      <c r="H61" s="391"/>
      <c r="I61" s="392"/>
      <c r="J61" s="391"/>
      <c r="K61" s="392"/>
      <c r="L61" s="391"/>
      <c r="M61" s="392"/>
      <c r="N61" s="391"/>
      <c r="O61" s="392"/>
      <c r="P61" s="391"/>
      <c r="Q61" s="392"/>
      <c r="R61" s="391"/>
      <c r="S61" s="392"/>
      <c r="T61" s="391"/>
      <c r="U61" s="392"/>
      <c r="V61" s="391"/>
      <c r="W61" s="392"/>
    </row>
    <row r="62" spans="1:23" s="28" customFormat="1" ht="15" customHeight="1" x14ac:dyDescent="0.2">
      <c r="B62" s="11">
        <f t="shared" si="7"/>
        <v>0</v>
      </c>
      <c r="C62" s="10" t="str">
        <f t="shared" si="7"/>
        <v/>
      </c>
      <c r="D62" s="391"/>
      <c r="E62" s="392"/>
      <c r="F62" s="391"/>
      <c r="G62" s="392"/>
      <c r="H62" s="391"/>
      <c r="I62" s="392"/>
      <c r="J62" s="391"/>
      <c r="K62" s="392"/>
      <c r="L62" s="391"/>
      <c r="M62" s="392"/>
      <c r="N62" s="391"/>
      <c r="O62" s="392"/>
      <c r="P62" s="391"/>
      <c r="Q62" s="392"/>
      <c r="R62" s="391"/>
      <c r="S62" s="392"/>
      <c r="T62" s="391"/>
      <c r="U62" s="392"/>
      <c r="V62" s="391"/>
      <c r="W62" s="392"/>
    </row>
    <row r="63" spans="1:23" s="28" customFormat="1" ht="15" customHeight="1" x14ac:dyDescent="0.2">
      <c r="B63" s="11">
        <f t="shared" si="7"/>
        <v>0</v>
      </c>
      <c r="C63" s="10" t="str">
        <f t="shared" si="7"/>
        <v/>
      </c>
      <c r="D63" s="391"/>
      <c r="E63" s="392"/>
      <c r="F63" s="391"/>
      <c r="G63" s="392"/>
      <c r="H63" s="391"/>
      <c r="I63" s="392"/>
      <c r="J63" s="391"/>
      <c r="K63" s="392"/>
      <c r="L63" s="391"/>
      <c r="M63" s="392"/>
      <c r="N63" s="391"/>
      <c r="O63" s="392"/>
      <c r="P63" s="391"/>
      <c r="Q63" s="392"/>
      <c r="R63" s="391"/>
      <c r="S63" s="392"/>
      <c r="T63" s="391"/>
      <c r="U63" s="392"/>
      <c r="V63" s="391"/>
      <c r="W63" s="392"/>
    </row>
    <row r="64" spans="1:23" s="28" customFormat="1" ht="15" customHeight="1" x14ac:dyDescent="0.2">
      <c r="B64" s="11">
        <f t="shared" si="7"/>
        <v>0</v>
      </c>
      <c r="C64" s="10" t="str">
        <f t="shared" si="7"/>
        <v/>
      </c>
      <c r="D64" s="391"/>
      <c r="E64" s="392"/>
      <c r="F64" s="391"/>
      <c r="G64" s="392"/>
      <c r="H64" s="391"/>
      <c r="I64" s="392"/>
      <c r="J64" s="391"/>
      <c r="K64" s="392"/>
      <c r="L64" s="391"/>
      <c r="M64" s="392"/>
      <c r="N64" s="391"/>
      <c r="O64" s="392"/>
      <c r="P64" s="391"/>
      <c r="Q64" s="392"/>
      <c r="R64" s="391"/>
      <c r="S64" s="392"/>
      <c r="T64" s="391"/>
      <c r="U64" s="392"/>
      <c r="V64" s="391"/>
      <c r="W64" s="392"/>
    </row>
    <row r="65" spans="1:23" s="28" customFormat="1" ht="15" customHeight="1" x14ac:dyDescent="0.2">
      <c r="B65" s="11">
        <f t="shared" si="7"/>
        <v>0</v>
      </c>
      <c r="C65" s="10" t="str">
        <f t="shared" si="7"/>
        <v/>
      </c>
      <c r="D65" s="391"/>
      <c r="E65" s="392"/>
      <c r="F65" s="391"/>
      <c r="G65" s="392"/>
      <c r="H65" s="391"/>
      <c r="I65" s="392"/>
      <c r="J65" s="391"/>
      <c r="K65" s="392"/>
      <c r="L65" s="391"/>
      <c r="M65" s="392"/>
      <c r="N65" s="391"/>
      <c r="O65" s="392"/>
      <c r="P65" s="391"/>
      <c r="Q65" s="392"/>
      <c r="R65" s="391"/>
      <c r="S65" s="392"/>
      <c r="T65" s="391"/>
      <c r="U65" s="392"/>
      <c r="V65" s="391"/>
      <c r="W65" s="392"/>
    </row>
    <row r="66" spans="1:23" s="28" customFormat="1" ht="15" customHeight="1" x14ac:dyDescent="0.2">
      <c r="B66" s="11">
        <f t="shared" si="7"/>
        <v>0</v>
      </c>
      <c r="C66" s="10" t="str">
        <f t="shared" si="7"/>
        <v/>
      </c>
      <c r="D66" s="391"/>
      <c r="E66" s="392"/>
      <c r="F66" s="391"/>
      <c r="G66" s="392"/>
      <c r="H66" s="391"/>
      <c r="I66" s="392"/>
      <c r="J66" s="391"/>
      <c r="K66" s="392"/>
      <c r="L66" s="391"/>
      <c r="M66" s="392"/>
      <c r="N66" s="391"/>
      <c r="O66" s="392"/>
      <c r="P66" s="391"/>
      <c r="Q66" s="392"/>
      <c r="R66" s="391"/>
      <c r="S66" s="392"/>
      <c r="T66" s="391"/>
      <c r="U66" s="392"/>
      <c r="V66" s="391"/>
      <c r="W66" s="392"/>
    </row>
    <row r="67" spans="1:23" s="28" customFormat="1" ht="15" customHeight="1" x14ac:dyDescent="0.2">
      <c r="B67" s="11">
        <f t="shared" si="7"/>
        <v>0</v>
      </c>
      <c r="C67" s="10" t="str">
        <f t="shared" si="7"/>
        <v/>
      </c>
      <c r="D67" s="391"/>
      <c r="E67" s="392"/>
      <c r="F67" s="391"/>
      <c r="G67" s="392"/>
      <c r="H67" s="391"/>
      <c r="I67" s="392"/>
      <c r="J67" s="391"/>
      <c r="K67" s="392"/>
      <c r="L67" s="391"/>
      <c r="M67" s="392"/>
      <c r="N67" s="391"/>
      <c r="O67" s="392"/>
      <c r="P67" s="391"/>
      <c r="Q67" s="392"/>
      <c r="R67" s="391"/>
      <c r="S67" s="392"/>
      <c r="T67" s="391"/>
      <c r="U67" s="392"/>
      <c r="V67" s="391"/>
      <c r="W67" s="392"/>
    </row>
    <row r="68" spans="1:23" s="28" customFormat="1" ht="15" customHeight="1" x14ac:dyDescent="0.2">
      <c r="B68" s="11">
        <f t="shared" si="7"/>
        <v>0</v>
      </c>
      <c r="C68" s="10" t="str">
        <f t="shared" si="7"/>
        <v/>
      </c>
      <c r="D68" s="391"/>
      <c r="E68" s="392"/>
      <c r="F68" s="391"/>
      <c r="G68" s="392"/>
      <c r="H68" s="391"/>
      <c r="I68" s="392"/>
      <c r="J68" s="391"/>
      <c r="K68" s="392"/>
      <c r="L68" s="391"/>
      <c r="M68" s="392"/>
      <c r="N68" s="391"/>
      <c r="O68" s="392"/>
      <c r="P68" s="391"/>
      <c r="Q68" s="392"/>
      <c r="R68" s="391"/>
      <c r="S68" s="392"/>
      <c r="T68" s="391"/>
      <c r="U68" s="392"/>
      <c r="V68" s="391"/>
      <c r="W68" s="392"/>
    </row>
    <row r="69" spans="1:23" s="28" customFormat="1" ht="15" customHeight="1" thickBot="1" x14ac:dyDescent="0.25">
      <c r="B69" s="11">
        <f t="shared" si="7"/>
        <v>0</v>
      </c>
      <c r="C69" s="10" t="str">
        <f t="shared" si="7"/>
        <v/>
      </c>
      <c r="D69" s="391"/>
      <c r="E69" s="392"/>
      <c r="F69" s="391"/>
      <c r="G69" s="392"/>
      <c r="H69" s="391"/>
      <c r="I69" s="392"/>
      <c r="J69" s="391"/>
      <c r="K69" s="392"/>
      <c r="L69" s="391"/>
      <c r="M69" s="392"/>
      <c r="N69" s="391"/>
      <c r="O69" s="392"/>
      <c r="P69" s="391"/>
      <c r="Q69" s="392"/>
      <c r="R69" s="391"/>
      <c r="S69" s="392"/>
      <c r="T69" s="391"/>
      <c r="U69" s="392"/>
      <c r="V69" s="391"/>
      <c r="W69" s="392"/>
    </row>
    <row r="70" spans="1:23" ht="39.75" customHeight="1" x14ac:dyDescent="0.2">
      <c r="A70" s="34" t="s">
        <v>396</v>
      </c>
      <c r="B70" s="544" t="s">
        <v>309</v>
      </c>
      <c r="C70" s="545"/>
      <c r="D70" s="540"/>
      <c r="E70" s="541"/>
      <c r="F70" s="540"/>
      <c r="G70" s="541"/>
      <c r="H70" s="540"/>
      <c r="I70" s="541"/>
      <c r="J70" s="540"/>
      <c r="K70" s="541"/>
      <c r="L70" s="540"/>
      <c r="M70" s="541"/>
      <c r="N70" s="540"/>
      <c r="O70" s="541"/>
      <c r="P70" s="540"/>
      <c r="Q70" s="541"/>
      <c r="R70" s="540"/>
      <c r="S70" s="541"/>
      <c r="T70" s="540"/>
      <c r="U70" s="541"/>
      <c r="V70" s="540"/>
      <c r="W70" s="541"/>
    </row>
    <row r="71" spans="1:23" ht="45.75" customHeight="1" thickBot="1" x14ac:dyDescent="0.25">
      <c r="A71" s="34" t="s">
        <v>397</v>
      </c>
      <c r="B71" s="546" t="s">
        <v>310</v>
      </c>
      <c r="C71" s="547"/>
      <c r="D71" s="548"/>
      <c r="E71" s="549"/>
      <c r="F71" s="548"/>
      <c r="G71" s="549"/>
      <c r="H71" s="548"/>
      <c r="I71" s="549"/>
      <c r="J71" s="548"/>
      <c r="K71" s="549"/>
      <c r="L71" s="548"/>
      <c r="M71" s="549"/>
      <c r="N71" s="548"/>
      <c r="O71" s="549"/>
      <c r="P71" s="548"/>
      <c r="Q71" s="549"/>
      <c r="R71" s="548"/>
      <c r="S71" s="549"/>
      <c r="T71" s="548"/>
      <c r="U71" s="549"/>
      <c r="V71" s="548"/>
      <c r="W71" s="549"/>
    </row>
  </sheetData>
  <sheetProtection password="C560" sheet="1" objects="1" scenarios="1" formatCells="0" formatColumns="0" formatRows="0" sort="0" autoFilter="0"/>
  <mergeCells count="44">
    <mergeCell ref="T71:U71"/>
    <mergeCell ref="V71:W71"/>
    <mergeCell ref="J71:K71"/>
    <mergeCell ref="L71:M71"/>
    <mergeCell ref="N71:O71"/>
    <mergeCell ref="P71:Q71"/>
    <mergeCell ref="R71:S71"/>
    <mergeCell ref="V51:W51"/>
    <mergeCell ref="D52:E52"/>
    <mergeCell ref="F52:G52"/>
    <mergeCell ref="H52:I52"/>
    <mergeCell ref="J52:K52"/>
    <mergeCell ref="L52:M52"/>
    <mergeCell ref="N52:O52"/>
    <mergeCell ref="P52:Q52"/>
    <mergeCell ref="R52:S52"/>
    <mergeCell ref="T52:U52"/>
    <mergeCell ref="V52:W52"/>
    <mergeCell ref="D51:E51"/>
    <mergeCell ref="F51:G51"/>
    <mergeCell ref="H51:I51"/>
    <mergeCell ref="D70:E70"/>
    <mergeCell ref="F70:G70"/>
    <mergeCell ref="H70:I70"/>
    <mergeCell ref="B71:C71"/>
    <mergeCell ref="D71:E71"/>
    <mergeCell ref="F71:G71"/>
    <mergeCell ref="H71:I71"/>
    <mergeCell ref="B4:E4"/>
    <mergeCell ref="D30:E30"/>
    <mergeCell ref="T70:U70"/>
    <mergeCell ref="V70:W70"/>
    <mergeCell ref="J51:K51"/>
    <mergeCell ref="L51:M51"/>
    <mergeCell ref="N51:O51"/>
    <mergeCell ref="P51:Q51"/>
    <mergeCell ref="R51:S51"/>
    <mergeCell ref="T51:U51"/>
    <mergeCell ref="J70:K70"/>
    <mergeCell ref="L70:M70"/>
    <mergeCell ref="N70:O70"/>
    <mergeCell ref="P70:Q70"/>
    <mergeCell ref="R70:S70"/>
    <mergeCell ref="B70:C70"/>
  </mergeCells>
  <phoneticPr fontId="47" type="noConversion"/>
  <conditionalFormatting sqref="B8:B20">
    <cfRule type="cellIs" dxfId="27" priority="10" stopIfTrue="1" operator="equal">
      <formula>0</formula>
    </cfRule>
  </conditionalFormatting>
  <conditionalFormatting sqref="G4:U4">
    <cfRule type="containsText" dxfId="26" priority="9" stopIfTrue="1" operator="containsText" text="specific">
      <formula>NOT(ISERROR(SEARCH("specific",G4)))</formula>
    </cfRule>
  </conditionalFormatting>
  <conditionalFormatting sqref="B34:B46">
    <cfRule type="cellIs" dxfId="25" priority="8" stopIfTrue="1" operator="equal">
      <formula>0</formula>
    </cfRule>
  </conditionalFormatting>
  <conditionalFormatting sqref="G30:U30">
    <cfRule type="containsText" dxfId="24" priority="7" stopIfTrue="1" operator="containsText" text="specific">
      <formula>NOT(ISERROR(SEARCH("specific",G30)))</formula>
    </cfRule>
  </conditionalFormatting>
  <conditionalFormatting sqref="B57:B69">
    <cfRule type="cellIs" dxfId="23" priority="5" stopIfTrue="1" operator="equal">
      <formula>0</formula>
    </cfRule>
  </conditionalFormatting>
  <conditionalFormatting sqref="B54:B56">
    <cfRule type="cellIs" dxfId="22" priority="1" stopIfTrue="1" operator="equal">
      <formula>0</formula>
    </cfRule>
  </conditionalFormatting>
  <conditionalFormatting sqref="B5:B7">
    <cfRule type="cellIs" dxfId="21" priority="3" stopIfTrue="1" operator="equal">
      <formula>0</formula>
    </cfRule>
  </conditionalFormatting>
  <conditionalFormatting sqref="B31:B33">
    <cfRule type="cellIs" dxfId="20" priority="2" stopIfTrue="1" operator="equal">
      <formula>0</formula>
    </cfRule>
  </conditionalFormatting>
  <dataValidations xWindow="544" yWindow="401" count="6">
    <dataValidation allowBlank="1" showInputMessage="1" showErrorMessage="1" promptTitle="Weekend Supplement" prompt="Override rate supplement if these should be different than the ones defined for Retail Rates" sqref="D32:E46"/>
    <dataValidation allowBlank="1" showInputMessage="1" showErrorMessage="1" promptTitle="Define Seasons" prompt="Enter season rates when pricing is different than &quot;Default&quot;" sqref="G29:U29"/>
    <dataValidation allowBlank="1" showInputMessage="1" showErrorMessage="1" promptTitle="Cancellation Policy" prompt="Indicate Event Cancellation Policy (When and what cancellation fees apply? Are cancellations allowed?...)" sqref="D71:W71"/>
    <dataValidation allowBlank="1" showInputMessage="1" showErrorMessage="1" promptTitle="Guarantee Deposit Rule" prompt="Indicate Guarantee Deposit Rule here (credit card guarantee, 1 night deposit, % of stay deposit, full deposit, deposit due date...)._x000a_If none entered, Standard Hotel Guarantee Rule will apply!" sqref="D70:W70"/>
    <dataValidation allowBlank="1" showInputMessage="1" showErrorMessage="1" promptTitle="Restriction" prompt="Indicate Inventory Length of Stay Restrictions here (MS, MS/MX, CTA, NMQ)._x000a_" sqref="E54:E69 G54:G69 I54:I69 K54:K69 M54:M69 O54:O69 Q54:Q69 S54:S69 U54:U69 W54:W69"/>
    <dataValidation allowBlank="1" showInputMessage="1" showErrorMessage="1" promptTitle="Event Name" prompt="Enter the Name of the Event here" sqref="D51:W51"/>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544" yWindow="401" count="2">
        <x14:dataValidation type="list" showInputMessage="1" showErrorMessage="1" promptTitle="Define which premiums to use" prompt="This will determine which premiums will apply for the higher room pools. Select &quot;standard&quot; to use the standard premiums (column D) or &quot;alternate&quot; to use the alternate premiums (column E) for the given season. Use &quot;specific&quot; if setting-up different ones">
          <x14:formula1>
            <xm:f>DropDown!$D$2:$D$5</xm:f>
          </x14:formula1>
          <xm:sqref>G4:U4 G30:U30</xm:sqref>
        </x14:dataValidation>
        <x14:dataValidation type="list" showInputMessage="1" showErrorMessage="1" promptTitle="Weekend Day Definition" prompt="Define weekend days, see Instructions for more details">
          <x14:formula1>
            <xm:f>DropDown!$U$3:$U$10</xm:f>
          </x14:formula1>
          <xm:sqref>D23:F23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etailES"/>
  <dimension ref="A3:W101"/>
  <sheetViews>
    <sheetView topLeftCell="A56" zoomScale="115" zoomScaleNormal="115" workbookViewId="0">
      <selection activeCell="B63" sqref="B63"/>
    </sheetView>
  </sheetViews>
  <sheetFormatPr defaultRowHeight="12.75" x14ac:dyDescent="0.2"/>
  <cols>
    <col min="1" max="1" width="4.5703125" style="5" customWidth="1"/>
    <col min="2" max="2" width="15.140625" style="5" bestFit="1" customWidth="1"/>
    <col min="3" max="3" width="16.140625" style="5" customWidth="1"/>
    <col min="4" max="4" width="11.42578125" style="5" customWidth="1"/>
    <col min="5" max="21" width="10.42578125" style="5" customWidth="1"/>
    <col min="22" max="22" width="9.140625" style="5"/>
    <col min="23" max="23" width="10.7109375" style="5" customWidth="1"/>
    <col min="24" max="16384" width="9.140625" style="5"/>
  </cols>
  <sheetData>
    <row r="3" spans="1:21" ht="18" x14ac:dyDescent="0.25">
      <c r="A3" s="5" t="s">
        <v>358</v>
      </c>
      <c r="B3" s="41" t="s">
        <v>457</v>
      </c>
    </row>
    <row r="4" spans="1:21" ht="38.25" x14ac:dyDescent="0.2">
      <c r="E4" s="101" t="s">
        <v>465</v>
      </c>
    </row>
    <row r="5" spans="1:21" ht="18" customHeight="1" x14ac:dyDescent="0.2">
      <c r="C5" s="124" t="s">
        <v>458</v>
      </c>
      <c r="D5" s="383" t="s">
        <v>462</v>
      </c>
      <c r="E5" s="125"/>
    </row>
    <row r="6" spans="1:21" ht="18" customHeight="1" x14ac:dyDescent="0.2">
      <c r="C6" s="124" t="s">
        <v>459</v>
      </c>
      <c r="D6" s="383" t="s">
        <v>463</v>
      </c>
      <c r="E6" s="384"/>
    </row>
    <row r="7" spans="1:21" ht="18" customHeight="1" x14ac:dyDescent="0.2">
      <c r="C7" s="124" t="s">
        <v>460</v>
      </c>
      <c r="D7" s="383" t="s">
        <v>577</v>
      </c>
      <c r="E7" s="384"/>
    </row>
    <row r="8" spans="1:21" ht="18" customHeight="1" x14ac:dyDescent="0.2">
      <c r="C8" s="124" t="s">
        <v>461</v>
      </c>
      <c r="D8" s="383" t="s">
        <v>464</v>
      </c>
      <c r="E8" s="384"/>
    </row>
    <row r="9" spans="1:21" x14ac:dyDescent="0.2">
      <c r="G9" s="126"/>
      <c r="H9" s="126"/>
      <c r="I9" s="126"/>
    </row>
    <row r="12" spans="1:21" ht="18" x14ac:dyDescent="0.25">
      <c r="B12" s="41" t="s">
        <v>74</v>
      </c>
    </row>
    <row r="13" spans="1:21" ht="13.5" thickBot="1" x14ac:dyDescent="0.25">
      <c r="A13" s="34" t="s">
        <v>358</v>
      </c>
      <c r="D13" s="34" t="s">
        <v>362</v>
      </c>
      <c r="E13" s="34" t="s">
        <v>363</v>
      </c>
      <c r="F13" s="34" t="s">
        <v>365</v>
      </c>
      <c r="G13" s="34" t="s">
        <v>366</v>
      </c>
    </row>
    <row r="14" spans="1:21" s="27" customFormat="1" ht="60.75" customHeight="1" thickBot="1" x14ac:dyDescent="0.25">
      <c r="B14" s="17" t="s">
        <v>71</v>
      </c>
      <c r="C14" s="18" t="s">
        <v>72</v>
      </c>
      <c r="D14" s="19" t="s">
        <v>70</v>
      </c>
      <c r="E14" s="148" t="s">
        <v>591</v>
      </c>
      <c r="F14" s="584" t="s">
        <v>73</v>
      </c>
      <c r="G14" s="585"/>
      <c r="H14" s="585"/>
      <c r="I14" s="586"/>
      <c r="J14" s="587" t="s">
        <v>550</v>
      </c>
      <c r="K14" s="588"/>
      <c r="L14" s="588"/>
      <c r="M14" s="589"/>
      <c r="N14" s="587" t="s">
        <v>550</v>
      </c>
      <c r="O14" s="588"/>
      <c r="P14" s="588"/>
      <c r="Q14" s="589"/>
      <c r="R14" s="587" t="s">
        <v>550</v>
      </c>
      <c r="S14" s="588"/>
      <c r="T14" s="588"/>
      <c r="U14" s="589"/>
    </row>
    <row r="15" spans="1:21" s="27" customFormat="1" ht="15.95" customHeight="1" thickBot="1" x14ac:dyDescent="0.25">
      <c r="B15" s="148"/>
      <c r="C15" s="149"/>
      <c r="D15" s="149"/>
      <c r="E15" s="149"/>
      <c r="F15" s="20" t="s">
        <v>458</v>
      </c>
      <c r="G15" s="130" t="s">
        <v>459</v>
      </c>
      <c r="H15" s="130" t="s">
        <v>460</v>
      </c>
      <c r="I15" s="131" t="s">
        <v>461</v>
      </c>
      <c r="J15" s="17" t="s">
        <v>458</v>
      </c>
      <c r="K15" s="123" t="s">
        <v>459</v>
      </c>
      <c r="L15" s="123" t="s">
        <v>460</v>
      </c>
      <c r="M15" s="150" t="s">
        <v>461</v>
      </c>
      <c r="N15" s="17" t="s">
        <v>458</v>
      </c>
      <c r="O15" s="123" t="s">
        <v>459</v>
      </c>
      <c r="P15" s="123" t="s">
        <v>460</v>
      </c>
      <c r="Q15" s="150" t="s">
        <v>461</v>
      </c>
      <c r="R15" s="17" t="s">
        <v>458</v>
      </c>
      <c r="S15" s="123" t="s">
        <v>459</v>
      </c>
      <c r="T15" s="123" t="s">
        <v>460</v>
      </c>
      <c r="U15" s="150" t="s">
        <v>461</v>
      </c>
    </row>
    <row r="16" spans="1:21" s="27" customFormat="1" ht="24" customHeight="1" thickBot="1" x14ac:dyDescent="0.25">
      <c r="B16" s="535"/>
      <c r="C16" s="536"/>
      <c r="D16" s="536"/>
      <c r="E16" s="536"/>
      <c r="F16" s="127" t="s">
        <v>40</v>
      </c>
      <c r="G16" s="128" t="s">
        <v>40</v>
      </c>
      <c r="H16" s="128" t="s">
        <v>40</v>
      </c>
      <c r="I16" s="129" t="s">
        <v>40</v>
      </c>
      <c r="J16" s="333" t="s">
        <v>40</v>
      </c>
      <c r="K16" s="421" t="s">
        <v>40</v>
      </c>
      <c r="L16" s="421" t="s">
        <v>40</v>
      </c>
      <c r="M16" s="422" t="s">
        <v>40</v>
      </c>
      <c r="N16" s="333" t="str">
        <f>IF($N$17="","","Standard")</f>
        <v/>
      </c>
      <c r="O16" s="421" t="str">
        <f t="shared" ref="O16:Q16" si="0">IF($N$17="","","Standard")</f>
        <v/>
      </c>
      <c r="P16" s="421" t="str">
        <f t="shared" si="0"/>
        <v/>
      </c>
      <c r="Q16" s="422" t="str">
        <f t="shared" si="0"/>
        <v/>
      </c>
      <c r="R16" s="333" t="str">
        <f>IF($R$17="","","Standard")</f>
        <v/>
      </c>
      <c r="S16" s="421" t="str">
        <f t="shared" ref="S16:U16" si="1">IF($R$17="","","Standard")</f>
        <v/>
      </c>
      <c r="T16" s="421" t="str">
        <f t="shared" si="1"/>
        <v/>
      </c>
      <c r="U16" s="422" t="str">
        <f t="shared" si="1"/>
        <v/>
      </c>
    </row>
    <row r="17" spans="2:21" s="28" customFormat="1" ht="18" customHeight="1" thickBot="1" x14ac:dyDescent="0.25">
      <c r="B17" s="11" t="str">
        <f>'General Set-Up'!B7</f>
        <v>KING</v>
      </c>
      <c r="C17" s="14" t="str">
        <f>IF(B17=0,"",'General Set-Up'!E7)</f>
        <v>Standard</v>
      </c>
      <c r="D17" s="15"/>
      <c r="E17" s="16"/>
      <c r="F17" s="382"/>
      <c r="G17" s="431" t="str">
        <f>IF(F17="","",F17-$E$6)</f>
        <v/>
      </c>
      <c r="H17" s="432" t="str">
        <f>IF(F17="","",F17-$E$7)</f>
        <v/>
      </c>
      <c r="I17" s="433" t="str">
        <f>IF(F17="","",F17-$E$8)</f>
        <v/>
      </c>
      <c r="J17" s="381"/>
      <c r="K17" s="434" t="str">
        <f>IF(J17="","",J17-$E$6)</f>
        <v/>
      </c>
      <c r="L17" s="434" t="str">
        <f>IF(J17="","",J17-$E$7)</f>
        <v/>
      </c>
      <c r="M17" s="435" t="str">
        <f>IF(J17="","",J17-$E$8)</f>
        <v/>
      </c>
      <c r="N17" s="381"/>
      <c r="O17" s="434" t="str">
        <f>IF(N17="","",N17-$E$6)</f>
        <v/>
      </c>
      <c r="P17" s="434" t="str">
        <f>IF(N17="","",N17-$E$7)</f>
        <v/>
      </c>
      <c r="Q17" s="435" t="str">
        <f>IF(N17="","",N17-$E$8)</f>
        <v/>
      </c>
      <c r="R17" s="381"/>
      <c r="S17" s="434" t="str">
        <f>IF(R17="","",R17-$E$6)</f>
        <v/>
      </c>
      <c r="T17" s="434" t="str">
        <f>IF(R17="","",R17-$E$7)</f>
        <v/>
      </c>
      <c r="U17" s="435" t="str">
        <f>IF(R17="","",R17-$E$8)</f>
        <v/>
      </c>
    </row>
    <row r="18" spans="2:21" s="28" customFormat="1" ht="18" customHeight="1" x14ac:dyDescent="0.2">
      <c r="B18" s="11" t="str">
        <f>'General Set-Up'!B8</f>
        <v>DBDB</v>
      </c>
      <c r="C18" s="10" t="str">
        <f>IF(B18=0,"",'General Set-Up'!E8)</f>
        <v>Standard</v>
      </c>
      <c r="D18" s="374"/>
      <c r="E18" s="375"/>
      <c r="F18" s="436" t="str">
        <f t="shared" ref="F18:I32" si="2">IF($D18="","",F$17+$D18)</f>
        <v/>
      </c>
      <c r="G18" s="437" t="str">
        <f t="shared" si="2"/>
        <v/>
      </c>
      <c r="H18" s="437" t="str">
        <f t="shared" si="2"/>
        <v/>
      </c>
      <c r="I18" s="438" t="str">
        <f t="shared" si="2"/>
        <v/>
      </c>
      <c r="J18" s="439" t="str">
        <f t="shared" ref="J18:U32" si="3">IF($D18="","",IF(J$16="standard",J$17+$D18,IF(J$16="alternate",J$17+$E18,"")))</f>
        <v/>
      </c>
      <c r="K18" s="440" t="str">
        <f t="shared" si="3"/>
        <v/>
      </c>
      <c r="L18" s="440" t="str">
        <f t="shared" si="3"/>
        <v/>
      </c>
      <c r="M18" s="441" t="str">
        <f t="shared" si="3"/>
        <v/>
      </c>
      <c r="N18" s="439" t="str">
        <f t="shared" si="3"/>
        <v/>
      </c>
      <c r="O18" s="440" t="str">
        <f t="shared" si="3"/>
        <v/>
      </c>
      <c r="P18" s="440" t="str">
        <f t="shared" si="3"/>
        <v/>
      </c>
      <c r="Q18" s="441" t="str">
        <f t="shared" si="3"/>
        <v/>
      </c>
      <c r="R18" s="439" t="str">
        <f t="shared" si="3"/>
        <v/>
      </c>
      <c r="S18" s="440" t="str">
        <f t="shared" si="3"/>
        <v/>
      </c>
      <c r="T18" s="440" t="str">
        <f t="shared" si="3"/>
        <v/>
      </c>
      <c r="U18" s="441" t="str">
        <f t="shared" si="3"/>
        <v/>
      </c>
    </row>
    <row r="19" spans="2:21" s="28" customFormat="1" ht="18" customHeight="1" x14ac:dyDescent="0.2">
      <c r="B19" s="11" t="str">
        <f>'General Set-Up'!B9</f>
        <v>PMRS</v>
      </c>
      <c r="C19" s="10" t="str">
        <f>IF(B19=0,"",'General Set-Up'!E9)</f>
        <v>Standard</v>
      </c>
      <c r="D19" s="374"/>
      <c r="E19" s="375"/>
      <c r="F19" s="442" t="str">
        <f t="shared" si="2"/>
        <v/>
      </c>
      <c r="G19" s="437" t="str">
        <f t="shared" si="2"/>
        <v/>
      </c>
      <c r="H19" s="437" t="str">
        <f t="shared" si="2"/>
        <v/>
      </c>
      <c r="I19" s="438" t="str">
        <f t="shared" si="2"/>
        <v/>
      </c>
      <c r="J19" s="439" t="str">
        <f t="shared" si="3"/>
        <v/>
      </c>
      <c r="K19" s="440" t="str">
        <f t="shared" si="3"/>
        <v/>
      </c>
      <c r="L19" s="440" t="str">
        <f t="shared" si="3"/>
        <v/>
      </c>
      <c r="M19" s="441" t="str">
        <f t="shared" si="3"/>
        <v/>
      </c>
      <c r="N19" s="439" t="str">
        <f t="shared" si="3"/>
        <v/>
      </c>
      <c r="O19" s="440" t="str">
        <f t="shared" si="3"/>
        <v/>
      </c>
      <c r="P19" s="440" t="str">
        <f t="shared" si="3"/>
        <v/>
      </c>
      <c r="Q19" s="441" t="str">
        <f t="shared" si="3"/>
        <v/>
      </c>
      <c r="R19" s="439" t="str">
        <f t="shared" si="3"/>
        <v/>
      </c>
      <c r="S19" s="440" t="str">
        <f t="shared" si="3"/>
        <v/>
      </c>
      <c r="T19" s="440" t="str">
        <f t="shared" si="3"/>
        <v/>
      </c>
      <c r="U19" s="441" t="str">
        <f t="shared" si="3"/>
        <v/>
      </c>
    </row>
    <row r="20" spans="2:21" s="28" customFormat="1" ht="18" customHeight="1" x14ac:dyDescent="0.2">
      <c r="B20" s="11" t="str">
        <f>'General Set-Up'!B10</f>
        <v>PMRS</v>
      </c>
      <c r="C20" s="10" t="str">
        <f>IF(B20=0,"",'General Set-Up'!E10)</f>
        <v>Standard</v>
      </c>
      <c r="D20" s="374"/>
      <c r="E20" s="375"/>
      <c r="F20" s="442" t="str">
        <f t="shared" si="2"/>
        <v/>
      </c>
      <c r="G20" s="437" t="str">
        <f t="shared" si="2"/>
        <v/>
      </c>
      <c r="H20" s="437" t="str">
        <f t="shared" si="2"/>
        <v/>
      </c>
      <c r="I20" s="438" t="str">
        <f t="shared" si="2"/>
        <v/>
      </c>
      <c r="J20" s="439" t="str">
        <f t="shared" si="3"/>
        <v/>
      </c>
      <c r="K20" s="440" t="str">
        <f t="shared" si="3"/>
        <v/>
      </c>
      <c r="L20" s="440" t="str">
        <f t="shared" si="3"/>
        <v/>
      </c>
      <c r="M20" s="441" t="str">
        <f t="shared" si="3"/>
        <v/>
      </c>
      <c r="N20" s="439" t="str">
        <f t="shared" si="3"/>
        <v/>
      </c>
      <c r="O20" s="440" t="str">
        <f t="shared" si="3"/>
        <v/>
      </c>
      <c r="P20" s="440" t="str">
        <f t="shared" si="3"/>
        <v/>
      </c>
      <c r="Q20" s="441" t="str">
        <f t="shared" si="3"/>
        <v/>
      </c>
      <c r="R20" s="439" t="str">
        <f t="shared" si="3"/>
        <v/>
      </c>
      <c r="S20" s="440" t="str">
        <f t="shared" si="3"/>
        <v/>
      </c>
      <c r="T20" s="440" t="str">
        <f t="shared" si="3"/>
        <v/>
      </c>
      <c r="U20" s="441" t="str">
        <f t="shared" si="3"/>
        <v/>
      </c>
    </row>
    <row r="21" spans="2:21" s="28" customFormat="1" ht="18" customHeight="1" x14ac:dyDescent="0.2">
      <c r="B21" s="11">
        <f>'General Set-Up'!B11</f>
        <v>0</v>
      </c>
      <c r="C21" s="10" t="str">
        <f>IF(B21=0,"",'General Set-Up'!E11)</f>
        <v/>
      </c>
      <c r="D21" s="374"/>
      <c r="E21" s="375"/>
      <c r="F21" s="442" t="str">
        <f t="shared" si="2"/>
        <v/>
      </c>
      <c r="G21" s="437" t="str">
        <f t="shared" si="2"/>
        <v/>
      </c>
      <c r="H21" s="437" t="str">
        <f t="shared" si="2"/>
        <v/>
      </c>
      <c r="I21" s="438" t="str">
        <f t="shared" si="2"/>
        <v/>
      </c>
      <c r="J21" s="439" t="str">
        <f t="shared" si="3"/>
        <v/>
      </c>
      <c r="K21" s="440" t="str">
        <f t="shared" si="3"/>
        <v/>
      </c>
      <c r="L21" s="440" t="str">
        <f t="shared" si="3"/>
        <v/>
      </c>
      <c r="M21" s="441" t="str">
        <f t="shared" si="3"/>
        <v/>
      </c>
      <c r="N21" s="439" t="str">
        <f t="shared" si="3"/>
        <v/>
      </c>
      <c r="O21" s="440" t="str">
        <f t="shared" si="3"/>
        <v/>
      </c>
      <c r="P21" s="440" t="str">
        <f t="shared" si="3"/>
        <v/>
      </c>
      <c r="Q21" s="441" t="str">
        <f t="shared" si="3"/>
        <v/>
      </c>
      <c r="R21" s="439" t="str">
        <f t="shared" si="3"/>
        <v/>
      </c>
      <c r="S21" s="440" t="str">
        <f t="shared" si="3"/>
        <v/>
      </c>
      <c r="T21" s="440" t="str">
        <f t="shared" si="3"/>
        <v/>
      </c>
      <c r="U21" s="441" t="str">
        <f t="shared" si="3"/>
        <v/>
      </c>
    </row>
    <row r="22" spans="2:21" s="28" customFormat="1" ht="18" customHeight="1" x14ac:dyDescent="0.2">
      <c r="B22" s="11">
        <f>'General Set-Up'!B12</f>
        <v>0</v>
      </c>
      <c r="C22" s="10" t="str">
        <f>IF(B22=0,"",'General Set-Up'!E12)</f>
        <v/>
      </c>
      <c r="D22" s="374"/>
      <c r="E22" s="375"/>
      <c r="F22" s="442" t="str">
        <f t="shared" si="2"/>
        <v/>
      </c>
      <c r="G22" s="437" t="str">
        <f t="shared" si="2"/>
        <v/>
      </c>
      <c r="H22" s="437" t="str">
        <f t="shared" si="2"/>
        <v/>
      </c>
      <c r="I22" s="438" t="str">
        <f t="shared" si="2"/>
        <v/>
      </c>
      <c r="J22" s="439" t="str">
        <f t="shared" si="3"/>
        <v/>
      </c>
      <c r="K22" s="440" t="str">
        <f t="shared" si="3"/>
        <v/>
      </c>
      <c r="L22" s="440" t="str">
        <f t="shared" si="3"/>
        <v/>
      </c>
      <c r="M22" s="441" t="str">
        <f t="shared" si="3"/>
        <v/>
      </c>
      <c r="N22" s="439" t="str">
        <f t="shared" si="3"/>
        <v/>
      </c>
      <c r="O22" s="440" t="str">
        <f t="shared" si="3"/>
        <v/>
      </c>
      <c r="P22" s="440" t="str">
        <f t="shared" si="3"/>
        <v/>
      </c>
      <c r="Q22" s="441" t="str">
        <f t="shared" si="3"/>
        <v/>
      </c>
      <c r="R22" s="439" t="str">
        <f t="shared" si="3"/>
        <v/>
      </c>
      <c r="S22" s="440" t="str">
        <f t="shared" si="3"/>
        <v/>
      </c>
      <c r="T22" s="440" t="str">
        <f t="shared" si="3"/>
        <v/>
      </c>
      <c r="U22" s="441" t="str">
        <f t="shared" si="3"/>
        <v/>
      </c>
    </row>
    <row r="23" spans="2:21" s="28" customFormat="1" ht="18" customHeight="1" x14ac:dyDescent="0.2">
      <c r="B23" s="11">
        <f>'General Set-Up'!B13</f>
        <v>0</v>
      </c>
      <c r="C23" s="10" t="str">
        <f>IF(B23=0,"",'General Set-Up'!E13)</f>
        <v/>
      </c>
      <c r="D23" s="374"/>
      <c r="E23" s="375"/>
      <c r="F23" s="442" t="str">
        <f t="shared" si="2"/>
        <v/>
      </c>
      <c r="G23" s="437" t="str">
        <f t="shared" si="2"/>
        <v/>
      </c>
      <c r="H23" s="437" t="str">
        <f t="shared" si="2"/>
        <v/>
      </c>
      <c r="I23" s="438" t="str">
        <f t="shared" si="2"/>
        <v/>
      </c>
      <c r="J23" s="439" t="str">
        <f t="shared" si="3"/>
        <v/>
      </c>
      <c r="K23" s="440" t="str">
        <f t="shared" si="3"/>
        <v/>
      </c>
      <c r="L23" s="440" t="str">
        <f t="shared" si="3"/>
        <v/>
      </c>
      <c r="M23" s="441" t="str">
        <f t="shared" si="3"/>
        <v/>
      </c>
      <c r="N23" s="439" t="str">
        <f t="shared" si="3"/>
        <v/>
      </c>
      <c r="O23" s="440" t="str">
        <f t="shared" si="3"/>
        <v/>
      </c>
      <c r="P23" s="440" t="str">
        <f t="shared" si="3"/>
        <v/>
      </c>
      <c r="Q23" s="441" t="str">
        <f t="shared" si="3"/>
        <v/>
      </c>
      <c r="R23" s="439" t="str">
        <f t="shared" si="3"/>
        <v/>
      </c>
      <c r="S23" s="440" t="str">
        <f t="shared" si="3"/>
        <v/>
      </c>
      <c r="T23" s="440" t="str">
        <f t="shared" si="3"/>
        <v/>
      </c>
      <c r="U23" s="441" t="str">
        <f t="shared" si="3"/>
        <v/>
      </c>
    </row>
    <row r="24" spans="2:21" s="28" customFormat="1" ht="18" customHeight="1" x14ac:dyDescent="0.2">
      <c r="B24" s="11">
        <f>'General Set-Up'!B14</f>
        <v>0</v>
      </c>
      <c r="C24" s="10" t="str">
        <f>IF(B24=0,"",'General Set-Up'!E14)</f>
        <v/>
      </c>
      <c r="D24" s="374"/>
      <c r="E24" s="375"/>
      <c r="F24" s="442" t="str">
        <f t="shared" si="2"/>
        <v/>
      </c>
      <c r="G24" s="437" t="str">
        <f t="shared" si="2"/>
        <v/>
      </c>
      <c r="H24" s="437" t="str">
        <f t="shared" si="2"/>
        <v/>
      </c>
      <c r="I24" s="438" t="str">
        <f t="shared" si="2"/>
        <v/>
      </c>
      <c r="J24" s="439" t="str">
        <f t="shared" si="3"/>
        <v/>
      </c>
      <c r="K24" s="440" t="str">
        <f t="shared" si="3"/>
        <v/>
      </c>
      <c r="L24" s="440" t="str">
        <f t="shared" si="3"/>
        <v/>
      </c>
      <c r="M24" s="441" t="str">
        <f t="shared" si="3"/>
        <v/>
      </c>
      <c r="N24" s="439" t="str">
        <f t="shared" si="3"/>
        <v/>
      </c>
      <c r="O24" s="440" t="str">
        <f t="shared" si="3"/>
        <v/>
      </c>
      <c r="P24" s="440" t="str">
        <f t="shared" si="3"/>
        <v/>
      </c>
      <c r="Q24" s="441" t="str">
        <f t="shared" si="3"/>
        <v/>
      </c>
      <c r="R24" s="439" t="str">
        <f t="shared" si="3"/>
        <v/>
      </c>
      <c r="S24" s="440" t="str">
        <f t="shared" si="3"/>
        <v/>
      </c>
      <c r="T24" s="440" t="str">
        <f t="shared" si="3"/>
        <v/>
      </c>
      <c r="U24" s="441" t="str">
        <f t="shared" si="3"/>
        <v/>
      </c>
    </row>
    <row r="25" spans="2:21" s="28" customFormat="1" ht="18" customHeight="1" x14ac:dyDescent="0.2">
      <c r="B25" s="11">
        <f>'General Set-Up'!B15</f>
        <v>0</v>
      </c>
      <c r="C25" s="10" t="str">
        <f>IF(B25=0,"",'General Set-Up'!E15)</f>
        <v/>
      </c>
      <c r="D25" s="374"/>
      <c r="E25" s="375"/>
      <c r="F25" s="442" t="str">
        <f t="shared" si="2"/>
        <v/>
      </c>
      <c r="G25" s="437" t="str">
        <f t="shared" si="2"/>
        <v/>
      </c>
      <c r="H25" s="437" t="str">
        <f t="shared" si="2"/>
        <v/>
      </c>
      <c r="I25" s="438" t="str">
        <f t="shared" si="2"/>
        <v/>
      </c>
      <c r="J25" s="439" t="str">
        <f t="shared" si="3"/>
        <v/>
      </c>
      <c r="K25" s="440" t="str">
        <f t="shared" si="3"/>
        <v/>
      </c>
      <c r="L25" s="440" t="str">
        <f t="shared" si="3"/>
        <v/>
      </c>
      <c r="M25" s="441" t="str">
        <f t="shared" si="3"/>
        <v/>
      </c>
      <c r="N25" s="439" t="str">
        <f t="shared" si="3"/>
        <v/>
      </c>
      <c r="O25" s="440" t="str">
        <f t="shared" si="3"/>
        <v/>
      </c>
      <c r="P25" s="440" t="str">
        <f t="shared" si="3"/>
        <v/>
      </c>
      <c r="Q25" s="441" t="str">
        <f t="shared" si="3"/>
        <v/>
      </c>
      <c r="R25" s="439" t="str">
        <f t="shared" si="3"/>
        <v/>
      </c>
      <c r="S25" s="440" t="str">
        <f t="shared" si="3"/>
        <v/>
      </c>
      <c r="T25" s="440" t="str">
        <f t="shared" si="3"/>
        <v/>
      </c>
      <c r="U25" s="441" t="str">
        <f t="shared" si="3"/>
        <v/>
      </c>
    </row>
    <row r="26" spans="2:21" s="28" customFormat="1" ht="18" customHeight="1" x14ac:dyDescent="0.2">
      <c r="B26" s="11">
        <f>'General Set-Up'!B16</f>
        <v>0</v>
      </c>
      <c r="C26" s="10" t="str">
        <f>IF(B26=0,"",'General Set-Up'!E16)</f>
        <v/>
      </c>
      <c r="D26" s="374"/>
      <c r="E26" s="375"/>
      <c r="F26" s="442" t="str">
        <f t="shared" si="2"/>
        <v/>
      </c>
      <c r="G26" s="437" t="str">
        <f t="shared" si="2"/>
        <v/>
      </c>
      <c r="H26" s="437" t="str">
        <f t="shared" si="2"/>
        <v/>
      </c>
      <c r="I26" s="438" t="str">
        <f t="shared" si="2"/>
        <v/>
      </c>
      <c r="J26" s="439" t="str">
        <f t="shared" si="3"/>
        <v/>
      </c>
      <c r="K26" s="440" t="str">
        <f t="shared" si="3"/>
        <v/>
      </c>
      <c r="L26" s="440" t="str">
        <f t="shared" si="3"/>
        <v/>
      </c>
      <c r="M26" s="441" t="str">
        <f t="shared" si="3"/>
        <v/>
      </c>
      <c r="N26" s="439" t="str">
        <f t="shared" si="3"/>
        <v/>
      </c>
      <c r="O26" s="440" t="str">
        <f t="shared" si="3"/>
        <v/>
      </c>
      <c r="P26" s="440" t="str">
        <f t="shared" si="3"/>
        <v/>
      </c>
      <c r="Q26" s="441" t="str">
        <f t="shared" si="3"/>
        <v/>
      </c>
      <c r="R26" s="439" t="str">
        <f t="shared" si="3"/>
        <v/>
      </c>
      <c r="S26" s="440" t="str">
        <f t="shared" si="3"/>
        <v/>
      </c>
      <c r="T26" s="440" t="str">
        <f t="shared" si="3"/>
        <v/>
      </c>
      <c r="U26" s="441" t="str">
        <f t="shared" si="3"/>
        <v/>
      </c>
    </row>
    <row r="27" spans="2:21" s="28" customFormat="1" ht="18" customHeight="1" x14ac:dyDescent="0.2">
      <c r="B27" s="11">
        <f>'General Set-Up'!B17</f>
        <v>0</v>
      </c>
      <c r="C27" s="10" t="str">
        <f>IF(B27=0,"",'General Set-Up'!E17)</f>
        <v/>
      </c>
      <c r="D27" s="374"/>
      <c r="E27" s="375"/>
      <c r="F27" s="442" t="str">
        <f t="shared" si="2"/>
        <v/>
      </c>
      <c r="G27" s="437" t="str">
        <f t="shared" si="2"/>
        <v/>
      </c>
      <c r="H27" s="437" t="str">
        <f t="shared" si="2"/>
        <v/>
      </c>
      <c r="I27" s="438" t="str">
        <f t="shared" si="2"/>
        <v/>
      </c>
      <c r="J27" s="439" t="str">
        <f t="shared" si="3"/>
        <v/>
      </c>
      <c r="K27" s="440" t="str">
        <f t="shared" si="3"/>
        <v/>
      </c>
      <c r="L27" s="440" t="str">
        <f t="shared" si="3"/>
        <v/>
      </c>
      <c r="M27" s="441" t="str">
        <f t="shared" si="3"/>
        <v/>
      </c>
      <c r="N27" s="439" t="str">
        <f t="shared" si="3"/>
        <v/>
      </c>
      <c r="O27" s="440" t="str">
        <f t="shared" si="3"/>
        <v/>
      </c>
      <c r="P27" s="440" t="str">
        <f t="shared" si="3"/>
        <v/>
      </c>
      <c r="Q27" s="441" t="str">
        <f t="shared" si="3"/>
        <v/>
      </c>
      <c r="R27" s="439" t="str">
        <f t="shared" si="3"/>
        <v/>
      </c>
      <c r="S27" s="440" t="str">
        <f t="shared" si="3"/>
        <v/>
      </c>
      <c r="T27" s="440" t="str">
        <f t="shared" si="3"/>
        <v/>
      </c>
      <c r="U27" s="441" t="str">
        <f t="shared" si="3"/>
        <v/>
      </c>
    </row>
    <row r="28" spans="2:21" s="28" customFormat="1" ht="18" customHeight="1" x14ac:dyDescent="0.2">
      <c r="B28" s="11">
        <f>'General Set-Up'!B18</f>
        <v>0</v>
      </c>
      <c r="C28" s="10" t="str">
        <f>IF(B28=0,"",'General Set-Up'!E18)</f>
        <v/>
      </c>
      <c r="D28" s="374"/>
      <c r="E28" s="375"/>
      <c r="F28" s="442" t="str">
        <f t="shared" si="2"/>
        <v/>
      </c>
      <c r="G28" s="437" t="str">
        <f t="shared" si="2"/>
        <v/>
      </c>
      <c r="H28" s="437" t="str">
        <f t="shared" si="2"/>
        <v/>
      </c>
      <c r="I28" s="438" t="str">
        <f t="shared" si="2"/>
        <v/>
      </c>
      <c r="J28" s="439" t="str">
        <f t="shared" si="3"/>
        <v/>
      </c>
      <c r="K28" s="440" t="str">
        <f t="shared" si="3"/>
        <v/>
      </c>
      <c r="L28" s="440" t="str">
        <f t="shared" si="3"/>
        <v/>
      </c>
      <c r="M28" s="441" t="str">
        <f t="shared" si="3"/>
        <v/>
      </c>
      <c r="N28" s="439" t="str">
        <f t="shared" si="3"/>
        <v/>
      </c>
      <c r="O28" s="440" t="str">
        <f t="shared" si="3"/>
        <v/>
      </c>
      <c r="P28" s="440" t="str">
        <f t="shared" si="3"/>
        <v/>
      </c>
      <c r="Q28" s="441" t="str">
        <f t="shared" si="3"/>
        <v/>
      </c>
      <c r="R28" s="439" t="str">
        <f t="shared" si="3"/>
        <v/>
      </c>
      <c r="S28" s="440" t="str">
        <f t="shared" si="3"/>
        <v/>
      </c>
      <c r="T28" s="440" t="str">
        <f t="shared" si="3"/>
        <v/>
      </c>
      <c r="U28" s="441" t="str">
        <f t="shared" si="3"/>
        <v/>
      </c>
    </row>
    <row r="29" spans="2:21" s="28" customFormat="1" ht="18" customHeight="1" x14ac:dyDescent="0.2">
      <c r="B29" s="11">
        <f>'General Set-Up'!B19</f>
        <v>0</v>
      </c>
      <c r="C29" s="10" t="str">
        <f>IF(B29=0,"",'General Set-Up'!E19)</f>
        <v/>
      </c>
      <c r="D29" s="374"/>
      <c r="E29" s="375"/>
      <c r="F29" s="442" t="str">
        <f t="shared" si="2"/>
        <v/>
      </c>
      <c r="G29" s="437" t="str">
        <f t="shared" si="2"/>
        <v/>
      </c>
      <c r="H29" s="437" t="str">
        <f t="shared" si="2"/>
        <v/>
      </c>
      <c r="I29" s="438" t="str">
        <f t="shared" si="2"/>
        <v/>
      </c>
      <c r="J29" s="439" t="str">
        <f t="shared" si="3"/>
        <v/>
      </c>
      <c r="K29" s="440" t="str">
        <f t="shared" si="3"/>
        <v/>
      </c>
      <c r="L29" s="440" t="str">
        <f t="shared" si="3"/>
        <v/>
      </c>
      <c r="M29" s="441" t="str">
        <f t="shared" si="3"/>
        <v/>
      </c>
      <c r="N29" s="439" t="str">
        <f t="shared" si="3"/>
        <v/>
      </c>
      <c r="O29" s="440" t="str">
        <f t="shared" si="3"/>
        <v/>
      </c>
      <c r="P29" s="440" t="str">
        <f t="shared" si="3"/>
        <v/>
      </c>
      <c r="Q29" s="441" t="str">
        <f t="shared" si="3"/>
        <v/>
      </c>
      <c r="R29" s="439" t="str">
        <f t="shared" si="3"/>
        <v/>
      </c>
      <c r="S29" s="440" t="str">
        <f t="shared" si="3"/>
        <v/>
      </c>
      <c r="T29" s="440" t="str">
        <f t="shared" si="3"/>
        <v/>
      </c>
      <c r="U29" s="441" t="str">
        <f t="shared" si="3"/>
        <v/>
      </c>
    </row>
    <row r="30" spans="2:21" s="28" customFormat="1" ht="18" customHeight="1" x14ac:dyDescent="0.2">
      <c r="B30" s="11">
        <f>'General Set-Up'!B20</f>
        <v>0</v>
      </c>
      <c r="C30" s="10" t="str">
        <f>IF(B30=0,"",'General Set-Up'!E20)</f>
        <v/>
      </c>
      <c r="D30" s="374"/>
      <c r="E30" s="375"/>
      <c r="F30" s="442" t="str">
        <f t="shared" si="2"/>
        <v/>
      </c>
      <c r="G30" s="437" t="str">
        <f t="shared" si="2"/>
        <v/>
      </c>
      <c r="H30" s="437" t="str">
        <f t="shared" si="2"/>
        <v/>
      </c>
      <c r="I30" s="438" t="str">
        <f t="shared" si="2"/>
        <v/>
      </c>
      <c r="J30" s="439" t="str">
        <f t="shared" si="3"/>
        <v/>
      </c>
      <c r="K30" s="440" t="str">
        <f t="shared" si="3"/>
        <v/>
      </c>
      <c r="L30" s="440" t="str">
        <f t="shared" si="3"/>
        <v/>
      </c>
      <c r="M30" s="441" t="str">
        <f t="shared" si="3"/>
        <v/>
      </c>
      <c r="N30" s="439" t="str">
        <f t="shared" si="3"/>
        <v/>
      </c>
      <c r="O30" s="440" t="str">
        <f t="shared" si="3"/>
        <v/>
      </c>
      <c r="P30" s="440" t="str">
        <f t="shared" si="3"/>
        <v/>
      </c>
      <c r="Q30" s="441" t="str">
        <f t="shared" si="3"/>
        <v/>
      </c>
      <c r="R30" s="439" t="str">
        <f t="shared" si="3"/>
        <v/>
      </c>
      <c r="S30" s="440" t="str">
        <f t="shared" si="3"/>
        <v/>
      </c>
      <c r="T30" s="440" t="str">
        <f t="shared" si="3"/>
        <v/>
      </c>
      <c r="U30" s="441" t="str">
        <f t="shared" si="3"/>
        <v/>
      </c>
    </row>
    <row r="31" spans="2:21" s="28" customFormat="1" ht="18" customHeight="1" x14ac:dyDescent="0.2">
      <c r="B31" s="11">
        <f>'General Set-Up'!B21</f>
        <v>0</v>
      </c>
      <c r="C31" s="10" t="str">
        <f>IF(B31=0,"",'General Set-Up'!E21)</f>
        <v/>
      </c>
      <c r="D31" s="374"/>
      <c r="E31" s="375"/>
      <c r="F31" s="442" t="str">
        <f t="shared" si="2"/>
        <v/>
      </c>
      <c r="G31" s="437" t="str">
        <f t="shared" si="2"/>
        <v/>
      </c>
      <c r="H31" s="437" t="str">
        <f t="shared" si="2"/>
        <v/>
      </c>
      <c r="I31" s="438" t="str">
        <f t="shared" si="2"/>
        <v/>
      </c>
      <c r="J31" s="439" t="str">
        <f t="shared" si="3"/>
        <v/>
      </c>
      <c r="K31" s="440" t="str">
        <f t="shared" si="3"/>
        <v/>
      </c>
      <c r="L31" s="440" t="str">
        <f t="shared" si="3"/>
        <v/>
      </c>
      <c r="M31" s="441" t="str">
        <f t="shared" si="3"/>
        <v/>
      </c>
      <c r="N31" s="439" t="str">
        <f t="shared" si="3"/>
        <v/>
      </c>
      <c r="O31" s="440" t="str">
        <f t="shared" si="3"/>
        <v/>
      </c>
      <c r="P31" s="440" t="str">
        <f t="shared" si="3"/>
        <v/>
      </c>
      <c r="Q31" s="441" t="str">
        <f t="shared" si="3"/>
        <v/>
      </c>
      <c r="R31" s="439" t="str">
        <f t="shared" si="3"/>
        <v/>
      </c>
      <c r="S31" s="440" t="str">
        <f t="shared" si="3"/>
        <v/>
      </c>
      <c r="T31" s="440" t="str">
        <f t="shared" si="3"/>
        <v/>
      </c>
      <c r="U31" s="441" t="str">
        <f t="shared" si="3"/>
        <v/>
      </c>
    </row>
    <row r="32" spans="2:21" s="28" customFormat="1" ht="18" customHeight="1" thickBot="1" x14ac:dyDescent="0.25">
      <c r="B32" s="12">
        <f>'General Set-Up'!B22</f>
        <v>0</v>
      </c>
      <c r="C32" s="13" t="str">
        <f>IF(B32=0,"",'General Set-Up'!E22)</f>
        <v/>
      </c>
      <c r="D32" s="376"/>
      <c r="E32" s="377"/>
      <c r="F32" s="443" t="str">
        <f t="shared" si="2"/>
        <v/>
      </c>
      <c r="G32" s="444" t="str">
        <f t="shared" si="2"/>
        <v/>
      </c>
      <c r="H32" s="444" t="str">
        <f t="shared" si="2"/>
        <v/>
      </c>
      <c r="I32" s="445" t="str">
        <f t="shared" si="2"/>
        <v/>
      </c>
      <c r="J32" s="446" t="str">
        <f t="shared" si="3"/>
        <v/>
      </c>
      <c r="K32" s="447" t="str">
        <f t="shared" si="3"/>
        <v/>
      </c>
      <c r="L32" s="447" t="str">
        <f t="shared" si="3"/>
        <v/>
      </c>
      <c r="M32" s="448" t="str">
        <f t="shared" si="3"/>
        <v/>
      </c>
      <c r="N32" s="446" t="str">
        <f t="shared" si="3"/>
        <v/>
      </c>
      <c r="O32" s="447" t="str">
        <f t="shared" si="3"/>
        <v/>
      </c>
      <c r="P32" s="447" t="str">
        <f t="shared" si="3"/>
        <v/>
      </c>
      <c r="Q32" s="448" t="str">
        <f t="shared" si="3"/>
        <v/>
      </c>
      <c r="R32" s="446" t="str">
        <f t="shared" si="3"/>
        <v/>
      </c>
      <c r="S32" s="447" t="str">
        <f t="shared" si="3"/>
        <v/>
      </c>
      <c r="T32" s="447" t="str">
        <f t="shared" si="3"/>
        <v/>
      </c>
      <c r="U32" s="448" t="str">
        <f t="shared" si="3"/>
        <v/>
      </c>
    </row>
    <row r="34" spans="1:21" x14ac:dyDescent="0.2">
      <c r="D34" s="34" t="s">
        <v>381</v>
      </c>
    </row>
    <row r="35" spans="1:21" ht="18" x14ac:dyDescent="0.25">
      <c r="A35" s="34" t="s">
        <v>371</v>
      </c>
      <c r="B35" s="41" t="s">
        <v>405</v>
      </c>
      <c r="D35" s="57" t="s">
        <v>379</v>
      </c>
      <c r="E35" s="57" t="s">
        <v>380</v>
      </c>
      <c r="F35" s="57"/>
      <c r="G35" s="42"/>
      <c r="H35" s="42"/>
      <c r="I35" s="42"/>
      <c r="J35" s="42"/>
      <c r="K35" s="42"/>
    </row>
    <row r="37" spans="1:21" x14ac:dyDescent="0.2">
      <c r="A37" s="34" t="s">
        <v>382</v>
      </c>
      <c r="B37" s="6" t="s">
        <v>76</v>
      </c>
      <c r="D37" s="62" t="s">
        <v>406</v>
      </c>
      <c r="E37" s="58"/>
      <c r="F37" s="58"/>
    </row>
    <row r="38" spans="1:21" x14ac:dyDescent="0.2">
      <c r="B38" s="6"/>
    </row>
    <row r="39" spans="1:21" x14ac:dyDescent="0.2">
      <c r="B39" s="132" t="s">
        <v>466</v>
      </c>
      <c r="C39" s="132"/>
    </row>
    <row r="40" spans="1:21" x14ac:dyDescent="0.2">
      <c r="B40" s="30" t="s">
        <v>102</v>
      </c>
    </row>
    <row r="41" spans="1:21" ht="13.5" thickBot="1" x14ac:dyDescent="0.25">
      <c r="B41" s="34" t="s">
        <v>385</v>
      </c>
    </row>
    <row r="42" spans="1:21" ht="54.75" customHeight="1" thickBot="1" x14ac:dyDescent="0.25">
      <c r="B42" s="24" t="str">
        <f>B14</f>
        <v>Room Pool</v>
      </c>
      <c r="C42" s="23" t="str">
        <f>C14</f>
        <v>Room Pool Classification</v>
      </c>
      <c r="D42" s="25" t="str">
        <f>D14</f>
        <v>Standard Supplement</v>
      </c>
      <c r="E42" s="26" t="str">
        <f>E14</f>
        <v>Alternate Supplement</v>
      </c>
      <c r="F42" s="20" t="str">
        <f>F14</f>
        <v>Default Rates</v>
      </c>
      <c r="G42" s="333" t="s">
        <v>69</v>
      </c>
      <c r="H42" s="334" t="s">
        <v>69</v>
      </c>
      <c r="I42" s="334" t="s">
        <v>69</v>
      </c>
      <c r="J42" s="334" t="s">
        <v>69</v>
      </c>
      <c r="K42" s="334" t="s">
        <v>69</v>
      </c>
      <c r="L42" s="334" t="s">
        <v>69</v>
      </c>
      <c r="M42" s="334" t="s">
        <v>69</v>
      </c>
      <c r="N42" s="334" t="s">
        <v>69</v>
      </c>
      <c r="O42" s="334" t="s">
        <v>69</v>
      </c>
      <c r="P42" s="334" t="s">
        <v>69</v>
      </c>
      <c r="Q42" s="334" t="s">
        <v>69</v>
      </c>
      <c r="R42" s="334" t="s">
        <v>69</v>
      </c>
      <c r="S42" s="334" t="s">
        <v>69</v>
      </c>
      <c r="T42" s="334" t="s">
        <v>69</v>
      </c>
      <c r="U42" s="335" t="s">
        <v>69</v>
      </c>
    </row>
    <row r="43" spans="1:21" ht="21.75" customHeight="1" thickBot="1" x14ac:dyDescent="0.25">
      <c r="B43" s="31"/>
      <c r="C43" s="32"/>
      <c r="D43" s="538"/>
      <c r="E43" s="539"/>
      <c r="F43" s="21" t="str">
        <f>F16</f>
        <v>Standard</v>
      </c>
      <c r="G43" s="333"/>
      <c r="H43" s="334"/>
      <c r="I43" s="334"/>
      <c r="J43" s="334"/>
      <c r="K43" s="334"/>
      <c r="L43" s="334"/>
      <c r="M43" s="334"/>
      <c r="N43" s="334"/>
      <c r="O43" s="334"/>
      <c r="P43" s="334"/>
      <c r="Q43" s="334"/>
      <c r="R43" s="334"/>
      <c r="S43" s="334"/>
      <c r="T43" s="334"/>
      <c r="U43" s="335"/>
    </row>
    <row r="44" spans="1:21" ht="18" customHeight="1" thickBot="1" x14ac:dyDescent="0.25">
      <c r="B44" s="11" t="str">
        <f t="shared" ref="B44:C59" si="4">B17</f>
        <v>KING</v>
      </c>
      <c r="C44" s="14" t="str">
        <f t="shared" si="4"/>
        <v>Standard</v>
      </c>
      <c r="D44" s="15"/>
      <c r="E44" s="16"/>
      <c r="F44" s="382"/>
      <c r="G44" s="378"/>
      <c r="H44" s="379"/>
      <c r="I44" s="379"/>
      <c r="J44" s="379"/>
      <c r="K44" s="379"/>
      <c r="L44" s="379"/>
      <c r="M44" s="379"/>
      <c r="N44" s="379"/>
      <c r="O44" s="379"/>
      <c r="P44" s="379"/>
      <c r="Q44" s="379"/>
      <c r="R44" s="379"/>
      <c r="S44" s="379"/>
      <c r="T44" s="379"/>
      <c r="U44" s="380"/>
    </row>
    <row r="45" spans="1:21" ht="18" customHeight="1" x14ac:dyDescent="0.2">
      <c r="B45" s="11" t="str">
        <f t="shared" si="4"/>
        <v>DBDB</v>
      </c>
      <c r="C45" s="10" t="str">
        <f t="shared" si="4"/>
        <v>Standard</v>
      </c>
      <c r="D45" s="385" t="str">
        <f>IF(D18="","",D18)</f>
        <v/>
      </c>
      <c r="E45" s="386" t="str">
        <f>IF(E18="","",E18)</f>
        <v/>
      </c>
      <c r="F45" s="428" t="str">
        <f>IF($D45="","",F$44+$D45)</f>
        <v/>
      </c>
      <c r="G45" s="449" t="str">
        <f t="shared" ref="G45:U59" si="5">IF($D45="","",IF(G$43="standard",G$44+$D45,IF(G$43="alternate",G$44+$E45,"")))</f>
        <v/>
      </c>
      <c r="H45" s="450" t="str">
        <f t="shared" si="5"/>
        <v/>
      </c>
      <c r="I45" s="450" t="str">
        <f t="shared" si="5"/>
        <v/>
      </c>
      <c r="J45" s="450" t="str">
        <f t="shared" si="5"/>
        <v/>
      </c>
      <c r="K45" s="450" t="str">
        <f t="shared" si="5"/>
        <v/>
      </c>
      <c r="L45" s="450" t="str">
        <f t="shared" si="5"/>
        <v/>
      </c>
      <c r="M45" s="450" t="str">
        <f t="shared" si="5"/>
        <v/>
      </c>
      <c r="N45" s="450" t="str">
        <f t="shared" si="5"/>
        <v/>
      </c>
      <c r="O45" s="450" t="str">
        <f t="shared" si="5"/>
        <v/>
      </c>
      <c r="P45" s="450" t="str">
        <f t="shared" si="5"/>
        <v/>
      </c>
      <c r="Q45" s="450" t="str">
        <f t="shared" si="5"/>
        <v/>
      </c>
      <c r="R45" s="450" t="str">
        <f t="shared" si="5"/>
        <v/>
      </c>
      <c r="S45" s="450" t="str">
        <f t="shared" si="5"/>
        <v/>
      </c>
      <c r="T45" s="450" t="str">
        <f t="shared" si="5"/>
        <v/>
      </c>
      <c r="U45" s="451" t="str">
        <f t="shared" si="5"/>
        <v/>
      </c>
    </row>
    <row r="46" spans="1:21" ht="18" customHeight="1" x14ac:dyDescent="0.2">
      <c r="B46" s="11" t="str">
        <f t="shared" si="4"/>
        <v>PMRS</v>
      </c>
      <c r="C46" s="10" t="str">
        <f t="shared" si="4"/>
        <v>Standard</v>
      </c>
      <c r="D46" s="385" t="str">
        <f t="shared" ref="D46:E59" si="6">IF(D19="","",D19)</f>
        <v/>
      </c>
      <c r="E46" s="386" t="str">
        <f t="shared" si="6"/>
        <v/>
      </c>
      <c r="F46" s="429" t="str">
        <f t="shared" ref="F46:F59" si="7">IF($D46="","",F$44+$D46)</f>
        <v/>
      </c>
      <c r="G46" s="452" t="str">
        <f t="shared" si="5"/>
        <v/>
      </c>
      <c r="H46" s="450" t="str">
        <f t="shared" si="5"/>
        <v/>
      </c>
      <c r="I46" s="450" t="str">
        <f t="shared" si="5"/>
        <v/>
      </c>
      <c r="J46" s="450" t="str">
        <f t="shared" si="5"/>
        <v/>
      </c>
      <c r="K46" s="450" t="str">
        <f t="shared" si="5"/>
        <v/>
      </c>
      <c r="L46" s="450" t="str">
        <f t="shared" si="5"/>
        <v/>
      </c>
      <c r="M46" s="450" t="str">
        <f t="shared" si="5"/>
        <v/>
      </c>
      <c r="N46" s="450" t="str">
        <f t="shared" si="5"/>
        <v/>
      </c>
      <c r="O46" s="450" t="str">
        <f t="shared" si="5"/>
        <v/>
      </c>
      <c r="P46" s="450" t="str">
        <f t="shared" si="5"/>
        <v/>
      </c>
      <c r="Q46" s="450" t="str">
        <f t="shared" si="5"/>
        <v/>
      </c>
      <c r="R46" s="450" t="str">
        <f t="shared" si="5"/>
        <v/>
      </c>
      <c r="S46" s="450" t="str">
        <f t="shared" si="5"/>
        <v/>
      </c>
      <c r="T46" s="450" t="str">
        <f t="shared" si="5"/>
        <v/>
      </c>
      <c r="U46" s="451" t="str">
        <f t="shared" si="5"/>
        <v/>
      </c>
    </row>
    <row r="47" spans="1:21" ht="18" customHeight="1" x14ac:dyDescent="0.2">
      <c r="B47" s="11" t="str">
        <f t="shared" si="4"/>
        <v>PMRS</v>
      </c>
      <c r="C47" s="10" t="str">
        <f t="shared" si="4"/>
        <v>Standard</v>
      </c>
      <c r="D47" s="385" t="str">
        <f t="shared" si="6"/>
        <v/>
      </c>
      <c r="E47" s="386" t="str">
        <f t="shared" si="6"/>
        <v/>
      </c>
      <c r="F47" s="429" t="str">
        <f t="shared" si="7"/>
        <v/>
      </c>
      <c r="G47" s="452" t="str">
        <f t="shared" si="5"/>
        <v/>
      </c>
      <c r="H47" s="450" t="str">
        <f t="shared" si="5"/>
        <v/>
      </c>
      <c r="I47" s="450" t="str">
        <f t="shared" si="5"/>
        <v/>
      </c>
      <c r="J47" s="450" t="str">
        <f t="shared" si="5"/>
        <v/>
      </c>
      <c r="K47" s="450" t="str">
        <f t="shared" si="5"/>
        <v/>
      </c>
      <c r="L47" s="450" t="str">
        <f t="shared" si="5"/>
        <v/>
      </c>
      <c r="M47" s="450" t="str">
        <f t="shared" si="5"/>
        <v/>
      </c>
      <c r="N47" s="450" t="str">
        <f t="shared" si="5"/>
        <v/>
      </c>
      <c r="O47" s="450" t="str">
        <f t="shared" si="5"/>
        <v/>
      </c>
      <c r="P47" s="450" t="str">
        <f t="shared" si="5"/>
        <v/>
      </c>
      <c r="Q47" s="450" t="str">
        <f t="shared" si="5"/>
        <v/>
      </c>
      <c r="R47" s="450" t="str">
        <f t="shared" si="5"/>
        <v/>
      </c>
      <c r="S47" s="450" t="str">
        <f t="shared" si="5"/>
        <v/>
      </c>
      <c r="T47" s="450" t="str">
        <f t="shared" si="5"/>
        <v/>
      </c>
      <c r="U47" s="451" t="str">
        <f t="shared" si="5"/>
        <v/>
      </c>
    </row>
    <row r="48" spans="1:21" ht="18" customHeight="1" x14ac:dyDescent="0.2">
      <c r="B48" s="11">
        <f t="shared" si="4"/>
        <v>0</v>
      </c>
      <c r="C48" s="10" t="str">
        <f t="shared" si="4"/>
        <v/>
      </c>
      <c r="D48" s="385" t="str">
        <f t="shared" si="6"/>
        <v/>
      </c>
      <c r="E48" s="386" t="str">
        <f t="shared" si="6"/>
        <v/>
      </c>
      <c r="F48" s="429" t="str">
        <f t="shared" si="7"/>
        <v/>
      </c>
      <c r="G48" s="452" t="str">
        <f t="shared" si="5"/>
        <v/>
      </c>
      <c r="H48" s="450" t="str">
        <f t="shared" si="5"/>
        <v/>
      </c>
      <c r="I48" s="450" t="str">
        <f t="shared" si="5"/>
        <v/>
      </c>
      <c r="J48" s="450" t="str">
        <f t="shared" si="5"/>
        <v/>
      </c>
      <c r="K48" s="450" t="str">
        <f t="shared" si="5"/>
        <v/>
      </c>
      <c r="L48" s="450" t="str">
        <f t="shared" si="5"/>
        <v/>
      </c>
      <c r="M48" s="450" t="str">
        <f t="shared" si="5"/>
        <v/>
      </c>
      <c r="N48" s="450" t="str">
        <f t="shared" si="5"/>
        <v/>
      </c>
      <c r="O48" s="450" t="str">
        <f t="shared" si="5"/>
        <v/>
      </c>
      <c r="P48" s="450" t="str">
        <f t="shared" si="5"/>
        <v/>
      </c>
      <c r="Q48" s="450" t="str">
        <f t="shared" si="5"/>
        <v/>
      </c>
      <c r="R48" s="450" t="str">
        <f t="shared" si="5"/>
        <v/>
      </c>
      <c r="S48" s="450" t="str">
        <f t="shared" si="5"/>
        <v/>
      </c>
      <c r="T48" s="450" t="str">
        <f t="shared" si="5"/>
        <v/>
      </c>
      <c r="U48" s="451" t="str">
        <f t="shared" si="5"/>
        <v/>
      </c>
    </row>
    <row r="49" spans="1:23" ht="18" customHeight="1" x14ac:dyDescent="0.2">
      <c r="B49" s="11">
        <f t="shared" si="4"/>
        <v>0</v>
      </c>
      <c r="C49" s="10" t="str">
        <f t="shared" si="4"/>
        <v/>
      </c>
      <c r="D49" s="385" t="str">
        <f t="shared" si="6"/>
        <v/>
      </c>
      <c r="E49" s="386" t="str">
        <f t="shared" si="6"/>
        <v/>
      </c>
      <c r="F49" s="429" t="str">
        <f t="shared" si="7"/>
        <v/>
      </c>
      <c r="G49" s="452" t="str">
        <f t="shared" si="5"/>
        <v/>
      </c>
      <c r="H49" s="450" t="str">
        <f t="shared" si="5"/>
        <v/>
      </c>
      <c r="I49" s="450" t="str">
        <f t="shared" si="5"/>
        <v/>
      </c>
      <c r="J49" s="450" t="str">
        <f t="shared" si="5"/>
        <v/>
      </c>
      <c r="K49" s="450" t="str">
        <f t="shared" si="5"/>
        <v/>
      </c>
      <c r="L49" s="450" t="str">
        <f t="shared" si="5"/>
        <v/>
      </c>
      <c r="M49" s="450" t="str">
        <f t="shared" si="5"/>
        <v/>
      </c>
      <c r="N49" s="450" t="str">
        <f t="shared" si="5"/>
        <v/>
      </c>
      <c r="O49" s="450" t="str">
        <f t="shared" si="5"/>
        <v/>
      </c>
      <c r="P49" s="450" t="str">
        <f t="shared" si="5"/>
        <v/>
      </c>
      <c r="Q49" s="450" t="str">
        <f t="shared" si="5"/>
        <v/>
      </c>
      <c r="R49" s="450" t="str">
        <f t="shared" si="5"/>
        <v/>
      </c>
      <c r="S49" s="450" t="str">
        <f t="shared" si="5"/>
        <v/>
      </c>
      <c r="T49" s="450" t="str">
        <f t="shared" si="5"/>
        <v/>
      </c>
      <c r="U49" s="451" t="str">
        <f t="shared" si="5"/>
        <v/>
      </c>
    </row>
    <row r="50" spans="1:23" ht="18" customHeight="1" x14ac:dyDescent="0.2">
      <c r="B50" s="11">
        <f t="shared" si="4"/>
        <v>0</v>
      </c>
      <c r="C50" s="10" t="str">
        <f t="shared" si="4"/>
        <v/>
      </c>
      <c r="D50" s="385" t="str">
        <f>IF(D23="","",D23)</f>
        <v/>
      </c>
      <c r="E50" s="386" t="str">
        <f t="shared" si="6"/>
        <v/>
      </c>
      <c r="F50" s="429" t="str">
        <f t="shared" si="7"/>
        <v/>
      </c>
      <c r="G50" s="452" t="str">
        <f t="shared" si="5"/>
        <v/>
      </c>
      <c r="H50" s="450" t="str">
        <f t="shared" si="5"/>
        <v/>
      </c>
      <c r="I50" s="450" t="str">
        <f t="shared" si="5"/>
        <v/>
      </c>
      <c r="J50" s="450" t="str">
        <f t="shared" si="5"/>
        <v/>
      </c>
      <c r="K50" s="450" t="str">
        <f t="shared" si="5"/>
        <v/>
      </c>
      <c r="L50" s="450" t="str">
        <f t="shared" si="5"/>
        <v/>
      </c>
      <c r="M50" s="450" t="str">
        <f t="shared" si="5"/>
        <v/>
      </c>
      <c r="N50" s="450" t="str">
        <f t="shared" si="5"/>
        <v/>
      </c>
      <c r="O50" s="450" t="str">
        <f t="shared" si="5"/>
        <v/>
      </c>
      <c r="P50" s="450" t="str">
        <f t="shared" si="5"/>
        <v/>
      </c>
      <c r="Q50" s="450" t="str">
        <f t="shared" si="5"/>
        <v/>
      </c>
      <c r="R50" s="450" t="str">
        <f t="shared" si="5"/>
        <v/>
      </c>
      <c r="S50" s="450" t="str">
        <f t="shared" si="5"/>
        <v/>
      </c>
      <c r="T50" s="450" t="str">
        <f t="shared" si="5"/>
        <v/>
      </c>
      <c r="U50" s="451" t="str">
        <f t="shared" si="5"/>
        <v/>
      </c>
    </row>
    <row r="51" spans="1:23" ht="18" customHeight="1" x14ac:dyDescent="0.2">
      <c r="B51" s="11">
        <f t="shared" si="4"/>
        <v>0</v>
      </c>
      <c r="C51" s="10" t="str">
        <f t="shared" si="4"/>
        <v/>
      </c>
      <c r="D51" s="385" t="str">
        <f t="shared" si="6"/>
        <v/>
      </c>
      <c r="E51" s="386" t="str">
        <f t="shared" si="6"/>
        <v/>
      </c>
      <c r="F51" s="429" t="str">
        <f t="shared" si="7"/>
        <v/>
      </c>
      <c r="G51" s="452" t="str">
        <f t="shared" si="5"/>
        <v/>
      </c>
      <c r="H51" s="450" t="str">
        <f t="shared" si="5"/>
        <v/>
      </c>
      <c r="I51" s="450" t="str">
        <f t="shared" si="5"/>
        <v/>
      </c>
      <c r="J51" s="450" t="str">
        <f t="shared" si="5"/>
        <v/>
      </c>
      <c r="K51" s="450" t="str">
        <f t="shared" si="5"/>
        <v/>
      </c>
      <c r="L51" s="450" t="str">
        <f t="shared" si="5"/>
        <v/>
      </c>
      <c r="M51" s="450" t="str">
        <f t="shared" si="5"/>
        <v/>
      </c>
      <c r="N51" s="450" t="str">
        <f t="shared" si="5"/>
        <v/>
      </c>
      <c r="O51" s="450" t="str">
        <f t="shared" si="5"/>
        <v/>
      </c>
      <c r="P51" s="450" t="str">
        <f t="shared" si="5"/>
        <v/>
      </c>
      <c r="Q51" s="450" t="str">
        <f t="shared" si="5"/>
        <v/>
      </c>
      <c r="R51" s="450" t="str">
        <f t="shared" si="5"/>
        <v/>
      </c>
      <c r="S51" s="450" t="str">
        <f t="shared" si="5"/>
        <v/>
      </c>
      <c r="T51" s="450" t="str">
        <f t="shared" si="5"/>
        <v/>
      </c>
      <c r="U51" s="451" t="str">
        <f t="shared" si="5"/>
        <v/>
      </c>
    </row>
    <row r="52" spans="1:23" ht="18" customHeight="1" x14ac:dyDescent="0.2">
      <c r="B52" s="11">
        <f t="shared" si="4"/>
        <v>0</v>
      </c>
      <c r="C52" s="10" t="str">
        <f t="shared" si="4"/>
        <v/>
      </c>
      <c r="D52" s="385" t="str">
        <f t="shared" si="6"/>
        <v/>
      </c>
      <c r="E52" s="386" t="str">
        <f t="shared" si="6"/>
        <v/>
      </c>
      <c r="F52" s="429" t="str">
        <f t="shared" si="7"/>
        <v/>
      </c>
      <c r="G52" s="452" t="str">
        <f t="shared" si="5"/>
        <v/>
      </c>
      <c r="H52" s="450" t="str">
        <f t="shared" si="5"/>
        <v/>
      </c>
      <c r="I52" s="450" t="str">
        <f t="shared" si="5"/>
        <v/>
      </c>
      <c r="J52" s="450" t="str">
        <f t="shared" si="5"/>
        <v/>
      </c>
      <c r="K52" s="450" t="str">
        <f t="shared" si="5"/>
        <v/>
      </c>
      <c r="L52" s="450" t="str">
        <f t="shared" si="5"/>
        <v/>
      </c>
      <c r="M52" s="450" t="str">
        <f t="shared" si="5"/>
        <v/>
      </c>
      <c r="N52" s="450" t="str">
        <f t="shared" si="5"/>
        <v/>
      </c>
      <c r="O52" s="450" t="str">
        <f t="shared" si="5"/>
        <v/>
      </c>
      <c r="P52" s="450" t="str">
        <f t="shared" si="5"/>
        <v/>
      </c>
      <c r="Q52" s="450" t="str">
        <f t="shared" si="5"/>
        <v/>
      </c>
      <c r="R52" s="450" t="str">
        <f t="shared" si="5"/>
        <v/>
      </c>
      <c r="S52" s="450" t="str">
        <f t="shared" si="5"/>
        <v/>
      </c>
      <c r="T52" s="450" t="str">
        <f t="shared" si="5"/>
        <v/>
      </c>
      <c r="U52" s="451" t="str">
        <f t="shared" si="5"/>
        <v/>
      </c>
    </row>
    <row r="53" spans="1:23" ht="18" customHeight="1" x14ac:dyDescent="0.2">
      <c r="B53" s="11">
        <f t="shared" si="4"/>
        <v>0</v>
      </c>
      <c r="C53" s="10" t="str">
        <f t="shared" si="4"/>
        <v/>
      </c>
      <c r="D53" s="385" t="str">
        <f t="shared" si="6"/>
        <v/>
      </c>
      <c r="E53" s="386" t="str">
        <f t="shared" si="6"/>
        <v/>
      </c>
      <c r="F53" s="429" t="str">
        <f t="shared" si="7"/>
        <v/>
      </c>
      <c r="G53" s="452" t="str">
        <f t="shared" si="5"/>
        <v/>
      </c>
      <c r="H53" s="450" t="str">
        <f t="shared" si="5"/>
        <v/>
      </c>
      <c r="I53" s="450" t="str">
        <f t="shared" si="5"/>
        <v/>
      </c>
      <c r="J53" s="450" t="str">
        <f t="shared" si="5"/>
        <v/>
      </c>
      <c r="K53" s="450" t="str">
        <f t="shared" si="5"/>
        <v/>
      </c>
      <c r="L53" s="450" t="str">
        <f t="shared" si="5"/>
        <v/>
      </c>
      <c r="M53" s="450" t="str">
        <f t="shared" si="5"/>
        <v/>
      </c>
      <c r="N53" s="450" t="str">
        <f t="shared" si="5"/>
        <v/>
      </c>
      <c r="O53" s="450" t="str">
        <f t="shared" si="5"/>
        <v/>
      </c>
      <c r="P53" s="450" t="str">
        <f t="shared" si="5"/>
        <v/>
      </c>
      <c r="Q53" s="450" t="str">
        <f t="shared" si="5"/>
        <v/>
      </c>
      <c r="R53" s="450" t="str">
        <f t="shared" si="5"/>
        <v/>
      </c>
      <c r="S53" s="450" t="str">
        <f t="shared" si="5"/>
        <v/>
      </c>
      <c r="T53" s="450" t="str">
        <f t="shared" si="5"/>
        <v/>
      </c>
      <c r="U53" s="451" t="str">
        <f t="shared" si="5"/>
        <v/>
      </c>
    </row>
    <row r="54" spans="1:23" ht="18" customHeight="1" x14ac:dyDescent="0.2">
      <c r="B54" s="11">
        <f t="shared" si="4"/>
        <v>0</v>
      </c>
      <c r="C54" s="10" t="str">
        <f t="shared" si="4"/>
        <v/>
      </c>
      <c r="D54" s="385" t="str">
        <f t="shared" si="6"/>
        <v/>
      </c>
      <c r="E54" s="386" t="str">
        <f t="shared" si="6"/>
        <v/>
      </c>
      <c r="F54" s="429" t="str">
        <f t="shared" si="7"/>
        <v/>
      </c>
      <c r="G54" s="452" t="str">
        <f t="shared" si="5"/>
        <v/>
      </c>
      <c r="H54" s="450" t="str">
        <f t="shared" si="5"/>
        <v/>
      </c>
      <c r="I54" s="450" t="str">
        <f t="shared" si="5"/>
        <v/>
      </c>
      <c r="J54" s="450" t="str">
        <f t="shared" si="5"/>
        <v/>
      </c>
      <c r="K54" s="450" t="str">
        <f t="shared" si="5"/>
        <v/>
      </c>
      <c r="L54" s="450" t="str">
        <f t="shared" si="5"/>
        <v/>
      </c>
      <c r="M54" s="450" t="str">
        <f t="shared" si="5"/>
        <v/>
      </c>
      <c r="N54" s="450" t="str">
        <f t="shared" si="5"/>
        <v/>
      </c>
      <c r="O54" s="450" t="str">
        <f t="shared" si="5"/>
        <v/>
      </c>
      <c r="P54" s="450" t="str">
        <f t="shared" si="5"/>
        <v/>
      </c>
      <c r="Q54" s="450" t="str">
        <f t="shared" si="5"/>
        <v/>
      </c>
      <c r="R54" s="450" t="str">
        <f t="shared" si="5"/>
        <v/>
      </c>
      <c r="S54" s="450" t="str">
        <f t="shared" si="5"/>
        <v/>
      </c>
      <c r="T54" s="450" t="str">
        <f t="shared" si="5"/>
        <v/>
      </c>
      <c r="U54" s="451" t="str">
        <f t="shared" si="5"/>
        <v/>
      </c>
    </row>
    <row r="55" spans="1:23" ht="18" customHeight="1" x14ac:dyDescent="0.2">
      <c r="B55" s="11">
        <f t="shared" si="4"/>
        <v>0</v>
      </c>
      <c r="C55" s="10" t="str">
        <f t="shared" si="4"/>
        <v/>
      </c>
      <c r="D55" s="385" t="str">
        <f t="shared" si="6"/>
        <v/>
      </c>
      <c r="E55" s="386" t="str">
        <f t="shared" si="6"/>
        <v/>
      </c>
      <c r="F55" s="429" t="str">
        <f t="shared" si="7"/>
        <v/>
      </c>
      <c r="G55" s="452" t="str">
        <f t="shared" si="5"/>
        <v/>
      </c>
      <c r="H55" s="450" t="str">
        <f t="shared" si="5"/>
        <v/>
      </c>
      <c r="I55" s="450" t="str">
        <f t="shared" si="5"/>
        <v/>
      </c>
      <c r="J55" s="450" t="str">
        <f t="shared" si="5"/>
        <v/>
      </c>
      <c r="K55" s="450" t="str">
        <f t="shared" si="5"/>
        <v/>
      </c>
      <c r="L55" s="450" t="str">
        <f t="shared" si="5"/>
        <v/>
      </c>
      <c r="M55" s="450" t="str">
        <f t="shared" si="5"/>
        <v/>
      </c>
      <c r="N55" s="450" t="str">
        <f t="shared" si="5"/>
        <v/>
      </c>
      <c r="O55" s="450" t="str">
        <f t="shared" si="5"/>
        <v/>
      </c>
      <c r="P55" s="450" t="str">
        <f t="shared" si="5"/>
        <v/>
      </c>
      <c r="Q55" s="450" t="str">
        <f t="shared" si="5"/>
        <v/>
      </c>
      <c r="R55" s="450" t="str">
        <f t="shared" si="5"/>
        <v/>
      </c>
      <c r="S55" s="450" t="str">
        <f t="shared" si="5"/>
        <v/>
      </c>
      <c r="T55" s="450" t="str">
        <f t="shared" si="5"/>
        <v/>
      </c>
      <c r="U55" s="451" t="str">
        <f t="shared" si="5"/>
        <v/>
      </c>
    </row>
    <row r="56" spans="1:23" ht="18" customHeight="1" x14ac:dyDescent="0.2">
      <c r="B56" s="11">
        <f t="shared" si="4"/>
        <v>0</v>
      </c>
      <c r="C56" s="10" t="str">
        <f t="shared" si="4"/>
        <v/>
      </c>
      <c r="D56" s="385" t="str">
        <f t="shared" si="6"/>
        <v/>
      </c>
      <c r="E56" s="386" t="str">
        <f t="shared" si="6"/>
        <v/>
      </c>
      <c r="F56" s="429" t="str">
        <f t="shared" si="7"/>
        <v/>
      </c>
      <c r="G56" s="452" t="str">
        <f t="shared" si="5"/>
        <v/>
      </c>
      <c r="H56" s="450" t="str">
        <f t="shared" si="5"/>
        <v/>
      </c>
      <c r="I56" s="450" t="str">
        <f t="shared" si="5"/>
        <v/>
      </c>
      <c r="J56" s="450" t="str">
        <f t="shared" si="5"/>
        <v/>
      </c>
      <c r="K56" s="450" t="str">
        <f t="shared" si="5"/>
        <v/>
      </c>
      <c r="L56" s="450" t="str">
        <f t="shared" si="5"/>
        <v/>
      </c>
      <c r="M56" s="450" t="str">
        <f t="shared" si="5"/>
        <v/>
      </c>
      <c r="N56" s="450" t="str">
        <f t="shared" si="5"/>
        <v/>
      </c>
      <c r="O56" s="450" t="str">
        <f t="shared" si="5"/>
        <v/>
      </c>
      <c r="P56" s="450" t="str">
        <f t="shared" si="5"/>
        <v/>
      </c>
      <c r="Q56" s="450" t="str">
        <f t="shared" si="5"/>
        <v/>
      </c>
      <c r="R56" s="450" t="str">
        <f t="shared" si="5"/>
        <v/>
      </c>
      <c r="S56" s="450" t="str">
        <f t="shared" si="5"/>
        <v/>
      </c>
      <c r="T56" s="450" t="str">
        <f t="shared" si="5"/>
        <v/>
      </c>
      <c r="U56" s="451" t="str">
        <f t="shared" si="5"/>
        <v/>
      </c>
    </row>
    <row r="57" spans="1:23" ht="18" customHeight="1" x14ac:dyDescent="0.2">
      <c r="B57" s="11">
        <f t="shared" si="4"/>
        <v>0</v>
      </c>
      <c r="C57" s="10" t="str">
        <f t="shared" si="4"/>
        <v/>
      </c>
      <c r="D57" s="385" t="str">
        <f t="shared" si="6"/>
        <v/>
      </c>
      <c r="E57" s="386" t="str">
        <f t="shared" si="6"/>
        <v/>
      </c>
      <c r="F57" s="429" t="str">
        <f t="shared" si="7"/>
        <v/>
      </c>
      <c r="G57" s="452" t="str">
        <f t="shared" si="5"/>
        <v/>
      </c>
      <c r="H57" s="450" t="str">
        <f t="shared" si="5"/>
        <v/>
      </c>
      <c r="I57" s="450" t="str">
        <f t="shared" si="5"/>
        <v/>
      </c>
      <c r="J57" s="450" t="str">
        <f t="shared" si="5"/>
        <v/>
      </c>
      <c r="K57" s="450" t="str">
        <f t="shared" si="5"/>
        <v/>
      </c>
      <c r="L57" s="450" t="str">
        <f t="shared" si="5"/>
        <v/>
      </c>
      <c r="M57" s="450" t="str">
        <f t="shared" si="5"/>
        <v/>
      </c>
      <c r="N57" s="450" t="str">
        <f t="shared" si="5"/>
        <v/>
      </c>
      <c r="O57" s="450" t="str">
        <f t="shared" si="5"/>
        <v/>
      </c>
      <c r="P57" s="450" t="str">
        <f t="shared" si="5"/>
        <v/>
      </c>
      <c r="Q57" s="450" t="str">
        <f t="shared" si="5"/>
        <v/>
      </c>
      <c r="R57" s="450" t="str">
        <f t="shared" si="5"/>
        <v/>
      </c>
      <c r="S57" s="450" t="str">
        <f t="shared" si="5"/>
        <v/>
      </c>
      <c r="T57" s="450" t="str">
        <f t="shared" si="5"/>
        <v/>
      </c>
      <c r="U57" s="451" t="str">
        <f t="shared" si="5"/>
        <v/>
      </c>
    </row>
    <row r="58" spans="1:23" ht="18" customHeight="1" x14ac:dyDescent="0.2">
      <c r="B58" s="11">
        <f t="shared" si="4"/>
        <v>0</v>
      </c>
      <c r="C58" s="10" t="str">
        <f t="shared" si="4"/>
        <v/>
      </c>
      <c r="D58" s="385" t="str">
        <f t="shared" si="6"/>
        <v/>
      </c>
      <c r="E58" s="386" t="str">
        <f t="shared" si="6"/>
        <v/>
      </c>
      <c r="F58" s="429" t="str">
        <f t="shared" si="7"/>
        <v/>
      </c>
      <c r="G58" s="452" t="str">
        <f t="shared" si="5"/>
        <v/>
      </c>
      <c r="H58" s="450" t="str">
        <f t="shared" si="5"/>
        <v/>
      </c>
      <c r="I58" s="450" t="str">
        <f t="shared" si="5"/>
        <v/>
      </c>
      <c r="J58" s="450" t="str">
        <f t="shared" si="5"/>
        <v/>
      </c>
      <c r="K58" s="450" t="str">
        <f t="shared" si="5"/>
        <v/>
      </c>
      <c r="L58" s="450" t="str">
        <f t="shared" si="5"/>
        <v/>
      </c>
      <c r="M58" s="450" t="str">
        <f t="shared" si="5"/>
        <v/>
      </c>
      <c r="N58" s="450" t="str">
        <f t="shared" si="5"/>
        <v/>
      </c>
      <c r="O58" s="450" t="str">
        <f t="shared" si="5"/>
        <v/>
      </c>
      <c r="P58" s="450" t="str">
        <f t="shared" si="5"/>
        <v/>
      </c>
      <c r="Q58" s="450" t="str">
        <f t="shared" si="5"/>
        <v/>
      </c>
      <c r="R58" s="450" t="str">
        <f t="shared" si="5"/>
        <v/>
      </c>
      <c r="S58" s="450" t="str">
        <f t="shared" si="5"/>
        <v/>
      </c>
      <c r="T58" s="450" t="str">
        <f t="shared" si="5"/>
        <v/>
      </c>
      <c r="U58" s="451" t="str">
        <f t="shared" si="5"/>
        <v/>
      </c>
    </row>
    <row r="59" spans="1:23" ht="18" customHeight="1" thickBot="1" x14ac:dyDescent="0.25">
      <c r="B59" s="12">
        <f t="shared" si="4"/>
        <v>0</v>
      </c>
      <c r="C59" s="13" t="str">
        <f t="shared" si="4"/>
        <v/>
      </c>
      <c r="D59" s="387" t="str">
        <f t="shared" si="6"/>
        <v/>
      </c>
      <c r="E59" s="388" t="str">
        <f t="shared" si="6"/>
        <v/>
      </c>
      <c r="F59" s="430" t="str">
        <f t="shared" si="7"/>
        <v/>
      </c>
      <c r="G59" s="453" t="str">
        <f t="shared" si="5"/>
        <v/>
      </c>
      <c r="H59" s="454" t="str">
        <f t="shared" si="5"/>
        <v/>
      </c>
      <c r="I59" s="454" t="str">
        <f t="shared" si="5"/>
        <v/>
      </c>
      <c r="J59" s="454" t="str">
        <f t="shared" si="5"/>
        <v/>
      </c>
      <c r="K59" s="454" t="str">
        <f t="shared" si="5"/>
        <v/>
      </c>
      <c r="L59" s="454" t="str">
        <f t="shared" si="5"/>
        <v/>
      </c>
      <c r="M59" s="454" t="str">
        <f t="shared" si="5"/>
        <v/>
      </c>
      <c r="N59" s="454" t="str">
        <f t="shared" si="5"/>
        <v/>
      </c>
      <c r="O59" s="454" t="str">
        <f t="shared" si="5"/>
        <v/>
      </c>
      <c r="P59" s="454" t="str">
        <f t="shared" si="5"/>
        <v/>
      </c>
      <c r="Q59" s="454" t="str">
        <f t="shared" si="5"/>
        <v/>
      </c>
      <c r="R59" s="454" t="str">
        <f t="shared" si="5"/>
        <v/>
      </c>
      <c r="S59" s="454" t="str">
        <f t="shared" si="5"/>
        <v/>
      </c>
      <c r="T59" s="454" t="str">
        <f t="shared" si="5"/>
        <v/>
      </c>
      <c r="U59" s="455" t="str">
        <f t="shared" si="5"/>
        <v/>
      </c>
    </row>
    <row r="62" spans="1:23" ht="18" x14ac:dyDescent="0.25">
      <c r="B62" s="41" t="s">
        <v>636</v>
      </c>
    </row>
    <row r="63" spans="1:23" ht="13.5" thickBot="1" x14ac:dyDescent="0.25">
      <c r="D63" s="56" t="s">
        <v>394</v>
      </c>
      <c r="E63" s="56" t="s">
        <v>395</v>
      </c>
    </row>
    <row r="64" spans="1:23" ht="44.25" customHeight="1" x14ac:dyDescent="0.2">
      <c r="A64" s="34" t="s">
        <v>392</v>
      </c>
      <c r="B64" s="132" t="s">
        <v>466</v>
      </c>
      <c r="C64" s="132"/>
      <c r="D64" s="542" t="s">
        <v>307</v>
      </c>
      <c r="E64" s="543"/>
      <c r="F64" s="542" t="s">
        <v>311</v>
      </c>
      <c r="G64" s="543"/>
      <c r="H64" s="542" t="s">
        <v>312</v>
      </c>
      <c r="I64" s="543"/>
      <c r="J64" s="542" t="s">
        <v>313</v>
      </c>
      <c r="K64" s="543"/>
      <c r="L64" s="542" t="s">
        <v>314</v>
      </c>
      <c r="M64" s="543"/>
      <c r="N64" s="542" t="s">
        <v>315</v>
      </c>
      <c r="O64" s="543"/>
      <c r="P64" s="542" t="s">
        <v>316</v>
      </c>
      <c r="Q64" s="543"/>
      <c r="R64" s="542" t="s">
        <v>317</v>
      </c>
      <c r="S64" s="543"/>
      <c r="T64" s="542" t="s">
        <v>318</v>
      </c>
      <c r="U64" s="543"/>
      <c r="V64" s="542" t="s">
        <v>319</v>
      </c>
      <c r="W64" s="543"/>
    </row>
    <row r="65" spans="1:23" ht="42.75" customHeight="1" thickBot="1" x14ac:dyDescent="0.3">
      <c r="B65" s="29"/>
      <c r="D65" s="550" t="s">
        <v>320</v>
      </c>
      <c r="E65" s="551"/>
      <c r="F65" s="550" t="s">
        <v>320</v>
      </c>
      <c r="G65" s="551"/>
      <c r="H65" s="550" t="s">
        <v>320</v>
      </c>
      <c r="I65" s="551"/>
      <c r="J65" s="550" t="s">
        <v>320</v>
      </c>
      <c r="K65" s="551"/>
      <c r="L65" s="550" t="s">
        <v>320</v>
      </c>
      <c r="M65" s="551"/>
      <c r="N65" s="550" t="s">
        <v>320</v>
      </c>
      <c r="O65" s="551"/>
      <c r="P65" s="550" t="s">
        <v>320</v>
      </c>
      <c r="Q65" s="551"/>
      <c r="R65" s="550" t="s">
        <v>320</v>
      </c>
      <c r="S65" s="551"/>
      <c r="T65" s="550" t="s">
        <v>320</v>
      </c>
      <c r="U65" s="551"/>
      <c r="V65" s="550" t="s">
        <v>320</v>
      </c>
      <c r="W65" s="551"/>
    </row>
    <row r="66" spans="1:23" ht="24.75" thickBot="1" x14ac:dyDescent="0.25">
      <c r="A66" s="34" t="s">
        <v>393</v>
      </c>
      <c r="B66" s="17" t="s">
        <v>71</v>
      </c>
      <c r="C66" s="18" t="s">
        <v>72</v>
      </c>
      <c r="D66" s="37" t="s">
        <v>103</v>
      </c>
      <c r="E66" s="38" t="s">
        <v>308</v>
      </c>
      <c r="F66" s="37" t="s">
        <v>103</v>
      </c>
      <c r="G66" s="38" t="s">
        <v>308</v>
      </c>
      <c r="H66" s="37" t="s">
        <v>103</v>
      </c>
      <c r="I66" s="38" t="s">
        <v>308</v>
      </c>
      <c r="J66" s="37" t="s">
        <v>103</v>
      </c>
      <c r="K66" s="38" t="s">
        <v>308</v>
      </c>
      <c r="L66" s="37" t="s">
        <v>103</v>
      </c>
      <c r="M66" s="38" t="s">
        <v>308</v>
      </c>
      <c r="N66" s="37" t="s">
        <v>103</v>
      </c>
      <c r="O66" s="38" t="s">
        <v>308</v>
      </c>
      <c r="P66" s="37" t="s">
        <v>103</v>
      </c>
      <c r="Q66" s="38" t="s">
        <v>308</v>
      </c>
      <c r="R66" s="37" t="s">
        <v>103</v>
      </c>
      <c r="S66" s="38" t="s">
        <v>308</v>
      </c>
      <c r="T66" s="37" t="s">
        <v>103</v>
      </c>
      <c r="U66" s="38" t="s">
        <v>308</v>
      </c>
      <c r="V66" s="37" t="s">
        <v>103</v>
      </c>
      <c r="W66" s="38" t="s">
        <v>308</v>
      </c>
    </row>
    <row r="67" spans="1:23" s="28" customFormat="1" ht="18" customHeight="1" x14ac:dyDescent="0.2">
      <c r="B67" s="11" t="str">
        <f t="shared" ref="B67:C82" si="8">B17</f>
        <v>KING</v>
      </c>
      <c r="C67" s="14" t="str">
        <f t="shared" si="8"/>
        <v>Standard</v>
      </c>
      <c r="D67" s="389"/>
      <c r="E67" s="390"/>
      <c r="F67" s="389"/>
      <c r="G67" s="390"/>
      <c r="H67" s="389"/>
      <c r="I67" s="390"/>
      <c r="J67" s="389"/>
      <c r="K67" s="390"/>
      <c r="L67" s="389"/>
      <c r="M67" s="390"/>
      <c r="N67" s="389"/>
      <c r="O67" s="390"/>
      <c r="P67" s="389"/>
      <c r="Q67" s="390"/>
      <c r="R67" s="389"/>
      <c r="S67" s="390"/>
      <c r="T67" s="389"/>
      <c r="U67" s="390"/>
      <c r="V67" s="389"/>
      <c r="W67" s="390"/>
    </row>
    <row r="68" spans="1:23" s="28" customFormat="1" ht="18" customHeight="1" x14ac:dyDescent="0.2">
      <c r="B68" s="11" t="str">
        <f t="shared" si="8"/>
        <v>DBDB</v>
      </c>
      <c r="C68" s="10" t="str">
        <f t="shared" si="8"/>
        <v>Standard</v>
      </c>
      <c r="D68" s="391"/>
      <c r="E68" s="392"/>
      <c r="F68" s="391"/>
      <c r="G68" s="392"/>
      <c r="H68" s="391"/>
      <c r="I68" s="392"/>
      <c r="J68" s="391"/>
      <c r="K68" s="392"/>
      <c r="L68" s="391"/>
      <c r="M68" s="392"/>
      <c r="N68" s="391"/>
      <c r="O68" s="392"/>
      <c r="P68" s="391"/>
      <c r="Q68" s="392"/>
      <c r="R68" s="391"/>
      <c r="S68" s="392"/>
      <c r="T68" s="391"/>
      <c r="U68" s="392"/>
      <c r="V68" s="391"/>
      <c r="W68" s="392"/>
    </row>
    <row r="69" spans="1:23" s="28" customFormat="1" ht="18" customHeight="1" x14ac:dyDescent="0.2">
      <c r="B69" s="11" t="str">
        <f t="shared" si="8"/>
        <v>PMRS</v>
      </c>
      <c r="C69" s="10" t="str">
        <f t="shared" si="8"/>
        <v>Standard</v>
      </c>
      <c r="D69" s="391"/>
      <c r="E69" s="392"/>
      <c r="F69" s="391"/>
      <c r="G69" s="392"/>
      <c r="H69" s="391"/>
      <c r="I69" s="392"/>
      <c r="J69" s="391"/>
      <c r="K69" s="392"/>
      <c r="L69" s="391"/>
      <c r="M69" s="392"/>
      <c r="N69" s="391"/>
      <c r="O69" s="392"/>
      <c r="P69" s="391"/>
      <c r="Q69" s="392"/>
      <c r="R69" s="391"/>
      <c r="S69" s="392"/>
      <c r="T69" s="391"/>
      <c r="U69" s="392"/>
      <c r="V69" s="391"/>
      <c r="W69" s="392"/>
    </row>
    <row r="70" spans="1:23" s="28" customFormat="1" ht="18" customHeight="1" x14ac:dyDescent="0.2">
      <c r="B70" s="11" t="str">
        <f t="shared" si="8"/>
        <v>PMRS</v>
      </c>
      <c r="C70" s="10" t="str">
        <f t="shared" si="8"/>
        <v>Standard</v>
      </c>
      <c r="D70" s="391"/>
      <c r="E70" s="392"/>
      <c r="F70" s="391"/>
      <c r="G70" s="392"/>
      <c r="H70" s="391"/>
      <c r="I70" s="392"/>
      <c r="J70" s="391"/>
      <c r="K70" s="392"/>
      <c r="L70" s="391"/>
      <c r="M70" s="392"/>
      <c r="N70" s="391"/>
      <c r="O70" s="392"/>
      <c r="P70" s="391"/>
      <c r="Q70" s="392"/>
      <c r="R70" s="391"/>
      <c r="S70" s="392"/>
      <c r="T70" s="391"/>
      <c r="U70" s="392"/>
      <c r="V70" s="391"/>
      <c r="W70" s="392"/>
    </row>
    <row r="71" spans="1:23" s="28" customFormat="1" ht="18" customHeight="1" x14ac:dyDescent="0.2">
      <c r="B71" s="11">
        <f t="shared" si="8"/>
        <v>0</v>
      </c>
      <c r="C71" s="10" t="str">
        <f t="shared" si="8"/>
        <v/>
      </c>
      <c r="D71" s="391"/>
      <c r="E71" s="392"/>
      <c r="F71" s="391"/>
      <c r="G71" s="392"/>
      <c r="H71" s="391"/>
      <c r="I71" s="392"/>
      <c r="J71" s="391"/>
      <c r="K71" s="392"/>
      <c r="L71" s="391"/>
      <c r="M71" s="392"/>
      <c r="N71" s="391"/>
      <c r="O71" s="392"/>
      <c r="P71" s="391"/>
      <c r="Q71" s="392"/>
      <c r="R71" s="391"/>
      <c r="S71" s="392"/>
      <c r="T71" s="391"/>
      <c r="U71" s="392"/>
      <c r="V71" s="391"/>
      <c r="W71" s="392"/>
    </row>
    <row r="72" spans="1:23" s="28" customFormat="1" ht="18" customHeight="1" x14ac:dyDescent="0.2">
      <c r="B72" s="11">
        <f t="shared" si="8"/>
        <v>0</v>
      </c>
      <c r="C72" s="10" t="str">
        <f t="shared" si="8"/>
        <v/>
      </c>
      <c r="D72" s="391"/>
      <c r="E72" s="392"/>
      <c r="F72" s="391"/>
      <c r="G72" s="392"/>
      <c r="H72" s="391"/>
      <c r="I72" s="392"/>
      <c r="J72" s="391"/>
      <c r="K72" s="392"/>
      <c r="L72" s="391"/>
      <c r="M72" s="392"/>
      <c r="N72" s="391"/>
      <c r="O72" s="392"/>
      <c r="P72" s="391"/>
      <c r="Q72" s="392"/>
      <c r="R72" s="391"/>
      <c r="S72" s="392"/>
      <c r="T72" s="391"/>
      <c r="U72" s="392"/>
      <c r="V72" s="391"/>
      <c r="W72" s="392"/>
    </row>
    <row r="73" spans="1:23" s="28" customFormat="1" ht="18" customHeight="1" x14ac:dyDescent="0.2">
      <c r="B73" s="11">
        <f t="shared" si="8"/>
        <v>0</v>
      </c>
      <c r="C73" s="10" t="str">
        <f t="shared" si="8"/>
        <v/>
      </c>
      <c r="D73" s="391"/>
      <c r="E73" s="392"/>
      <c r="F73" s="391"/>
      <c r="G73" s="392"/>
      <c r="H73" s="391"/>
      <c r="I73" s="392"/>
      <c r="J73" s="391"/>
      <c r="K73" s="392"/>
      <c r="L73" s="391"/>
      <c r="M73" s="392"/>
      <c r="N73" s="391"/>
      <c r="O73" s="392"/>
      <c r="P73" s="391"/>
      <c r="Q73" s="392"/>
      <c r="R73" s="391"/>
      <c r="S73" s="392"/>
      <c r="T73" s="391"/>
      <c r="U73" s="392"/>
      <c r="V73" s="391"/>
      <c r="W73" s="392"/>
    </row>
    <row r="74" spans="1:23" s="28" customFormat="1" ht="18" customHeight="1" x14ac:dyDescent="0.2">
      <c r="B74" s="11">
        <f t="shared" si="8"/>
        <v>0</v>
      </c>
      <c r="C74" s="10" t="str">
        <f t="shared" si="8"/>
        <v/>
      </c>
      <c r="D74" s="391"/>
      <c r="E74" s="392"/>
      <c r="F74" s="391"/>
      <c r="G74" s="392"/>
      <c r="H74" s="391"/>
      <c r="I74" s="392"/>
      <c r="J74" s="391"/>
      <c r="K74" s="392"/>
      <c r="L74" s="391"/>
      <c r="M74" s="392"/>
      <c r="N74" s="391"/>
      <c r="O74" s="392"/>
      <c r="P74" s="391"/>
      <c r="Q74" s="392"/>
      <c r="R74" s="391"/>
      <c r="S74" s="392"/>
      <c r="T74" s="391"/>
      <c r="U74" s="392"/>
      <c r="V74" s="391"/>
      <c r="W74" s="392"/>
    </row>
    <row r="75" spans="1:23" s="28" customFormat="1" ht="18" customHeight="1" x14ac:dyDescent="0.2">
      <c r="B75" s="11">
        <f t="shared" si="8"/>
        <v>0</v>
      </c>
      <c r="C75" s="10" t="str">
        <f t="shared" si="8"/>
        <v/>
      </c>
      <c r="D75" s="391"/>
      <c r="E75" s="392"/>
      <c r="F75" s="391"/>
      <c r="G75" s="392"/>
      <c r="H75" s="391"/>
      <c r="I75" s="392"/>
      <c r="J75" s="391"/>
      <c r="K75" s="392"/>
      <c r="L75" s="391"/>
      <c r="M75" s="392"/>
      <c r="N75" s="391"/>
      <c r="O75" s="392"/>
      <c r="P75" s="391"/>
      <c r="Q75" s="392"/>
      <c r="R75" s="391"/>
      <c r="S75" s="392"/>
      <c r="T75" s="391"/>
      <c r="U75" s="392"/>
      <c r="V75" s="391"/>
      <c r="W75" s="392"/>
    </row>
    <row r="76" spans="1:23" s="28" customFormat="1" ht="18" customHeight="1" x14ac:dyDescent="0.2">
      <c r="B76" s="11">
        <f t="shared" si="8"/>
        <v>0</v>
      </c>
      <c r="C76" s="10" t="str">
        <f t="shared" si="8"/>
        <v/>
      </c>
      <c r="D76" s="391"/>
      <c r="E76" s="392"/>
      <c r="F76" s="391"/>
      <c r="G76" s="392"/>
      <c r="H76" s="391"/>
      <c r="I76" s="392"/>
      <c r="J76" s="391"/>
      <c r="K76" s="392"/>
      <c r="L76" s="391"/>
      <c r="M76" s="392"/>
      <c r="N76" s="391"/>
      <c r="O76" s="392"/>
      <c r="P76" s="391"/>
      <c r="Q76" s="392"/>
      <c r="R76" s="391"/>
      <c r="S76" s="392"/>
      <c r="T76" s="391"/>
      <c r="U76" s="392"/>
      <c r="V76" s="391"/>
      <c r="W76" s="392"/>
    </row>
    <row r="77" spans="1:23" s="28" customFormat="1" ht="18" customHeight="1" x14ac:dyDescent="0.2">
      <c r="B77" s="11">
        <f t="shared" si="8"/>
        <v>0</v>
      </c>
      <c r="C77" s="10" t="str">
        <f t="shared" si="8"/>
        <v/>
      </c>
      <c r="D77" s="391"/>
      <c r="E77" s="392"/>
      <c r="F77" s="391"/>
      <c r="G77" s="392"/>
      <c r="H77" s="391"/>
      <c r="I77" s="392"/>
      <c r="J77" s="391"/>
      <c r="K77" s="392"/>
      <c r="L77" s="391"/>
      <c r="M77" s="392"/>
      <c r="N77" s="391"/>
      <c r="O77" s="392"/>
      <c r="P77" s="391"/>
      <c r="Q77" s="392"/>
      <c r="R77" s="391"/>
      <c r="S77" s="392"/>
      <c r="T77" s="391"/>
      <c r="U77" s="392"/>
      <c r="V77" s="391"/>
      <c r="W77" s="392"/>
    </row>
    <row r="78" spans="1:23" s="28" customFormat="1" ht="18" customHeight="1" x14ac:dyDescent="0.2">
      <c r="B78" s="11">
        <f t="shared" si="8"/>
        <v>0</v>
      </c>
      <c r="C78" s="10" t="str">
        <f t="shared" si="8"/>
        <v/>
      </c>
      <c r="D78" s="391"/>
      <c r="E78" s="392"/>
      <c r="F78" s="391"/>
      <c r="G78" s="392"/>
      <c r="H78" s="391"/>
      <c r="I78" s="392"/>
      <c r="J78" s="391"/>
      <c r="K78" s="392"/>
      <c r="L78" s="391"/>
      <c r="M78" s="392"/>
      <c r="N78" s="391"/>
      <c r="O78" s="392"/>
      <c r="P78" s="391"/>
      <c r="Q78" s="392"/>
      <c r="R78" s="391"/>
      <c r="S78" s="392"/>
      <c r="T78" s="391"/>
      <c r="U78" s="392"/>
      <c r="V78" s="391"/>
      <c r="W78" s="392"/>
    </row>
    <row r="79" spans="1:23" s="28" customFormat="1" ht="18" customHeight="1" x14ac:dyDescent="0.2">
      <c r="B79" s="11">
        <f t="shared" si="8"/>
        <v>0</v>
      </c>
      <c r="C79" s="10" t="str">
        <f t="shared" si="8"/>
        <v/>
      </c>
      <c r="D79" s="391"/>
      <c r="E79" s="392"/>
      <c r="F79" s="391"/>
      <c r="G79" s="392"/>
      <c r="H79" s="391"/>
      <c r="I79" s="392"/>
      <c r="J79" s="391"/>
      <c r="K79" s="392"/>
      <c r="L79" s="391"/>
      <c r="M79" s="392"/>
      <c r="N79" s="391"/>
      <c r="O79" s="392"/>
      <c r="P79" s="391"/>
      <c r="Q79" s="392"/>
      <c r="R79" s="391"/>
      <c r="S79" s="392"/>
      <c r="T79" s="391"/>
      <c r="U79" s="392"/>
      <c r="V79" s="391"/>
      <c r="W79" s="392"/>
    </row>
    <row r="80" spans="1:23" s="28" customFormat="1" ht="18" customHeight="1" x14ac:dyDescent="0.2">
      <c r="B80" s="11">
        <f t="shared" si="8"/>
        <v>0</v>
      </c>
      <c r="C80" s="10" t="str">
        <f t="shared" si="8"/>
        <v/>
      </c>
      <c r="D80" s="391"/>
      <c r="E80" s="392"/>
      <c r="F80" s="391"/>
      <c r="G80" s="392"/>
      <c r="H80" s="391"/>
      <c r="I80" s="392"/>
      <c r="J80" s="391"/>
      <c r="K80" s="392"/>
      <c r="L80" s="391"/>
      <c r="M80" s="392"/>
      <c r="N80" s="391"/>
      <c r="O80" s="392"/>
      <c r="P80" s="391"/>
      <c r="Q80" s="392"/>
      <c r="R80" s="391"/>
      <c r="S80" s="392"/>
      <c r="T80" s="391"/>
      <c r="U80" s="392"/>
      <c r="V80" s="391"/>
      <c r="W80" s="392"/>
    </row>
    <row r="81" spans="1:23" s="28" customFormat="1" ht="18" customHeight="1" x14ac:dyDescent="0.2">
      <c r="B81" s="11">
        <f t="shared" si="8"/>
        <v>0</v>
      </c>
      <c r="C81" s="10" t="str">
        <f t="shared" si="8"/>
        <v/>
      </c>
      <c r="D81" s="391"/>
      <c r="E81" s="392"/>
      <c r="F81" s="391"/>
      <c r="G81" s="392"/>
      <c r="H81" s="391"/>
      <c r="I81" s="392"/>
      <c r="J81" s="391"/>
      <c r="K81" s="392"/>
      <c r="L81" s="391"/>
      <c r="M81" s="392"/>
      <c r="N81" s="391"/>
      <c r="O81" s="392"/>
      <c r="P81" s="391"/>
      <c r="Q81" s="392"/>
      <c r="R81" s="391"/>
      <c r="S81" s="392"/>
      <c r="T81" s="391"/>
      <c r="U81" s="392"/>
      <c r="V81" s="391"/>
      <c r="W81" s="392"/>
    </row>
    <row r="82" spans="1:23" s="28" customFormat="1" ht="18" customHeight="1" thickBot="1" x14ac:dyDescent="0.25">
      <c r="B82" s="11">
        <f t="shared" si="8"/>
        <v>0</v>
      </c>
      <c r="C82" s="10" t="str">
        <f t="shared" si="8"/>
        <v/>
      </c>
      <c r="D82" s="391"/>
      <c r="E82" s="392"/>
      <c r="F82" s="391"/>
      <c r="G82" s="392"/>
      <c r="H82" s="391"/>
      <c r="I82" s="392"/>
      <c r="J82" s="391"/>
      <c r="K82" s="392"/>
      <c r="L82" s="391"/>
      <c r="M82" s="392"/>
      <c r="N82" s="391"/>
      <c r="O82" s="392"/>
      <c r="P82" s="391"/>
      <c r="Q82" s="392"/>
      <c r="R82" s="391"/>
      <c r="S82" s="392"/>
      <c r="T82" s="391"/>
      <c r="U82" s="392"/>
      <c r="V82" s="391"/>
      <c r="W82" s="392"/>
    </row>
    <row r="83" spans="1:23" ht="48" customHeight="1" x14ac:dyDescent="0.2">
      <c r="A83" s="34" t="s">
        <v>396</v>
      </c>
      <c r="B83" s="544" t="s">
        <v>309</v>
      </c>
      <c r="C83" s="545"/>
      <c r="D83" s="540"/>
      <c r="E83" s="541"/>
      <c r="F83" s="540"/>
      <c r="G83" s="541"/>
      <c r="H83" s="540"/>
      <c r="I83" s="541"/>
      <c r="J83" s="540"/>
      <c r="K83" s="541"/>
      <c r="L83" s="540"/>
      <c r="M83" s="541"/>
      <c r="N83" s="540"/>
      <c r="O83" s="541"/>
      <c r="P83" s="540"/>
      <c r="Q83" s="541"/>
      <c r="R83" s="540"/>
      <c r="S83" s="541"/>
      <c r="T83" s="540"/>
      <c r="U83" s="541"/>
      <c r="V83" s="540"/>
      <c r="W83" s="541"/>
    </row>
    <row r="84" spans="1:23" ht="44.25" customHeight="1" thickBot="1" x14ac:dyDescent="0.25">
      <c r="A84" s="34" t="s">
        <v>397</v>
      </c>
      <c r="B84" s="546" t="s">
        <v>310</v>
      </c>
      <c r="C84" s="547"/>
      <c r="D84" s="548"/>
      <c r="E84" s="549"/>
      <c r="F84" s="548"/>
      <c r="G84" s="549"/>
      <c r="H84" s="548"/>
      <c r="I84" s="549"/>
      <c r="J84" s="548"/>
      <c r="K84" s="549"/>
      <c r="L84" s="548"/>
      <c r="M84" s="549"/>
      <c r="N84" s="548"/>
      <c r="O84" s="549"/>
      <c r="P84" s="548"/>
      <c r="Q84" s="549"/>
      <c r="R84" s="548"/>
      <c r="S84" s="549"/>
      <c r="T84" s="548"/>
      <c r="U84" s="549"/>
      <c r="V84" s="548"/>
      <c r="W84" s="549"/>
    </row>
    <row r="88" spans="1:23" ht="13.5" thickBot="1" x14ac:dyDescent="0.25"/>
    <row r="89" spans="1:23" ht="13.5" thickBot="1" x14ac:dyDescent="0.25">
      <c r="C89" s="117" t="s">
        <v>423</v>
      </c>
      <c r="D89" s="118"/>
      <c r="E89" s="119"/>
      <c r="F89" s="119"/>
      <c r="G89" s="119"/>
      <c r="H89" s="120"/>
    </row>
    <row r="90" spans="1:23" x14ac:dyDescent="0.2">
      <c r="C90" s="575" t="s">
        <v>430</v>
      </c>
      <c r="D90" s="576"/>
      <c r="E90" s="576"/>
      <c r="F90" s="576"/>
      <c r="G90" s="576"/>
      <c r="H90" s="577"/>
    </row>
    <row r="91" spans="1:23" x14ac:dyDescent="0.2">
      <c r="C91" s="578"/>
      <c r="D91" s="579"/>
      <c r="E91" s="579"/>
      <c r="F91" s="579"/>
      <c r="G91" s="580"/>
      <c r="H91" s="581"/>
    </row>
    <row r="92" spans="1:23" ht="18.75" customHeight="1" x14ac:dyDescent="0.2">
      <c r="C92" s="557" t="s">
        <v>251</v>
      </c>
      <c r="D92" s="558"/>
      <c r="E92" s="558"/>
      <c r="F92" s="558"/>
      <c r="G92" s="559" t="s">
        <v>432</v>
      </c>
      <c r="H92" s="560"/>
    </row>
    <row r="93" spans="1:23" ht="25.5" x14ac:dyDescent="0.2">
      <c r="C93" s="167" t="s">
        <v>424</v>
      </c>
      <c r="D93" s="393">
        <v>4</v>
      </c>
      <c r="E93" s="554" t="s">
        <v>425</v>
      </c>
      <c r="F93" s="555"/>
      <c r="G93" s="561"/>
      <c r="H93" s="562"/>
    </row>
    <row r="94" spans="1:23" ht="25.5" x14ac:dyDescent="0.2">
      <c r="C94" s="167" t="s">
        <v>426</v>
      </c>
      <c r="D94" s="393">
        <v>14</v>
      </c>
      <c r="E94" s="554" t="s">
        <v>427</v>
      </c>
      <c r="F94" s="555"/>
      <c r="G94" s="563"/>
      <c r="H94" s="564"/>
    </row>
    <row r="95" spans="1:23" ht="25.5" x14ac:dyDescent="0.2">
      <c r="C95" s="312" t="s">
        <v>428</v>
      </c>
      <c r="D95" s="394">
        <v>5</v>
      </c>
      <c r="E95" s="582" t="s">
        <v>429</v>
      </c>
      <c r="F95" s="583"/>
      <c r="G95" s="565" t="s">
        <v>433</v>
      </c>
      <c r="H95" s="566"/>
    </row>
    <row r="96" spans="1:23" ht="15.75" customHeight="1" x14ac:dyDescent="0.2">
      <c r="C96" s="557" t="s">
        <v>431</v>
      </c>
      <c r="D96" s="558"/>
      <c r="E96" s="558"/>
      <c r="F96" s="558"/>
      <c r="G96" s="567"/>
      <c r="H96" s="568"/>
    </row>
    <row r="97" spans="3:8" x14ac:dyDescent="0.2">
      <c r="C97" s="160" t="s">
        <v>414</v>
      </c>
      <c r="D97" s="161" t="s">
        <v>41</v>
      </c>
      <c r="E97" s="162"/>
      <c r="F97" s="162"/>
      <c r="G97" s="69" t="s">
        <v>422</v>
      </c>
      <c r="H97" s="76"/>
    </row>
    <row r="98" spans="3:8" ht="25.5" x14ac:dyDescent="0.2">
      <c r="C98" s="168" t="s">
        <v>424</v>
      </c>
      <c r="D98" s="394">
        <v>0</v>
      </c>
      <c r="E98" s="552" t="s">
        <v>425</v>
      </c>
      <c r="F98" s="553"/>
      <c r="G98" s="569"/>
      <c r="H98" s="570"/>
    </row>
    <row r="99" spans="3:8" x14ac:dyDescent="0.2">
      <c r="C99" s="169" t="s">
        <v>426</v>
      </c>
      <c r="D99" s="393">
        <v>0</v>
      </c>
      <c r="E99" s="554" t="s">
        <v>427</v>
      </c>
      <c r="F99" s="555"/>
      <c r="G99" s="571"/>
      <c r="H99" s="572"/>
    </row>
    <row r="100" spans="3:8" ht="25.5" x14ac:dyDescent="0.2">
      <c r="C100" s="168" t="s">
        <v>428</v>
      </c>
      <c r="D100" s="394">
        <v>0</v>
      </c>
      <c r="E100" s="552" t="s">
        <v>429</v>
      </c>
      <c r="F100" s="556"/>
      <c r="G100" s="573"/>
      <c r="H100" s="574"/>
    </row>
    <row r="101" spans="3:8" ht="13.5" thickBot="1" x14ac:dyDescent="0.25">
      <c r="C101" s="164"/>
      <c r="D101" s="165"/>
      <c r="E101" s="165"/>
      <c r="F101" s="165"/>
      <c r="G101" s="165"/>
      <c r="H101" s="166"/>
    </row>
  </sheetData>
  <sheetProtection password="C560" sheet="1" objects="1" scenarios="1" formatCells="0" formatColumns="0" formatRows="0" sort="0" autoFilter="0"/>
  <mergeCells count="60">
    <mergeCell ref="F14:I14"/>
    <mergeCell ref="J14:M14"/>
    <mergeCell ref="N14:Q14"/>
    <mergeCell ref="R14:U14"/>
    <mergeCell ref="L84:M84"/>
    <mergeCell ref="N84:O84"/>
    <mergeCell ref="P84:Q84"/>
    <mergeCell ref="R84:S84"/>
    <mergeCell ref="T84:U84"/>
    <mergeCell ref="P65:Q65"/>
    <mergeCell ref="R65:S65"/>
    <mergeCell ref="T65:U65"/>
    <mergeCell ref="L64:M64"/>
    <mergeCell ref="N64:O64"/>
    <mergeCell ref="P64:Q64"/>
    <mergeCell ref="R64:S64"/>
    <mergeCell ref="V84:W84"/>
    <mergeCell ref="N83:O83"/>
    <mergeCell ref="P83:Q83"/>
    <mergeCell ref="R83:S83"/>
    <mergeCell ref="T83:U83"/>
    <mergeCell ref="V83:W83"/>
    <mergeCell ref="B84:C84"/>
    <mergeCell ref="D84:E84"/>
    <mergeCell ref="F84:G84"/>
    <mergeCell ref="H84:I84"/>
    <mergeCell ref="J84:K84"/>
    <mergeCell ref="V65:W65"/>
    <mergeCell ref="B83:C83"/>
    <mergeCell ref="D83:E83"/>
    <mergeCell ref="F83:G83"/>
    <mergeCell ref="H83:I83"/>
    <mergeCell ref="J83:K83"/>
    <mergeCell ref="L83:M83"/>
    <mergeCell ref="D65:E65"/>
    <mergeCell ref="F65:G65"/>
    <mergeCell ref="H65:I65"/>
    <mergeCell ref="J65:K65"/>
    <mergeCell ref="L65:M65"/>
    <mergeCell ref="N65:O65"/>
    <mergeCell ref="T64:U64"/>
    <mergeCell ref="V64:W64"/>
    <mergeCell ref="B16:E16"/>
    <mergeCell ref="D43:E43"/>
    <mergeCell ref="D64:E64"/>
    <mergeCell ref="F64:G64"/>
    <mergeCell ref="H64:I64"/>
    <mergeCell ref="J64:K64"/>
    <mergeCell ref="C90:H91"/>
    <mergeCell ref="E93:F93"/>
    <mergeCell ref="E94:F94"/>
    <mergeCell ref="E95:F95"/>
    <mergeCell ref="C92:F92"/>
    <mergeCell ref="E98:F98"/>
    <mergeCell ref="E99:F99"/>
    <mergeCell ref="E100:F100"/>
    <mergeCell ref="C96:F96"/>
    <mergeCell ref="G92:H94"/>
    <mergeCell ref="G95:H96"/>
    <mergeCell ref="G98:H100"/>
  </mergeCells>
  <phoneticPr fontId="47" type="noConversion"/>
  <conditionalFormatting sqref="B20:B32">
    <cfRule type="cellIs" dxfId="19" priority="8" stopIfTrue="1" operator="equal">
      <formula>0</formula>
    </cfRule>
  </conditionalFormatting>
  <conditionalFormatting sqref="G16:U16">
    <cfRule type="containsText" dxfId="18" priority="7" stopIfTrue="1" operator="containsText" text="specific">
      <formula>NOT(ISERROR(SEARCH("specific",G16)))</formula>
    </cfRule>
  </conditionalFormatting>
  <conditionalFormatting sqref="B48:B59">
    <cfRule type="cellIs" dxfId="17" priority="6" stopIfTrue="1" operator="equal">
      <formula>0</formula>
    </cfRule>
  </conditionalFormatting>
  <conditionalFormatting sqref="G43:U43">
    <cfRule type="containsText" dxfId="16" priority="5" stopIfTrue="1" operator="containsText" text="specific">
      <formula>NOT(ISERROR(SEARCH("specific",G43)))</formula>
    </cfRule>
  </conditionalFormatting>
  <conditionalFormatting sqref="B71:B82">
    <cfRule type="cellIs" dxfId="15" priority="4" stopIfTrue="1" operator="equal">
      <formula>0</formula>
    </cfRule>
  </conditionalFormatting>
  <conditionalFormatting sqref="B17:B19">
    <cfRule type="cellIs" dxfId="14" priority="3" stopIfTrue="1" operator="equal">
      <formula>0</formula>
    </cfRule>
  </conditionalFormatting>
  <conditionalFormatting sqref="B44:B47">
    <cfRule type="cellIs" dxfId="13" priority="2" stopIfTrue="1" operator="equal">
      <formula>0</formula>
    </cfRule>
  </conditionalFormatting>
  <conditionalFormatting sqref="B67:B70">
    <cfRule type="cellIs" dxfId="12" priority="1" stopIfTrue="1" operator="equal">
      <formula>0</formula>
    </cfRule>
  </conditionalFormatting>
  <dataValidations count="6">
    <dataValidation allowBlank="1" showInputMessage="1" showErrorMessage="1" promptTitle="Event Name" prompt="Enter the Name of the Event here" sqref="D64:W64"/>
    <dataValidation allowBlank="1" showInputMessage="1" showErrorMessage="1" promptTitle="Restriction" prompt="Indicate Inventory Length of Stay Restrictions here (MS, MS/MX, CTA, NMQ)._x000a_" sqref="E67:E82 G67:G82 I67:I82 K67:K82 M67:M82 O67:O82 Q67:Q82 S67:S82 U67:U82 W67:W82"/>
    <dataValidation allowBlank="1" showInputMessage="1" showErrorMessage="1" promptTitle="Guarantee Deposit Rule" prompt="Indicate Guarantee Deposit Rule here (credit card guarantee, 1 night deposit, % of stay deposit, full deposit, deposit due date...)._x000a_If none entered, Standard Hotel Guarantee Rule will apply!" sqref="D83:W83"/>
    <dataValidation allowBlank="1" showInputMessage="1" showErrorMessage="1" promptTitle="Cancellation Policy" prompt="Indicate Event Cancellation Policy (When and what cancellation fees apply? Are cancellations allowed?...)" sqref="D84:W84"/>
    <dataValidation allowBlank="1" showInputMessage="1" showErrorMessage="1" promptTitle="Define Seasons" prompt="Enter season rates when pricing is different than &quot;Default&quot;" sqref="G42:U42"/>
    <dataValidation allowBlank="1" showInputMessage="1" showErrorMessage="1" promptTitle="Weekend Supplement" prompt="Override rate supplement if these should be different than the ones defined for Retail Rates" sqref="D45:E5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showInputMessage="1" showErrorMessage="1" promptTitle="Weekend Day Definition" prompt="Define weekend days, see Instructions for more details">
          <x14:formula1>
            <xm:f>DropDown!$U$3:$U$10</xm:f>
          </x14:formula1>
          <xm:sqref>D35:F35</xm:sqref>
        </x14:dataValidation>
        <x14:dataValidation type="list" showInputMessage="1" showErrorMessage="1" promptTitle="Define which premiums to use" prompt="This will determine which premiums will apply for the higher room pools. Select &quot;standard&quot; to use the standard premiums (column D) or &quot;alternate&quot; to use the alternate premiums (column E) for the given season. Use &quot;specific&quot; if setting-up different ones">
          <x14:formula1>
            <xm:f>DropDown!$D$2:$D$5</xm:f>
          </x14:formula1>
          <xm:sqref>J16:U16 G43:U43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iscount"/>
  <dimension ref="A1:M81"/>
  <sheetViews>
    <sheetView topLeftCell="A58" workbookViewId="0">
      <selection activeCell="J70" sqref="J70"/>
    </sheetView>
  </sheetViews>
  <sheetFormatPr defaultRowHeight="12.75" x14ac:dyDescent="0.2"/>
  <cols>
    <col min="1" max="1" width="9.140625" style="61"/>
    <col min="2" max="2" width="23.85546875" style="61" customWidth="1"/>
    <col min="3" max="3" width="25.85546875" style="61" customWidth="1"/>
    <col min="4" max="4" width="10" style="61" customWidth="1"/>
    <col min="5" max="5" width="13.7109375" style="61" customWidth="1"/>
    <col min="6" max="6" width="12.42578125" style="61" customWidth="1"/>
    <col min="7" max="7" width="11.140625" style="61" customWidth="1"/>
    <col min="8" max="8" width="9.140625" style="61"/>
    <col min="9" max="9" width="16" style="61" customWidth="1"/>
    <col min="10" max="10" width="21" style="61" customWidth="1"/>
    <col min="11" max="13" width="13.7109375" style="61" customWidth="1"/>
    <col min="14" max="16384" width="9.140625" style="61"/>
  </cols>
  <sheetData>
    <row r="1" spans="1:13" x14ac:dyDescent="0.2">
      <c r="A1" s="75"/>
    </row>
    <row r="2" spans="1:13" ht="18" customHeight="1" x14ac:dyDescent="0.25">
      <c r="A2" s="75" t="s">
        <v>528</v>
      </c>
      <c r="B2" s="618" t="s">
        <v>530</v>
      </c>
      <c r="C2" s="618"/>
      <c r="D2" s="618"/>
    </row>
    <row r="3" spans="1:13" ht="13.5" thickBot="1" x14ac:dyDescent="0.25"/>
    <row r="4" spans="1:13" ht="20.25" customHeight="1" thickBot="1" x14ac:dyDescent="0.25">
      <c r="B4" s="187" t="s">
        <v>407</v>
      </c>
      <c r="C4" s="307" t="s">
        <v>344</v>
      </c>
      <c r="D4" s="595" t="s">
        <v>355</v>
      </c>
      <c r="E4" s="595"/>
      <c r="F4" s="595"/>
      <c r="G4" s="596"/>
      <c r="I4" s="187" t="s">
        <v>581</v>
      </c>
      <c r="J4" s="307" t="s">
        <v>659</v>
      </c>
      <c r="K4" s="594" t="s">
        <v>355</v>
      </c>
      <c r="L4" s="595"/>
      <c r="M4" s="596"/>
    </row>
    <row r="5" spans="1:13" ht="15" customHeight="1" x14ac:dyDescent="0.2">
      <c r="B5" s="193" t="s">
        <v>414</v>
      </c>
      <c r="C5" s="287" t="s">
        <v>416</v>
      </c>
      <c r="D5" s="180"/>
      <c r="E5" s="180"/>
      <c r="F5" s="163"/>
      <c r="G5" s="181"/>
      <c r="H5" s="75"/>
      <c r="I5" s="193" t="s">
        <v>414</v>
      </c>
      <c r="J5" s="287" t="s">
        <v>416</v>
      </c>
      <c r="K5" s="180"/>
      <c r="L5" s="180"/>
      <c r="M5" s="426"/>
    </row>
    <row r="6" spans="1:13" ht="25.5" x14ac:dyDescent="0.2">
      <c r="B6" s="179"/>
      <c r="C6" s="180"/>
      <c r="D6" s="180"/>
      <c r="E6" s="209"/>
      <c r="F6" s="101" t="s">
        <v>412</v>
      </c>
      <c r="G6" s="406" t="s">
        <v>334</v>
      </c>
      <c r="H6" s="75"/>
      <c r="I6" s="179"/>
      <c r="J6" s="180"/>
      <c r="K6" s="180"/>
      <c r="L6" s="395"/>
      <c r="M6" s="406" t="s">
        <v>334</v>
      </c>
    </row>
    <row r="7" spans="1:13" x14ac:dyDescent="0.2">
      <c r="B7" s="184" t="str">
        <f>IF($D$4="weekday and weekend","Weekday Advance Purchase", "Advance Purchase Rate")</f>
        <v>Advance Purchase Rate</v>
      </c>
      <c r="C7" s="286"/>
      <c r="D7" s="285" t="s">
        <v>410</v>
      </c>
      <c r="E7" s="186" t="s">
        <v>507</v>
      </c>
      <c r="F7" s="286"/>
      <c r="G7" s="185" t="str">
        <f>IF(D4="weekday","weekday",IF(D4="weekend","weekend",IF(D4="7 days a week","7 days","Weekday")))</f>
        <v>7 days</v>
      </c>
      <c r="I7" s="184" t="str">
        <f>IF($K$4="weekday and weekend","Weekday AAA", "AAA")</f>
        <v>AAA</v>
      </c>
      <c r="J7" s="286">
        <v>5</v>
      </c>
      <c r="K7" s="285" t="s">
        <v>410</v>
      </c>
      <c r="L7" s="396" t="s">
        <v>507</v>
      </c>
      <c r="M7" s="185" t="str">
        <f>IF(K4="weekday","weekday",IF(K4="weekend","weekend",IF(K4="7 days a week","7 days","Weekday")))</f>
        <v>7 days</v>
      </c>
    </row>
    <row r="8" spans="1:13" x14ac:dyDescent="0.2">
      <c r="B8" s="182" t="str">
        <f>IF(B7="Advance Purchase Rate","","Weekend Advance Purchase Rate")</f>
        <v/>
      </c>
      <c r="C8" s="286"/>
      <c r="D8" s="285" t="str">
        <f>IF(B8="","",D7)</f>
        <v/>
      </c>
      <c r="E8" s="36" t="str">
        <f>IF(B8="","","off retail rate")</f>
        <v/>
      </c>
      <c r="F8" s="286" t="str">
        <f>IF(B8="","",F7)</f>
        <v/>
      </c>
      <c r="G8" s="183" t="str">
        <f>IF(B8="","","Weekend")</f>
        <v/>
      </c>
      <c r="I8" s="182" t="str">
        <f>IF(I7="AAA","","Weekend AAA")</f>
        <v/>
      </c>
      <c r="J8" s="286"/>
      <c r="K8" s="285" t="str">
        <f>IF(I8="","",K7)</f>
        <v/>
      </c>
      <c r="L8" s="397" t="str">
        <f>IF(I8="","","off retail rate")</f>
        <v/>
      </c>
      <c r="M8" s="183" t="str">
        <f>IF(I8="","","Weekend")</f>
        <v/>
      </c>
    </row>
    <row r="9" spans="1:13" ht="12.75" customHeight="1" x14ac:dyDescent="0.2">
      <c r="B9" s="110" t="s">
        <v>419</v>
      </c>
      <c r="C9" s="625"/>
      <c r="D9" s="626"/>
      <c r="E9" s="626"/>
      <c r="F9" s="626"/>
      <c r="G9" s="627"/>
      <c r="I9" s="110" t="s">
        <v>419</v>
      </c>
      <c r="J9" s="590" t="s">
        <v>582</v>
      </c>
      <c r="K9" s="590"/>
      <c r="L9" s="590"/>
      <c r="M9" s="591"/>
    </row>
    <row r="10" spans="1:13" ht="13.5" thickBot="1" x14ac:dyDescent="0.25">
      <c r="B10" s="164"/>
      <c r="C10" s="628"/>
      <c r="D10" s="628"/>
      <c r="E10" s="628"/>
      <c r="F10" s="628"/>
      <c r="G10" s="629"/>
      <c r="I10" s="164"/>
      <c r="J10" s="592"/>
      <c r="K10" s="592"/>
      <c r="L10" s="592"/>
      <c r="M10" s="593"/>
    </row>
    <row r="11" spans="1:13" x14ac:dyDescent="0.2">
      <c r="B11" s="210" t="s">
        <v>508</v>
      </c>
    </row>
    <row r="12" spans="1:13" ht="13.5" thickBot="1" x14ac:dyDescent="0.25"/>
    <row r="13" spans="1:13" s="284" customFormat="1" ht="20.25" customHeight="1" thickBot="1" x14ac:dyDescent="0.25">
      <c r="B13" s="342" t="s">
        <v>640</v>
      </c>
      <c r="C13" s="307" t="s">
        <v>344</v>
      </c>
      <c r="D13" s="343"/>
      <c r="E13" s="599"/>
      <c r="F13" s="595"/>
      <c r="G13" s="596"/>
    </row>
    <row r="14" spans="1:13" s="284" customFormat="1" ht="15" customHeight="1" x14ac:dyDescent="0.2">
      <c r="B14" s="344" t="s">
        <v>414</v>
      </c>
      <c r="C14" s="287" t="s">
        <v>40</v>
      </c>
      <c r="D14" s="345"/>
      <c r="E14" s="345"/>
      <c r="F14" s="345"/>
      <c r="G14" s="346"/>
    </row>
    <row r="15" spans="1:13" s="284" customFormat="1" ht="15" customHeight="1" x14ac:dyDescent="0.2">
      <c r="B15" s="344" t="s">
        <v>509</v>
      </c>
      <c r="C15" s="288">
        <v>0</v>
      </c>
      <c r="D15" s="347" t="s">
        <v>411</v>
      </c>
      <c r="E15" s="348"/>
      <c r="F15" s="345"/>
      <c r="G15" s="346"/>
    </row>
    <row r="16" spans="1:13" s="284" customFormat="1" ht="15" customHeight="1" x14ac:dyDescent="0.2">
      <c r="B16" s="344" t="s">
        <v>417</v>
      </c>
      <c r="C16" s="288">
        <v>0</v>
      </c>
      <c r="D16" s="349" t="s">
        <v>411</v>
      </c>
      <c r="E16" s="350" t="s">
        <v>418</v>
      </c>
      <c r="F16" s="345"/>
      <c r="G16" s="346"/>
    </row>
    <row r="17" spans="2:7" s="284" customFormat="1" x14ac:dyDescent="0.2">
      <c r="B17" s="351"/>
      <c r="C17" s="345"/>
      <c r="D17" s="345"/>
      <c r="E17" s="345"/>
      <c r="F17" s="345"/>
      <c r="G17" s="346"/>
    </row>
    <row r="18" spans="2:7" s="284" customFormat="1" x14ac:dyDescent="0.2">
      <c r="B18" s="289" t="s">
        <v>419</v>
      </c>
      <c r="C18" s="626"/>
      <c r="D18" s="626"/>
      <c r="E18" s="626"/>
      <c r="F18" s="626"/>
      <c r="G18" s="627"/>
    </row>
    <row r="19" spans="2:7" s="284" customFormat="1" ht="13.5" thickBot="1" x14ac:dyDescent="0.25">
      <c r="B19" s="352"/>
      <c r="C19" s="628"/>
      <c r="D19" s="628"/>
      <c r="E19" s="628"/>
      <c r="F19" s="628"/>
      <c r="G19" s="629"/>
    </row>
    <row r="20" spans="2:7" s="284" customFormat="1" x14ac:dyDescent="0.2"/>
    <row r="21" spans="2:7" s="284" customFormat="1" ht="13.5" thickBot="1" x14ac:dyDescent="0.25"/>
    <row r="22" spans="2:7" s="284" customFormat="1" ht="20.25" customHeight="1" thickBot="1" x14ac:dyDescent="0.25">
      <c r="B22" s="353" t="s">
        <v>0</v>
      </c>
      <c r="C22" s="307" t="s">
        <v>343</v>
      </c>
      <c r="D22" s="343"/>
      <c r="E22" s="599" t="s">
        <v>355</v>
      </c>
      <c r="F22" s="595"/>
      <c r="G22" s="596"/>
    </row>
    <row r="23" spans="2:7" s="284" customFormat="1" ht="15" customHeight="1" x14ac:dyDescent="0.2">
      <c r="B23" s="344" t="s">
        <v>414</v>
      </c>
      <c r="C23" s="287" t="s">
        <v>416</v>
      </c>
      <c r="D23" s="345"/>
      <c r="E23" s="345"/>
      <c r="F23" s="345"/>
      <c r="G23" s="346"/>
    </row>
    <row r="24" spans="2:7" s="284" customFormat="1" ht="15" customHeight="1" x14ac:dyDescent="0.2">
      <c r="B24" s="344" t="s">
        <v>509</v>
      </c>
      <c r="C24" s="288">
        <v>20</v>
      </c>
      <c r="D24" s="345" t="s">
        <v>411</v>
      </c>
      <c r="E24" s="345"/>
      <c r="F24" s="345"/>
      <c r="G24" s="346"/>
    </row>
    <row r="25" spans="2:7" s="284" customFormat="1" ht="15" customHeight="1" x14ac:dyDescent="0.2">
      <c r="B25" s="344" t="s">
        <v>417</v>
      </c>
      <c r="C25" s="288">
        <v>25</v>
      </c>
      <c r="D25" s="345" t="s">
        <v>411</v>
      </c>
      <c r="E25" s="354" t="s">
        <v>418</v>
      </c>
      <c r="F25" s="345"/>
      <c r="G25" s="346"/>
    </row>
    <row r="26" spans="2:7" s="284" customFormat="1" x14ac:dyDescent="0.2">
      <c r="B26" s="351"/>
      <c r="C26" s="345"/>
      <c r="D26" s="345"/>
      <c r="E26" s="345"/>
      <c r="F26" s="345"/>
      <c r="G26" s="346"/>
    </row>
    <row r="27" spans="2:7" s="284" customFormat="1" x14ac:dyDescent="0.2">
      <c r="B27" s="289" t="s">
        <v>419</v>
      </c>
      <c r="C27" s="758" t="s">
        <v>660</v>
      </c>
      <c r="D27" s="600"/>
      <c r="E27" s="600"/>
      <c r="F27" s="600"/>
      <c r="G27" s="601"/>
    </row>
    <row r="28" spans="2:7" s="284" customFormat="1" ht="13.5" thickBot="1" x14ac:dyDescent="0.25">
      <c r="B28" s="352"/>
      <c r="C28" s="602"/>
      <c r="D28" s="602"/>
      <c r="E28" s="602"/>
      <c r="F28" s="602"/>
      <c r="G28" s="603"/>
    </row>
    <row r="29" spans="2:7" s="284" customFormat="1" x14ac:dyDescent="0.2"/>
    <row r="30" spans="2:7" s="284" customFormat="1" ht="13.5" thickBot="1" x14ac:dyDescent="0.25"/>
    <row r="31" spans="2:7" s="284" customFormat="1" ht="20.25" customHeight="1" x14ac:dyDescent="0.2">
      <c r="B31" s="353" t="s">
        <v>420</v>
      </c>
      <c r="C31" s="309" t="s">
        <v>343</v>
      </c>
      <c r="D31" s="355"/>
      <c r="E31" s="604" t="s">
        <v>421</v>
      </c>
      <c r="F31" s="605"/>
      <c r="G31" s="308">
        <v>14</v>
      </c>
    </row>
    <row r="32" spans="2:7" s="284" customFormat="1" x14ac:dyDescent="0.2">
      <c r="B32" s="356"/>
      <c r="C32" s="357" t="s">
        <v>103</v>
      </c>
      <c r="D32" s="345"/>
      <c r="E32" s="345"/>
      <c r="F32" s="345"/>
      <c r="G32" s="346"/>
    </row>
    <row r="33" spans="2:7" s="284" customFormat="1" x14ac:dyDescent="0.2">
      <c r="B33" s="358" t="str">
        <f>'General Set-Up'!B7</f>
        <v>KING</v>
      </c>
      <c r="C33" s="290">
        <v>338</v>
      </c>
      <c r="D33" s="345"/>
      <c r="E33" s="606" t="s">
        <v>422</v>
      </c>
      <c r="F33" s="606"/>
      <c r="G33" s="607"/>
    </row>
    <row r="34" spans="2:7" s="284" customFormat="1" x14ac:dyDescent="0.2">
      <c r="B34" s="358" t="str">
        <f>'General Set-Up'!B8</f>
        <v>DBDB</v>
      </c>
      <c r="C34" s="290">
        <v>313</v>
      </c>
      <c r="D34" s="345"/>
      <c r="E34" s="608"/>
      <c r="F34" s="609"/>
      <c r="G34" s="610"/>
    </row>
    <row r="35" spans="2:7" s="284" customFormat="1" x14ac:dyDescent="0.2">
      <c r="B35" s="358" t="str">
        <f>'General Set-Up'!B9</f>
        <v>PMRS</v>
      </c>
      <c r="C35" s="290">
        <v>372</v>
      </c>
      <c r="D35" s="345"/>
      <c r="E35" s="611"/>
      <c r="F35" s="612"/>
      <c r="G35" s="613"/>
    </row>
    <row r="36" spans="2:7" s="284" customFormat="1" x14ac:dyDescent="0.2">
      <c r="B36" s="358" t="str">
        <f>'General Set-Up'!B10</f>
        <v>PMRS</v>
      </c>
      <c r="C36" s="290">
        <v>389</v>
      </c>
      <c r="D36" s="345"/>
      <c r="E36" s="611"/>
      <c r="F36" s="612"/>
      <c r="G36" s="613"/>
    </row>
    <row r="37" spans="2:7" s="284" customFormat="1" x14ac:dyDescent="0.2">
      <c r="B37" s="358">
        <f>'General Set-Up'!B11</f>
        <v>0</v>
      </c>
      <c r="C37" s="290"/>
      <c r="D37" s="345"/>
      <c r="E37" s="611"/>
      <c r="F37" s="612"/>
      <c r="G37" s="613"/>
    </row>
    <row r="38" spans="2:7" s="284" customFormat="1" x14ac:dyDescent="0.2">
      <c r="B38" s="358">
        <f>'General Set-Up'!B12</f>
        <v>0</v>
      </c>
      <c r="C38" s="290"/>
      <c r="D38" s="345"/>
      <c r="E38" s="611"/>
      <c r="F38" s="612"/>
      <c r="G38" s="613"/>
    </row>
    <row r="39" spans="2:7" s="284" customFormat="1" x14ac:dyDescent="0.2">
      <c r="B39" s="358">
        <f>'General Set-Up'!B13</f>
        <v>0</v>
      </c>
      <c r="C39" s="290"/>
      <c r="D39" s="345"/>
      <c r="E39" s="611"/>
      <c r="F39" s="612"/>
      <c r="G39" s="613"/>
    </row>
    <row r="40" spans="2:7" s="284" customFormat="1" x14ac:dyDescent="0.2">
      <c r="B40" s="358">
        <f>'General Set-Up'!B14</f>
        <v>0</v>
      </c>
      <c r="C40" s="290"/>
      <c r="D40" s="345"/>
      <c r="E40" s="611"/>
      <c r="F40" s="612"/>
      <c r="G40" s="613"/>
    </row>
    <row r="41" spans="2:7" s="284" customFormat="1" x14ac:dyDescent="0.2">
      <c r="B41" s="358">
        <f>'General Set-Up'!B15</f>
        <v>0</v>
      </c>
      <c r="C41" s="290"/>
      <c r="D41" s="345"/>
      <c r="E41" s="611"/>
      <c r="F41" s="612"/>
      <c r="G41" s="613"/>
    </row>
    <row r="42" spans="2:7" s="284" customFormat="1" x14ac:dyDescent="0.2">
      <c r="B42" s="358">
        <f>'General Set-Up'!B16</f>
        <v>0</v>
      </c>
      <c r="C42" s="290"/>
      <c r="D42" s="345"/>
      <c r="E42" s="611"/>
      <c r="F42" s="612"/>
      <c r="G42" s="613"/>
    </row>
    <row r="43" spans="2:7" s="284" customFormat="1" x14ac:dyDescent="0.2">
      <c r="B43" s="358">
        <f>'General Set-Up'!B17</f>
        <v>0</v>
      </c>
      <c r="C43" s="290"/>
      <c r="D43" s="345"/>
      <c r="E43" s="611"/>
      <c r="F43" s="612"/>
      <c r="G43" s="613"/>
    </row>
    <row r="44" spans="2:7" s="284" customFormat="1" x14ac:dyDescent="0.2">
      <c r="B44" s="358">
        <f>'General Set-Up'!B18</f>
        <v>0</v>
      </c>
      <c r="C44" s="290"/>
      <c r="D44" s="345"/>
      <c r="E44" s="611"/>
      <c r="F44" s="612"/>
      <c r="G44" s="613"/>
    </row>
    <row r="45" spans="2:7" s="284" customFormat="1" x14ac:dyDescent="0.2">
      <c r="B45" s="358">
        <f>'General Set-Up'!B19</f>
        <v>0</v>
      </c>
      <c r="C45" s="290"/>
      <c r="D45" s="345"/>
      <c r="E45" s="611"/>
      <c r="F45" s="612"/>
      <c r="G45" s="613"/>
    </row>
    <row r="46" spans="2:7" s="284" customFormat="1" x14ac:dyDescent="0.2">
      <c r="B46" s="358">
        <f>'General Set-Up'!B20</f>
        <v>0</v>
      </c>
      <c r="C46" s="290"/>
      <c r="D46" s="345"/>
      <c r="E46" s="611"/>
      <c r="F46" s="612"/>
      <c r="G46" s="613"/>
    </row>
    <row r="47" spans="2:7" s="284" customFormat="1" x14ac:dyDescent="0.2">
      <c r="B47" s="358">
        <f>'General Set-Up'!B21</f>
        <v>0</v>
      </c>
      <c r="C47" s="290"/>
      <c r="D47" s="345"/>
      <c r="E47" s="611"/>
      <c r="F47" s="612"/>
      <c r="G47" s="613"/>
    </row>
    <row r="48" spans="2:7" s="284" customFormat="1" ht="13.5" thickBot="1" x14ac:dyDescent="0.25">
      <c r="B48" s="359">
        <f>'General Set-Up'!B22</f>
        <v>0</v>
      </c>
      <c r="C48" s="291"/>
      <c r="D48" s="360"/>
      <c r="E48" s="614"/>
      <c r="F48" s="615"/>
      <c r="G48" s="616"/>
    </row>
    <row r="49" spans="1:13" s="284" customFormat="1" x14ac:dyDescent="0.2"/>
    <row r="50" spans="1:13" s="284" customFormat="1" x14ac:dyDescent="0.2"/>
    <row r="51" spans="1:13" ht="13.5" thickBot="1" x14ac:dyDescent="0.25"/>
    <row r="52" spans="1:13" ht="15.75" thickBot="1" x14ac:dyDescent="0.25">
      <c r="B52" s="117" t="s">
        <v>434</v>
      </c>
      <c r="C52" s="311" t="s">
        <v>344</v>
      </c>
      <c r="D52" s="171"/>
      <c r="E52" s="170" t="s">
        <v>437</v>
      </c>
      <c r="F52" s="119"/>
      <c r="G52" s="310" t="s">
        <v>343</v>
      </c>
      <c r="I52" s="187" t="s">
        <v>621</v>
      </c>
      <c r="J52" s="307" t="s">
        <v>344</v>
      </c>
      <c r="K52" s="594" t="s">
        <v>355</v>
      </c>
      <c r="L52" s="595"/>
      <c r="M52" s="596"/>
    </row>
    <row r="53" spans="1:13" ht="13.5" thickBot="1" x14ac:dyDescent="0.25">
      <c r="B53" s="110" t="s">
        <v>414</v>
      </c>
      <c r="C53" s="292" t="s">
        <v>40</v>
      </c>
      <c r="D53" s="163"/>
      <c r="E53" s="176" t="s">
        <v>414</v>
      </c>
      <c r="F53" s="163"/>
      <c r="G53" s="292" t="s">
        <v>40</v>
      </c>
      <c r="I53" s="193" t="s">
        <v>414</v>
      </c>
      <c r="J53" s="287" t="s">
        <v>416</v>
      </c>
      <c r="K53" s="180"/>
      <c r="L53" s="180"/>
      <c r="M53" s="426"/>
    </row>
    <row r="54" spans="1:13" x14ac:dyDescent="0.2">
      <c r="B54" s="174" t="s">
        <v>435</v>
      </c>
      <c r="C54" s="175" t="s">
        <v>103</v>
      </c>
      <c r="D54" s="163"/>
      <c r="E54" s="177" t="s">
        <v>435</v>
      </c>
      <c r="F54" s="163"/>
      <c r="G54" s="178" t="s">
        <v>103</v>
      </c>
      <c r="I54" s="179"/>
      <c r="J54" s="180"/>
      <c r="K54" s="180"/>
      <c r="L54" s="395"/>
      <c r="M54" s="406" t="s">
        <v>334</v>
      </c>
    </row>
    <row r="55" spans="1:13" ht="15" customHeight="1" x14ac:dyDescent="0.2">
      <c r="B55" s="293" t="s">
        <v>436</v>
      </c>
      <c r="C55" s="294"/>
      <c r="D55" s="163"/>
      <c r="E55" s="617" t="s">
        <v>436</v>
      </c>
      <c r="F55" s="617"/>
      <c r="G55" s="295"/>
      <c r="I55" s="184" t="str">
        <f>IF($K$52="weekday and weekend","Weekday F&amp;F", "F&amp;F")</f>
        <v>F&amp;F</v>
      </c>
      <c r="J55" s="286">
        <v>15</v>
      </c>
      <c r="K55" s="285" t="s">
        <v>410</v>
      </c>
      <c r="L55" s="396" t="s">
        <v>507</v>
      </c>
      <c r="M55" s="185" t="str">
        <f>IF(K52="weekday","weekday",IF(K52="weekend","weekend",IF(K52="7 days a week","7 days","Weekday")))</f>
        <v>7 days</v>
      </c>
    </row>
    <row r="56" spans="1:13" ht="15" customHeight="1" x14ac:dyDescent="0.2">
      <c r="B56" s="293" t="s">
        <v>337</v>
      </c>
      <c r="C56" s="294"/>
      <c r="D56" s="163"/>
      <c r="E56" s="617" t="s">
        <v>337</v>
      </c>
      <c r="F56" s="617"/>
      <c r="G56" s="295"/>
      <c r="I56" s="182" t="str">
        <f>IF(I55="F&amp;F","","Weekend F&amp;F")</f>
        <v/>
      </c>
      <c r="J56" s="286"/>
      <c r="K56" s="285" t="str">
        <f>IF(I56="","",K55)</f>
        <v/>
      </c>
      <c r="L56" s="397" t="str">
        <f>IF(I56="","","off retail rate")</f>
        <v/>
      </c>
      <c r="M56" s="183" t="str">
        <f>IF(I56="","","Weekend")</f>
        <v/>
      </c>
    </row>
    <row r="57" spans="1:13" ht="15" customHeight="1" x14ac:dyDescent="0.2">
      <c r="B57" s="293" t="s">
        <v>338</v>
      </c>
      <c r="C57" s="294"/>
      <c r="D57" s="163"/>
      <c r="E57" s="617" t="s">
        <v>338</v>
      </c>
      <c r="F57" s="617"/>
      <c r="G57" s="295"/>
      <c r="I57" s="478" t="s">
        <v>620</v>
      </c>
      <c r="J57" s="590"/>
      <c r="K57" s="590"/>
      <c r="L57" s="590"/>
      <c r="M57" s="591"/>
    </row>
    <row r="58" spans="1:13" ht="15" customHeight="1" thickBot="1" x14ac:dyDescent="0.25">
      <c r="B58" s="293" t="s">
        <v>339</v>
      </c>
      <c r="C58" s="294"/>
      <c r="D58" s="163"/>
      <c r="E58" s="617" t="s">
        <v>339</v>
      </c>
      <c r="F58" s="617"/>
      <c r="G58" s="295"/>
      <c r="I58" s="164"/>
      <c r="J58" s="592"/>
      <c r="K58" s="592"/>
      <c r="L58" s="592"/>
      <c r="M58" s="593"/>
    </row>
    <row r="59" spans="1:13" x14ac:dyDescent="0.2">
      <c r="B59" s="619" t="s">
        <v>438</v>
      </c>
      <c r="C59" s="620"/>
      <c r="D59" s="620"/>
      <c r="E59" s="620"/>
      <c r="F59" s="620"/>
      <c r="G59" s="621"/>
    </row>
    <row r="60" spans="1:13" ht="13.5" thickBot="1" x14ac:dyDescent="0.25">
      <c r="B60" s="622"/>
      <c r="C60" s="623"/>
      <c r="D60" s="623"/>
      <c r="E60" s="623"/>
      <c r="F60" s="623"/>
      <c r="G60" s="624"/>
    </row>
    <row r="62" spans="1:13" ht="13.5" thickBot="1" x14ac:dyDescent="0.25">
      <c r="A62" s="70"/>
      <c r="B62" s="72"/>
      <c r="C62" s="73"/>
      <c r="D62" s="70"/>
      <c r="E62" s="74"/>
      <c r="F62" s="74"/>
      <c r="G62" s="74"/>
      <c r="H62" s="70"/>
      <c r="I62" s="70"/>
      <c r="J62" s="70"/>
    </row>
    <row r="63" spans="1:13" ht="13.5" thickBot="1" x14ac:dyDescent="0.25">
      <c r="A63" s="70"/>
      <c r="B63" s="117" t="s">
        <v>440</v>
      </c>
      <c r="C63" s="121"/>
      <c r="D63" s="119"/>
      <c r="E63" s="122"/>
      <c r="F63" s="122"/>
      <c r="G63" s="122"/>
      <c r="H63" s="119"/>
      <c r="I63" s="119"/>
      <c r="J63" s="120"/>
      <c r="K63" s="597"/>
      <c r="L63" s="598"/>
      <c r="M63" s="598"/>
    </row>
    <row r="64" spans="1:13" s="75" customFormat="1" ht="45.75" thickBot="1" x14ac:dyDescent="0.25">
      <c r="A64" s="71"/>
      <c r="B64" s="110"/>
      <c r="C64" s="111"/>
      <c r="D64" s="112" t="s">
        <v>625</v>
      </c>
      <c r="E64" s="113" t="s">
        <v>578</v>
      </c>
      <c r="F64" s="114" t="s">
        <v>322</v>
      </c>
      <c r="G64" s="114" t="s">
        <v>611</v>
      </c>
      <c r="H64" s="114" t="s">
        <v>439</v>
      </c>
      <c r="I64" s="116" t="s">
        <v>534</v>
      </c>
      <c r="J64" s="115" t="s">
        <v>1</v>
      </c>
      <c r="K64" s="427" t="s">
        <v>252</v>
      </c>
      <c r="L64" s="427" t="s">
        <v>253</v>
      </c>
      <c r="M64" s="427" t="s">
        <v>254</v>
      </c>
    </row>
    <row r="65" spans="1:13" ht="18" customHeight="1" x14ac:dyDescent="0.2">
      <c r="A65" s="70"/>
      <c r="B65" s="85" t="str">
        <f>'General Set-Up'!B7</f>
        <v>KING</v>
      </c>
      <c r="C65" s="87" t="str">
        <f>'General Set-Up'!E7</f>
        <v>Standard</v>
      </c>
      <c r="D65" s="481"/>
      <c r="E65" s="759" t="s">
        <v>661</v>
      </c>
      <c r="F65" s="759" t="s">
        <v>661</v>
      </c>
      <c r="G65" s="469"/>
      <c r="H65" s="759" t="s">
        <v>661</v>
      </c>
      <c r="I65" s="759" t="s">
        <v>663</v>
      </c>
      <c r="J65" s="761" t="s">
        <v>663</v>
      </c>
      <c r="K65" s="296"/>
      <c r="L65" s="296"/>
      <c r="M65" s="296"/>
    </row>
    <row r="66" spans="1:13" ht="18" customHeight="1" x14ac:dyDescent="0.2">
      <c r="A66" s="70"/>
      <c r="B66" s="98" t="str">
        <f>'General Set-Up'!B8</f>
        <v>DBDB</v>
      </c>
      <c r="C66" s="99" t="str">
        <f>'General Set-Up'!E8</f>
        <v>Standard</v>
      </c>
      <c r="D66" s="482"/>
      <c r="E66" s="760" t="s">
        <v>661</v>
      </c>
      <c r="F66" s="760" t="s">
        <v>661</v>
      </c>
      <c r="G66" s="470"/>
      <c r="H66" s="760" t="s">
        <v>661</v>
      </c>
      <c r="I66" s="760" t="s">
        <v>661</v>
      </c>
      <c r="J66" s="762" t="s">
        <v>661</v>
      </c>
      <c r="K66" s="299"/>
      <c r="L66" s="299"/>
      <c r="M66" s="299"/>
    </row>
    <row r="67" spans="1:13" ht="18" customHeight="1" x14ac:dyDescent="0.2">
      <c r="A67" s="70"/>
      <c r="B67" s="98" t="str">
        <f>'General Set-Up'!B9</f>
        <v>PMRS</v>
      </c>
      <c r="C67" s="99" t="str">
        <f>'General Set-Up'!E9</f>
        <v>Standard</v>
      </c>
      <c r="D67" s="482"/>
      <c r="E67" s="760" t="s">
        <v>661</v>
      </c>
      <c r="F67" s="760" t="s">
        <v>662</v>
      </c>
      <c r="G67" s="470"/>
      <c r="H67" s="760" t="s">
        <v>661</v>
      </c>
      <c r="I67" s="760" t="s">
        <v>661</v>
      </c>
      <c r="J67" s="762" t="s">
        <v>661</v>
      </c>
      <c r="K67" s="299"/>
      <c r="L67" s="299"/>
      <c r="M67" s="299"/>
    </row>
    <row r="68" spans="1:13" ht="18" customHeight="1" x14ac:dyDescent="0.2">
      <c r="A68" s="70"/>
      <c r="B68" s="98" t="str">
        <f>'General Set-Up'!B10</f>
        <v>PMRS</v>
      </c>
      <c r="C68" s="99" t="str">
        <f>'General Set-Up'!E10</f>
        <v>Standard</v>
      </c>
      <c r="D68" s="482"/>
      <c r="E68" s="760" t="s">
        <v>661</v>
      </c>
      <c r="F68" s="760" t="s">
        <v>663</v>
      </c>
      <c r="G68" s="470"/>
      <c r="H68" s="760" t="s">
        <v>661</v>
      </c>
      <c r="I68" s="760" t="s">
        <v>664</v>
      </c>
      <c r="J68" s="762" t="s">
        <v>663</v>
      </c>
      <c r="K68" s="299"/>
      <c r="L68" s="299"/>
      <c r="M68" s="299"/>
    </row>
    <row r="69" spans="1:13" ht="18" customHeight="1" x14ac:dyDescent="0.2">
      <c r="A69" s="70"/>
      <c r="B69" s="98">
        <f>'General Set-Up'!B11</f>
        <v>0</v>
      </c>
      <c r="C69" s="99">
        <f>'General Set-Up'!E11</f>
        <v>0</v>
      </c>
      <c r="D69" s="482"/>
      <c r="E69" s="297" t="str">
        <f t="shared" ref="E66:J80" si="0">IF($B69=0,"",IF($C69="Standard", "YES", "NO"))</f>
        <v/>
      </c>
      <c r="F69" s="297" t="str">
        <f t="shared" si="0"/>
        <v/>
      </c>
      <c r="G69" s="470"/>
      <c r="H69" s="297" t="str">
        <f t="shared" si="0"/>
        <v/>
      </c>
      <c r="I69" s="297" t="str">
        <f t="shared" si="0"/>
        <v/>
      </c>
      <c r="J69" s="298" t="str">
        <f t="shared" si="0"/>
        <v/>
      </c>
      <c r="K69" s="299"/>
      <c r="L69" s="299"/>
      <c r="M69" s="299"/>
    </row>
    <row r="70" spans="1:13" ht="18" customHeight="1" x14ac:dyDescent="0.2">
      <c r="B70" s="98">
        <f>'General Set-Up'!B12</f>
        <v>0</v>
      </c>
      <c r="C70" s="99">
        <f>'General Set-Up'!E12</f>
        <v>0</v>
      </c>
      <c r="D70" s="482"/>
      <c r="E70" s="297" t="str">
        <f t="shared" si="0"/>
        <v/>
      </c>
      <c r="F70" s="297" t="str">
        <f t="shared" si="0"/>
        <v/>
      </c>
      <c r="G70" s="470"/>
      <c r="H70" s="297" t="str">
        <f t="shared" si="0"/>
        <v/>
      </c>
      <c r="I70" s="297" t="str">
        <f t="shared" si="0"/>
        <v/>
      </c>
      <c r="J70" s="298" t="str">
        <f t="shared" si="0"/>
        <v/>
      </c>
      <c r="K70" s="299"/>
      <c r="L70" s="299"/>
      <c r="M70" s="299"/>
    </row>
    <row r="71" spans="1:13" ht="18" customHeight="1" x14ac:dyDescent="0.2">
      <c r="B71" s="98">
        <f>'General Set-Up'!B13</f>
        <v>0</v>
      </c>
      <c r="C71" s="99">
        <f>'General Set-Up'!E13</f>
        <v>0</v>
      </c>
      <c r="D71" s="482"/>
      <c r="E71" s="297" t="str">
        <f t="shared" si="0"/>
        <v/>
      </c>
      <c r="F71" s="297" t="str">
        <f t="shared" si="0"/>
        <v/>
      </c>
      <c r="G71" s="470"/>
      <c r="H71" s="297" t="str">
        <f t="shared" si="0"/>
        <v/>
      </c>
      <c r="I71" s="297" t="str">
        <f t="shared" si="0"/>
        <v/>
      </c>
      <c r="J71" s="298" t="str">
        <f t="shared" si="0"/>
        <v/>
      </c>
      <c r="K71" s="299"/>
      <c r="L71" s="299"/>
      <c r="M71" s="299"/>
    </row>
    <row r="72" spans="1:13" ht="18" customHeight="1" x14ac:dyDescent="0.2">
      <c r="B72" s="98">
        <f>'General Set-Up'!B14</f>
        <v>0</v>
      </c>
      <c r="C72" s="99">
        <f>'General Set-Up'!E14</f>
        <v>0</v>
      </c>
      <c r="D72" s="482"/>
      <c r="E72" s="297" t="str">
        <f t="shared" si="0"/>
        <v/>
      </c>
      <c r="F72" s="297" t="str">
        <f t="shared" si="0"/>
        <v/>
      </c>
      <c r="G72" s="470"/>
      <c r="H72" s="297" t="str">
        <f t="shared" si="0"/>
        <v/>
      </c>
      <c r="I72" s="297" t="str">
        <f t="shared" si="0"/>
        <v/>
      </c>
      <c r="J72" s="298" t="str">
        <f t="shared" si="0"/>
        <v/>
      </c>
      <c r="K72" s="299"/>
      <c r="L72" s="299"/>
      <c r="M72" s="299"/>
    </row>
    <row r="73" spans="1:13" ht="18" customHeight="1" x14ac:dyDescent="0.2">
      <c r="B73" s="98">
        <f>'General Set-Up'!B15</f>
        <v>0</v>
      </c>
      <c r="C73" s="99">
        <f>'General Set-Up'!E15</f>
        <v>0</v>
      </c>
      <c r="D73" s="482"/>
      <c r="E73" s="297" t="str">
        <f t="shared" si="0"/>
        <v/>
      </c>
      <c r="F73" s="297" t="str">
        <f t="shared" si="0"/>
        <v/>
      </c>
      <c r="G73" s="470"/>
      <c r="H73" s="297" t="str">
        <f t="shared" si="0"/>
        <v/>
      </c>
      <c r="I73" s="297" t="str">
        <f t="shared" si="0"/>
        <v/>
      </c>
      <c r="J73" s="298" t="str">
        <f t="shared" si="0"/>
        <v/>
      </c>
      <c r="K73" s="299"/>
      <c r="L73" s="299"/>
      <c r="M73" s="299"/>
    </row>
    <row r="74" spans="1:13" ht="18" customHeight="1" x14ac:dyDescent="0.2">
      <c r="B74" s="98">
        <f>'General Set-Up'!B16</f>
        <v>0</v>
      </c>
      <c r="C74" s="99">
        <f>'General Set-Up'!E16</f>
        <v>0</v>
      </c>
      <c r="D74" s="482"/>
      <c r="E74" s="297" t="str">
        <f t="shared" si="0"/>
        <v/>
      </c>
      <c r="F74" s="297" t="str">
        <f t="shared" si="0"/>
        <v/>
      </c>
      <c r="G74" s="470"/>
      <c r="H74" s="297" t="str">
        <f t="shared" si="0"/>
        <v/>
      </c>
      <c r="I74" s="297" t="str">
        <f t="shared" si="0"/>
        <v/>
      </c>
      <c r="J74" s="298" t="str">
        <f t="shared" si="0"/>
        <v/>
      </c>
      <c r="K74" s="299"/>
      <c r="L74" s="299"/>
      <c r="M74" s="299"/>
    </row>
    <row r="75" spans="1:13" ht="18" customHeight="1" x14ac:dyDescent="0.2">
      <c r="B75" s="98">
        <f>'General Set-Up'!B17</f>
        <v>0</v>
      </c>
      <c r="C75" s="99">
        <f>'General Set-Up'!E17</f>
        <v>0</v>
      </c>
      <c r="D75" s="482"/>
      <c r="E75" s="297" t="str">
        <f t="shared" si="0"/>
        <v/>
      </c>
      <c r="F75" s="297" t="str">
        <f t="shared" si="0"/>
        <v/>
      </c>
      <c r="G75" s="470"/>
      <c r="H75" s="297" t="str">
        <f t="shared" si="0"/>
        <v/>
      </c>
      <c r="I75" s="297" t="str">
        <f t="shared" si="0"/>
        <v/>
      </c>
      <c r="J75" s="298" t="str">
        <f t="shared" si="0"/>
        <v/>
      </c>
      <c r="K75" s="299"/>
      <c r="L75" s="299"/>
      <c r="M75" s="299"/>
    </row>
    <row r="76" spans="1:13" ht="18" customHeight="1" x14ac:dyDescent="0.2">
      <c r="B76" s="98">
        <f>'General Set-Up'!B18</f>
        <v>0</v>
      </c>
      <c r="C76" s="99">
        <f>'General Set-Up'!E18</f>
        <v>0</v>
      </c>
      <c r="D76" s="482"/>
      <c r="E76" s="297" t="str">
        <f t="shared" si="0"/>
        <v/>
      </c>
      <c r="F76" s="297" t="str">
        <f t="shared" si="0"/>
        <v/>
      </c>
      <c r="G76" s="470"/>
      <c r="H76" s="297" t="str">
        <f t="shared" si="0"/>
        <v/>
      </c>
      <c r="I76" s="297" t="str">
        <f t="shared" si="0"/>
        <v/>
      </c>
      <c r="J76" s="298" t="str">
        <f t="shared" si="0"/>
        <v/>
      </c>
      <c r="K76" s="299"/>
      <c r="L76" s="299"/>
      <c r="M76" s="299"/>
    </row>
    <row r="77" spans="1:13" ht="18" customHeight="1" x14ac:dyDescent="0.2">
      <c r="B77" s="98">
        <f>'General Set-Up'!B19</f>
        <v>0</v>
      </c>
      <c r="C77" s="99">
        <f>'General Set-Up'!E19</f>
        <v>0</v>
      </c>
      <c r="D77" s="482"/>
      <c r="E77" s="297" t="str">
        <f t="shared" si="0"/>
        <v/>
      </c>
      <c r="F77" s="297" t="str">
        <f t="shared" si="0"/>
        <v/>
      </c>
      <c r="G77" s="470"/>
      <c r="H77" s="297" t="str">
        <f t="shared" si="0"/>
        <v/>
      </c>
      <c r="I77" s="297" t="str">
        <f t="shared" si="0"/>
        <v/>
      </c>
      <c r="J77" s="298" t="str">
        <f t="shared" si="0"/>
        <v/>
      </c>
      <c r="K77" s="299"/>
      <c r="L77" s="299"/>
      <c r="M77" s="299"/>
    </row>
    <row r="78" spans="1:13" ht="18" customHeight="1" x14ac:dyDescent="0.2">
      <c r="B78" s="98">
        <f>'General Set-Up'!B20</f>
        <v>0</v>
      </c>
      <c r="C78" s="99">
        <f>'General Set-Up'!E20</f>
        <v>0</v>
      </c>
      <c r="D78" s="482"/>
      <c r="E78" s="297" t="str">
        <f t="shared" si="0"/>
        <v/>
      </c>
      <c r="F78" s="297" t="str">
        <f t="shared" si="0"/>
        <v/>
      </c>
      <c r="G78" s="470"/>
      <c r="H78" s="297" t="str">
        <f t="shared" si="0"/>
        <v/>
      </c>
      <c r="I78" s="297" t="str">
        <f t="shared" si="0"/>
        <v/>
      </c>
      <c r="J78" s="298" t="str">
        <f t="shared" si="0"/>
        <v/>
      </c>
      <c r="K78" s="299"/>
      <c r="L78" s="299"/>
      <c r="M78" s="299"/>
    </row>
    <row r="79" spans="1:13" ht="18" customHeight="1" x14ac:dyDescent="0.2">
      <c r="B79" s="98">
        <f>'General Set-Up'!B21</f>
        <v>0</v>
      </c>
      <c r="C79" s="99">
        <f>'General Set-Up'!E21</f>
        <v>0</v>
      </c>
      <c r="D79" s="482"/>
      <c r="E79" s="297" t="str">
        <f t="shared" si="0"/>
        <v/>
      </c>
      <c r="F79" s="297" t="str">
        <f t="shared" si="0"/>
        <v/>
      </c>
      <c r="G79" s="470"/>
      <c r="H79" s="297" t="str">
        <f t="shared" si="0"/>
        <v/>
      </c>
      <c r="I79" s="297" t="str">
        <f t="shared" si="0"/>
        <v/>
      </c>
      <c r="J79" s="298" t="str">
        <f t="shared" si="0"/>
        <v/>
      </c>
      <c r="K79" s="299"/>
      <c r="L79" s="299"/>
      <c r="M79" s="299"/>
    </row>
    <row r="80" spans="1:13" ht="18" customHeight="1" thickBot="1" x14ac:dyDescent="0.25">
      <c r="B80" s="207">
        <f>'General Set-Up'!B22</f>
        <v>0</v>
      </c>
      <c r="C80" s="208">
        <f>'General Set-Up'!E22</f>
        <v>0</v>
      </c>
      <c r="D80" s="483"/>
      <c r="E80" s="300" t="str">
        <f t="shared" si="0"/>
        <v/>
      </c>
      <c r="F80" s="300" t="str">
        <f t="shared" si="0"/>
        <v/>
      </c>
      <c r="G80" s="471"/>
      <c r="H80" s="300" t="str">
        <f t="shared" si="0"/>
        <v/>
      </c>
      <c r="I80" s="300" t="str">
        <f t="shared" si="0"/>
        <v/>
      </c>
      <c r="J80" s="301" t="str">
        <f t="shared" si="0"/>
        <v/>
      </c>
      <c r="K80" s="302"/>
      <c r="L80" s="302"/>
      <c r="M80" s="302"/>
    </row>
    <row r="81" spans="2:13" ht="66" customHeight="1" thickBot="1" x14ac:dyDescent="0.25">
      <c r="B81" s="630" t="s">
        <v>623</v>
      </c>
      <c r="C81" s="631"/>
      <c r="D81" s="303"/>
      <c r="E81" s="304"/>
      <c r="F81" s="304"/>
      <c r="G81" s="304"/>
      <c r="H81" s="304"/>
      <c r="I81" s="304"/>
      <c r="J81" s="305"/>
      <c r="K81" s="306"/>
      <c r="L81" s="306"/>
      <c r="M81" s="306"/>
    </row>
  </sheetData>
  <sheetProtection password="C560" sheet="1" objects="1" scenarios="1" formatCells="0" formatColumns="0" formatRows="0" sort="0" autoFilter="0"/>
  <mergeCells count="21">
    <mergeCell ref="B2:D2"/>
    <mergeCell ref="B59:G60"/>
    <mergeCell ref="D4:G4"/>
    <mergeCell ref="C9:G10"/>
    <mergeCell ref="B81:C81"/>
    <mergeCell ref="E13:G13"/>
    <mergeCell ref="C18:G19"/>
    <mergeCell ref="J9:M10"/>
    <mergeCell ref="K4:M4"/>
    <mergeCell ref="K63:M63"/>
    <mergeCell ref="E22:G22"/>
    <mergeCell ref="C27:G28"/>
    <mergeCell ref="E31:F31"/>
    <mergeCell ref="E33:G33"/>
    <mergeCell ref="E34:G48"/>
    <mergeCell ref="E58:F58"/>
    <mergeCell ref="E57:F57"/>
    <mergeCell ref="E56:F56"/>
    <mergeCell ref="E55:F55"/>
    <mergeCell ref="K52:M52"/>
    <mergeCell ref="J57:M58"/>
  </mergeCells>
  <phoneticPr fontId="47" type="noConversion"/>
  <conditionalFormatting sqref="B62">
    <cfRule type="cellIs" dxfId="11" priority="5" stopIfTrue="1" operator="equal">
      <formula>0</formula>
    </cfRule>
  </conditionalFormatting>
  <conditionalFormatting sqref="B65:C80">
    <cfRule type="cellIs" dxfId="10" priority="2" operator="equal">
      <formula>0</formula>
    </cfRule>
  </conditionalFormatting>
  <conditionalFormatting sqref="B33:B48">
    <cfRule type="cellIs" dxfId="9" priority="1" stopIfTrue="1" operator="equal">
      <formula>0</formula>
    </cfRule>
  </conditionalFormatting>
  <dataValidations count="1">
    <dataValidation type="decimal" allowBlank="1" showInputMessage="1" showErrorMessage="1" errorTitle="Phase II" error="Please enter a value between 0.1 and 0.4." promptTitle="Phase II Discount" prompt="Please enter a value between 0.1 and 0.4 to indicate the discount you would like to offer." sqref="G65:G80">
      <formula1>0.1</formula1>
      <formula2>0.4</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DropDown!$S$4:$S$5</xm:f>
          </x14:formula1>
          <xm:sqref>C4 C13 C22 C31 C52 G52 J4 J52</xm:sqref>
        </x14:dataValidation>
        <x14:dataValidation type="list" allowBlank="1" showInputMessage="1" showErrorMessage="1">
          <x14:formula1>
            <xm:f>DropDown!$W$3:$W$5</xm:f>
          </x14:formula1>
          <xm:sqref>D7 D15:D16 D24:D25 K7 K55</xm:sqref>
        </x14:dataValidation>
        <x14:dataValidation type="list" allowBlank="1" showInputMessage="1" showErrorMessage="1">
          <x14:formula1>
            <xm:f>DropDown!$X$3:$X$7</xm:f>
          </x14:formula1>
          <xm:sqref>D4 K4 K52</xm:sqref>
        </x14:dataValidation>
        <x14:dataValidation type="list" allowBlank="1" showInputMessage="1" showErrorMessage="1">
          <x14:formula1>
            <xm:f>DropDown!$Y$3:$Y$10</xm:f>
          </x14:formula1>
          <xm:sqref>F7</xm:sqref>
        </x14:dataValidation>
        <x14:dataValidation type="list" allowBlank="1" showInputMessage="1" showErrorMessage="1">
          <x14:formula1>
            <xm:f>DropDown!$AA$3:$AA$5</xm:f>
          </x14:formula1>
          <xm:sqref>E13:G13</xm:sqref>
        </x14:dataValidation>
        <x14:dataValidation type="list" allowBlank="1" showInputMessage="1" showErrorMessage="1">
          <x14:formula1>
            <xm:f>DropDown!$AB$3:$AB$5</xm:f>
          </x14:formula1>
          <xm:sqref>E22:G22</xm:sqref>
        </x14:dataValidation>
        <x14:dataValidation type="list" allowBlank="1" showInputMessage="1" showErrorMessage="1">
          <x14:formula1>
            <xm:f>DropDown!$Z$3:$Z$8</xm:f>
          </x14:formula1>
          <xm:sqref>C14 C5 J5 J53 G53 C53 C23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EChannel"/>
  <dimension ref="A1:P32"/>
  <sheetViews>
    <sheetView zoomScaleNormal="100" workbookViewId="0">
      <selection activeCell="L6" sqref="L6"/>
    </sheetView>
  </sheetViews>
  <sheetFormatPr defaultRowHeight="12.75" x14ac:dyDescent="0.2"/>
  <cols>
    <col min="1" max="1" width="9.140625" style="61"/>
    <col min="2" max="2" width="11.140625" style="61" customWidth="1"/>
    <col min="3" max="3" width="17.7109375" style="61" customWidth="1"/>
    <col min="4" max="5" width="9.140625" style="61"/>
    <col min="6" max="6" width="15" style="61" customWidth="1"/>
    <col min="7" max="7" width="10.7109375" style="61" customWidth="1"/>
    <col min="8" max="8" width="11.28515625" style="61" customWidth="1"/>
    <col min="9" max="9" width="11" style="61" customWidth="1"/>
    <col min="10" max="11" width="10.28515625" style="61" customWidth="1"/>
    <col min="12" max="12" width="15.28515625" style="61" customWidth="1"/>
    <col min="13" max="13" width="14" style="61" customWidth="1"/>
    <col min="14" max="16384" width="9.140625" style="61"/>
  </cols>
  <sheetData>
    <row r="1" spans="1:16" x14ac:dyDescent="0.2">
      <c r="A1" s="75" t="s">
        <v>529</v>
      </c>
    </row>
    <row r="2" spans="1:16" ht="18" x14ac:dyDescent="0.25">
      <c r="B2" s="618" t="s">
        <v>255</v>
      </c>
      <c r="C2" s="618"/>
      <c r="D2" s="618"/>
    </row>
    <row r="3" spans="1:16" ht="18.75" thickBot="1" x14ac:dyDescent="0.3">
      <c r="B3" s="100"/>
      <c r="C3" s="100"/>
      <c r="D3" s="100"/>
    </row>
    <row r="4" spans="1:16" ht="31.5" customHeight="1" thickBot="1" x14ac:dyDescent="0.3">
      <c r="D4" s="642" t="s">
        <v>441</v>
      </c>
      <c r="E4" s="639"/>
      <c r="F4" s="639"/>
      <c r="G4" s="641"/>
      <c r="H4" s="662" t="s">
        <v>444</v>
      </c>
      <c r="I4" s="670" t="s">
        <v>445</v>
      </c>
      <c r="J4" s="671"/>
      <c r="K4" s="484"/>
      <c r="L4" s="675" t="s">
        <v>588</v>
      </c>
      <c r="M4" s="676"/>
      <c r="N4" s="677"/>
      <c r="O4" s="400"/>
      <c r="P4" s="400"/>
    </row>
    <row r="5" spans="1:16" s="77" customFormat="1" ht="39" thickBot="1" x14ac:dyDescent="0.25">
      <c r="D5" s="95" t="s">
        <v>197</v>
      </c>
      <c r="E5" s="96" t="s">
        <v>442</v>
      </c>
      <c r="F5" s="96" t="s">
        <v>443</v>
      </c>
      <c r="G5" s="97" t="s">
        <v>348</v>
      </c>
      <c r="H5" s="663"/>
      <c r="I5" s="96" t="s">
        <v>446</v>
      </c>
      <c r="J5" s="97" t="s">
        <v>257</v>
      </c>
      <c r="K5" s="485" t="s">
        <v>637</v>
      </c>
      <c r="L5" s="401" t="s">
        <v>258</v>
      </c>
      <c r="M5" s="398" t="s">
        <v>321</v>
      </c>
      <c r="N5" s="402" t="s">
        <v>259</v>
      </c>
    </row>
    <row r="6" spans="1:16" ht="18" customHeight="1" thickBot="1" x14ac:dyDescent="0.25">
      <c r="B6" s="85" t="str">
        <f>'General Set-Up'!B7</f>
        <v>KING</v>
      </c>
      <c r="C6" s="87" t="str">
        <f>'General Set-Up'!E7</f>
        <v>Standard</v>
      </c>
      <c r="D6" s="85" t="s">
        <v>343</v>
      </c>
      <c r="E6" s="86"/>
      <c r="F6" s="86" t="s">
        <v>585</v>
      </c>
      <c r="G6" s="87"/>
      <c r="H6" s="88"/>
      <c r="I6" s="89"/>
      <c r="J6" s="90"/>
      <c r="K6" s="90"/>
      <c r="L6" s="403"/>
      <c r="M6" s="404"/>
      <c r="N6" s="405"/>
    </row>
    <row r="7" spans="1:16" ht="18" customHeight="1" x14ac:dyDescent="0.2">
      <c r="B7" s="98" t="str">
        <f>'General Set-Up'!B8</f>
        <v>DBDB</v>
      </c>
      <c r="C7" s="99" t="str">
        <f>'General Set-Up'!E8</f>
        <v>Standard</v>
      </c>
      <c r="D7" s="91" t="str">
        <f>IF(B7=0,"","YES")</f>
        <v>YES</v>
      </c>
      <c r="E7" s="92" t="str">
        <f>IF(B7=0,"",IF('Standard Discounts'!C5="YES",IF('E-Channels'!C7='Standard Discounts'!$C$5,"YES","NO"),"NO"))</f>
        <v>NO</v>
      </c>
      <c r="F7" s="92" t="str">
        <f>IF(B7=0,"",IF('Standard Discounts'!$C$22="YES",IF('Standard Discounts'!$C$23="All","YES",IF('E-Channels'!C7='Standard Discounts'!$C$23,"YES","NO")),"NO"))</f>
        <v>YES</v>
      </c>
      <c r="G7" s="93"/>
      <c r="H7" s="94"/>
      <c r="I7" s="92"/>
      <c r="J7" s="93"/>
      <c r="K7" s="93"/>
      <c r="L7" s="678" t="s">
        <v>448</v>
      </c>
      <c r="M7" s="679"/>
      <c r="N7" s="679"/>
    </row>
    <row r="8" spans="1:16" ht="15.75" customHeight="1" x14ac:dyDescent="0.2">
      <c r="B8" s="98" t="str">
        <f>'General Set-Up'!B9</f>
        <v>PMRS</v>
      </c>
      <c r="C8" s="99" t="str">
        <f>'General Set-Up'!E9</f>
        <v>Standard</v>
      </c>
      <c r="D8" s="91" t="str">
        <f t="shared" ref="D8:D21" si="0">IF(B8=0,"","YES")</f>
        <v>YES</v>
      </c>
      <c r="E8" s="92" t="str">
        <f>IF(B8=0,"",IF('Standard Discounts'!C6="YES",IF('E-Channels'!C8='Standard Discounts'!$C$5,"YES","NO"),"NO"))</f>
        <v>NO</v>
      </c>
      <c r="F8" s="92" t="str">
        <f>IF(B8=0,"",IF('Standard Discounts'!$C$22="YES",IF('Standard Discounts'!$C$23="All","YES",IF('E-Channels'!C8='Standard Discounts'!$C$23,"YES","NO")),"NO"))</f>
        <v>YES</v>
      </c>
      <c r="G8" s="93"/>
      <c r="H8" s="94"/>
      <c r="I8" s="92"/>
      <c r="J8" s="93"/>
      <c r="K8" s="93"/>
      <c r="L8" s="680"/>
      <c r="M8" s="681"/>
      <c r="N8" s="681"/>
    </row>
    <row r="9" spans="1:16" ht="18" customHeight="1" x14ac:dyDescent="0.2">
      <c r="B9" s="98" t="str">
        <f>'General Set-Up'!B10</f>
        <v>PMRS</v>
      </c>
      <c r="C9" s="99" t="str">
        <f>'General Set-Up'!E10</f>
        <v>Standard</v>
      </c>
      <c r="D9" s="91" t="str">
        <f t="shared" si="0"/>
        <v>YES</v>
      </c>
      <c r="E9" s="92" t="str">
        <f>IF(B9=0,"",IF('Standard Discounts'!C7="YES",IF('E-Channels'!C9='Standard Discounts'!$C$5,"YES","NO"),"NO"))</f>
        <v>NO</v>
      </c>
      <c r="F9" s="92" t="str">
        <f>IF(B9=0,"",IF('Standard Discounts'!$C$22="YES",IF('Standard Discounts'!$C$23="All","YES",IF('E-Channels'!C9='Standard Discounts'!$C$23,"YES","NO")),"NO"))</f>
        <v>YES</v>
      </c>
      <c r="G9" s="93"/>
      <c r="H9" s="94"/>
      <c r="I9" s="92"/>
      <c r="J9" s="93"/>
      <c r="K9" s="93"/>
      <c r="L9" s="399"/>
    </row>
    <row r="10" spans="1:16" ht="18" customHeight="1" x14ac:dyDescent="0.2">
      <c r="B10" s="98">
        <f>'General Set-Up'!B11</f>
        <v>0</v>
      </c>
      <c r="C10" s="99">
        <f>'General Set-Up'!E11</f>
        <v>0</v>
      </c>
      <c r="D10" s="91" t="str">
        <f t="shared" si="0"/>
        <v/>
      </c>
      <c r="E10" s="92" t="str">
        <f>IF(B10=0,"",IF('Standard Discounts'!C8="YES",IF('E-Channels'!C10='Standard Discounts'!$C$5,"YES","NO"),"NO"))</f>
        <v/>
      </c>
      <c r="F10" s="92" t="str">
        <f>IF(B10=0,"",IF('Standard Discounts'!$C$22="YES",IF('Standard Discounts'!$C$23="All","YES",IF('E-Channels'!C10='Standard Discounts'!$C$23,"YES","NO")),"NO"))</f>
        <v/>
      </c>
      <c r="G10" s="93"/>
      <c r="H10" s="94"/>
      <c r="I10" s="92"/>
      <c r="J10" s="93"/>
      <c r="K10" s="93"/>
    </row>
    <row r="11" spans="1:16" ht="18" customHeight="1" x14ac:dyDescent="0.2">
      <c r="B11" s="98">
        <f>'General Set-Up'!B12</f>
        <v>0</v>
      </c>
      <c r="C11" s="99">
        <f>'General Set-Up'!E12</f>
        <v>0</v>
      </c>
      <c r="D11" s="91" t="str">
        <f t="shared" si="0"/>
        <v/>
      </c>
      <c r="E11" s="92" t="str">
        <f>IF(B11=0,"",IF('Standard Discounts'!C9="YES",IF('E-Channels'!C11='Standard Discounts'!$C$5,"YES","NO"),"NO"))</f>
        <v/>
      </c>
      <c r="F11" s="92" t="str">
        <f>IF(B11=0,"",IF('Standard Discounts'!$C$22="YES",IF('Standard Discounts'!$C$23="All","YES",IF('E-Channels'!C11='Standard Discounts'!$C$23,"YES","NO")),"NO"))</f>
        <v/>
      </c>
      <c r="G11" s="93"/>
      <c r="H11" s="94"/>
      <c r="I11" s="92"/>
      <c r="J11" s="93"/>
      <c r="K11" s="93"/>
    </row>
    <row r="12" spans="1:16" ht="18" customHeight="1" x14ac:dyDescent="0.2">
      <c r="B12" s="98">
        <f>'General Set-Up'!B13</f>
        <v>0</v>
      </c>
      <c r="C12" s="99">
        <f>'General Set-Up'!E13</f>
        <v>0</v>
      </c>
      <c r="D12" s="91" t="str">
        <f t="shared" si="0"/>
        <v/>
      </c>
      <c r="E12" s="92" t="str">
        <f>IF(B12=0,"",IF('Standard Discounts'!C10="YES",IF('E-Channels'!C12='Standard Discounts'!$C$5,"YES","NO"),"NO"))</f>
        <v/>
      </c>
      <c r="F12" s="92" t="str">
        <f>IF(B12=0,"",IF('Standard Discounts'!$C$22="YES",IF('Standard Discounts'!$C$23="All","YES",IF('E-Channels'!C12='Standard Discounts'!$C$23,"YES","NO")),"NO"))</f>
        <v/>
      </c>
      <c r="G12" s="93"/>
      <c r="H12" s="94"/>
      <c r="I12" s="92"/>
      <c r="J12" s="93"/>
      <c r="K12" s="93"/>
    </row>
    <row r="13" spans="1:16" ht="18" customHeight="1" x14ac:dyDescent="0.2">
      <c r="B13" s="98">
        <f>'General Set-Up'!B14</f>
        <v>0</v>
      </c>
      <c r="C13" s="99">
        <f>'General Set-Up'!E14</f>
        <v>0</v>
      </c>
      <c r="D13" s="91" t="str">
        <f t="shared" si="0"/>
        <v/>
      </c>
      <c r="E13" s="92" t="str">
        <f>IF(B13=0,"",IF('Standard Discounts'!C11="YES",IF('E-Channels'!C13='Standard Discounts'!$C$5,"YES","NO"),"NO"))</f>
        <v/>
      </c>
      <c r="F13" s="92" t="str">
        <f>IF(B13=0,"",IF('Standard Discounts'!$C$22="YES",IF('Standard Discounts'!$C$23="All","YES",IF('E-Channels'!C13='Standard Discounts'!$C$23,"YES","NO")),"NO"))</f>
        <v/>
      </c>
      <c r="G13" s="93"/>
      <c r="H13" s="94"/>
      <c r="I13" s="92"/>
      <c r="J13" s="93"/>
      <c r="K13" s="93"/>
    </row>
    <row r="14" spans="1:16" ht="18" customHeight="1" x14ac:dyDescent="0.2">
      <c r="B14" s="98">
        <f>'General Set-Up'!B15</f>
        <v>0</v>
      </c>
      <c r="C14" s="99">
        <f>'General Set-Up'!E15</f>
        <v>0</v>
      </c>
      <c r="D14" s="91" t="str">
        <f t="shared" si="0"/>
        <v/>
      </c>
      <c r="E14" s="92" t="str">
        <f>IF(B14=0,"",IF('Standard Discounts'!C12="YES",IF('E-Channels'!C14='Standard Discounts'!$C$5,"YES","NO"),"NO"))</f>
        <v/>
      </c>
      <c r="F14" s="92" t="str">
        <f>IF(B14=0,"",IF('Standard Discounts'!$C$22="YES",IF('Standard Discounts'!$C$23="All","YES",IF('E-Channels'!C14='Standard Discounts'!$C$23,"YES","NO")),"NO"))</f>
        <v/>
      </c>
      <c r="G14" s="93"/>
      <c r="H14" s="94"/>
      <c r="I14" s="92"/>
      <c r="J14" s="93"/>
      <c r="K14" s="93"/>
    </row>
    <row r="15" spans="1:16" ht="18" customHeight="1" x14ac:dyDescent="0.2">
      <c r="B15" s="98">
        <f>'General Set-Up'!B16</f>
        <v>0</v>
      </c>
      <c r="C15" s="99">
        <f>'General Set-Up'!E16</f>
        <v>0</v>
      </c>
      <c r="D15" s="91" t="str">
        <f t="shared" si="0"/>
        <v/>
      </c>
      <c r="E15" s="92" t="str">
        <f>IF(B15=0,"",IF('Standard Discounts'!C13="YES",IF('E-Channels'!C15='Standard Discounts'!$C$5,"YES","NO"),"NO"))</f>
        <v/>
      </c>
      <c r="F15" s="92" t="str">
        <f>IF(B15=0,"",IF('Standard Discounts'!$C$22="YES",IF('Standard Discounts'!$C$23="All","YES",IF('E-Channels'!C15='Standard Discounts'!$C$23,"YES","NO")),"NO"))</f>
        <v/>
      </c>
      <c r="G15" s="93"/>
      <c r="H15" s="94"/>
      <c r="I15" s="92"/>
      <c r="J15" s="93"/>
      <c r="K15" s="93"/>
    </row>
    <row r="16" spans="1:16" ht="18" customHeight="1" x14ac:dyDescent="0.2">
      <c r="B16" s="98">
        <f>'General Set-Up'!B17</f>
        <v>0</v>
      </c>
      <c r="C16" s="99">
        <f>'General Set-Up'!E17</f>
        <v>0</v>
      </c>
      <c r="D16" s="91" t="str">
        <f t="shared" si="0"/>
        <v/>
      </c>
      <c r="E16" s="92" t="str">
        <f>IF(B16=0,"",IF('Standard Discounts'!C14="YES",IF('E-Channels'!C16='Standard Discounts'!$C$5,"YES","NO"),"NO"))</f>
        <v/>
      </c>
      <c r="F16" s="92" t="str">
        <f>IF(B16=0,"",IF('Standard Discounts'!$C$22="YES",IF('Standard Discounts'!$C$23="All","YES",IF('E-Channels'!C16='Standard Discounts'!$C$23,"YES","NO")),"NO"))</f>
        <v/>
      </c>
      <c r="G16" s="93"/>
      <c r="H16" s="94"/>
      <c r="I16" s="92"/>
      <c r="J16" s="93"/>
      <c r="K16" s="93"/>
    </row>
    <row r="17" spans="2:12" ht="18" customHeight="1" x14ac:dyDescent="0.2">
      <c r="B17" s="98">
        <f>'General Set-Up'!B18</f>
        <v>0</v>
      </c>
      <c r="C17" s="99">
        <f>'General Set-Up'!E18</f>
        <v>0</v>
      </c>
      <c r="D17" s="91" t="str">
        <f t="shared" si="0"/>
        <v/>
      </c>
      <c r="E17" s="92" t="str">
        <f>IF(B17=0,"",IF('Standard Discounts'!C15="YES",IF('E-Channels'!C17='Standard Discounts'!$C$5,"YES","NO"),"NO"))</f>
        <v/>
      </c>
      <c r="F17" s="92" t="str">
        <f>IF(B17=0,"",IF('Standard Discounts'!$C$22="YES",IF('Standard Discounts'!$C$23="All","YES",IF('E-Channels'!C17='Standard Discounts'!$C$23,"YES","NO")),"NO"))</f>
        <v/>
      </c>
      <c r="G17" s="93"/>
      <c r="H17" s="94"/>
      <c r="I17" s="92"/>
      <c r="J17" s="93"/>
      <c r="K17" s="93"/>
    </row>
    <row r="18" spans="2:12" ht="18" customHeight="1" x14ac:dyDescent="0.2">
      <c r="B18" s="98">
        <f>'General Set-Up'!B19</f>
        <v>0</v>
      </c>
      <c r="C18" s="99">
        <f>'General Set-Up'!E19</f>
        <v>0</v>
      </c>
      <c r="D18" s="91" t="str">
        <f t="shared" si="0"/>
        <v/>
      </c>
      <c r="E18" s="92" t="str">
        <f>IF(B18=0,"",IF('Standard Discounts'!C16="YES",IF('E-Channels'!C18='Standard Discounts'!$C$5,"YES","NO"),"NO"))</f>
        <v/>
      </c>
      <c r="F18" s="92" t="str">
        <f>IF(B18=0,"",IF('Standard Discounts'!$C$22="YES",IF('Standard Discounts'!$C$23="All","YES",IF('E-Channels'!C18='Standard Discounts'!$C$23,"YES","NO")),"NO"))</f>
        <v/>
      </c>
      <c r="G18" s="93"/>
      <c r="H18" s="94"/>
      <c r="I18" s="92"/>
      <c r="J18" s="93"/>
      <c r="K18" s="93"/>
    </row>
    <row r="19" spans="2:12" ht="18" customHeight="1" x14ac:dyDescent="0.2">
      <c r="B19" s="98">
        <f>'General Set-Up'!B20</f>
        <v>0</v>
      </c>
      <c r="C19" s="99">
        <f>'General Set-Up'!E20</f>
        <v>0</v>
      </c>
      <c r="D19" s="91" t="str">
        <f t="shared" si="0"/>
        <v/>
      </c>
      <c r="E19" s="92" t="str">
        <f>IF(B19=0,"",IF('Standard Discounts'!C17="YES",IF('E-Channels'!C19='Standard Discounts'!$C$5,"YES","NO"),"NO"))</f>
        <v/>
      </c>
      <c r="F19" s="92" t="str">
        <f>IF(B19=0,"",IF('Standard Discounts'!$C$22="YES",IF('Standard Discounts'!$C$23="All","YES",IF('E-Channels'!C19='Standard Discounts'!$C$23,"YES","NO")),"NO"))</f>
        <v/>
      </c>
      <c r="G19" s="93"/>
      <c r="H19" s="94"/>
      <c r="I19" s="92"/>
      <c r="J19" s="93"/>
      <c r="K19" s="93"/>
    </row>
    <row r="20" spans="2:12" ht="18" customHeight="1" x14ac:dyDescent="0.2">
      <c r="B20" s="98">
        <f>'General Set-Up'!B21</f>
        <v>0</v>
      </c>
      <c r="C20" s="99">
        <f>'General Set-Up'!E21</f>
        <v>0</v>
      </c>
      <c r="D20" s="91" t="str">
        <f t="shared" si="0"/>
        <v/>
      </c>
      <c r="E20" s="92" t="str">
        <f>IF(B20=0,"",IF('Standard Discounts'!C18="YES",IF('E-Channels'!C20='Standard Discounts'!$C$5,"YES","NO"),"NO"))</f>
        <v/>
      </c>
      <c r="F20" s="92" t="str">
        <f>IF(B20=0,"",IF('Standard Discounts'!$C$22="YES",IF('Standard Discounts'!$C$23="All","YES",IF('E-Channels'!C20='Standard Discounts'!$C$23,"YES","NO")),"NO"))</f>
        <v/>
      </c>
      <c r="G20" s="93"/>
      <c r="H20" s="94"/>
      <c r="I20" s="92"/>
      <c r="J20" s="93"/>
      <c r="K20" s="93"/>
    </row>
    <row r="21" spans="2:12" ht="18" customHeight="1" thickBot="1" x14ac:dyDescent="0.25">
      <c r="B21" s="319">
        <f>'General Set-Up'!B22</f>
        <v>0</v>
      </c>
      <c r="C21" s="320">
        <f>'General Set-Up'!E22</f>
        <v>0</v>
      </c>
      <c r="D21" s="321" t="str">
        <f t="shared" si="0"/>
        <v/>
      </c>
      <c r="E21" s="322" t="str">
        <f>IF(B21=0,"",IF('Standard Discounts'!C19="YES",IF('E-Channels'!C21='Standard Discounts'!$C$5,"YES","NO"),"NO"))</f>
        <v/>
      </c>
      <c r="F21" s="322" t="str">
        <f>IF(B21=0,"",IF('Standard Discounts'!$C$22="YES",IF('Standard Discounts'!$C$23="All","YES",IF('E-Channels'!C21='Standard Discounts'!$C$23,"YES","NO")),"NO"))</f>
        <v/>
      </c>
      <c r="G21" s="323"/>
      <c r="H21" s="324"/>
      <c r="I21" s="322"/>
      <c r="J21" s="323"/>
      <c r="K21" s="323"/>
    </row>
    <row r="23" spans="2:12" ht="70.5" hidden="1" customHeight="1" thickBot="1" x14ac:dyDescent="0.25">
      <c r="B23" s="672"/>
      <c r="C23" s="673"/>
      <c r="D23" s="673"/>
      <c r="E23" s="673"/>
      <c r="F23" s="673"/>
      <c r="G23" s="673"/>
      <c r="H23" s="673"/>
      <c r="I23" s="673"/>
      <c r="J23" s="673"/>
      <c r="K23" s="673"/>
      <c r="L23" s="674"/>
    </row>
    <row r="24" spans="2:12" ht="13.5" thickBot="1" x14ac:dyDescent="0.25"/>
    <row r="25" spans="2:12" ht="22.5" customHeight="1" thickBot="1" x14ac:dyDescent="0.25">
      <c r="B25" s="642" t="s">
        <v>404</v>
      </c>
      <c r="C25" s="639"/>
      <c r="D25" s="639"/>
      <c r="E25" s="639"/>
      <c r="F25" s="639"/>
      <c r="G25" s="639"/>
      <c r="H25" s="639" t="s">
        <v>451</v>
      </c>
      <c r="I25" s="639"/>
      <c r="J25" s="639"/>
      <c r="K25" s="640"/>
      <c r="L25" s="641"/>
    </row>
    <row r="26" spans="2:12" ht="41.25" customHeight="1" x14ac:dyDescent="0.2">
      <c r="B26" s="649" t="s">
        <v>449</v>
      </c>
      <c r="C26" s="650"/>
      <c r="D26" s="660" t="s">
        <v>450</v>
      </c>
      <c r="E26" s="660"/>
      <c r="F26" s="660"/>
      <c r="G26" s="660"/>
      <c r="H26" s="635" t="s">
        <v>616</v>
      </c>
      <c r="I26" s="636"/>
      <c r="J26" s="636"/>
      <c r="K26" s="637"/>
      <c r="L26" s="638"/>
    </row>
    <row r="27" spans="2:12" ht="68.25" customHeight="1" thickBot="1" x14ac:dyDescent="0.25">
      <c r="B27" s="647" t="s">
        <v>256</v>
      </c>
      <c r="C27" s="648"/>
      <c r="D27" s="661" t="s">
        <v>452</v>
      </c>
      <c r="E27" s="661"/>
      <c r="F27" s="661"/>
      <c r="G27" s="661"/>
      <c r="H27" s="643" t="s">
        <v>617</v>
      </c>
      <c r="I27" s="644"/>
      <c r="J27" s="644"/>
      <c r="K27" s="645"/>
      <c r="L27" s="646"/>
    </row>
    <row r="28" spans="2:12" ht="46.5" customHeight="1" x14ac:dyDescent="0.2">
      <c r="B28" s="651" t="s">
        <v>453</v>
      </c>
      <c r="C28" s="103" t="s">
        <v>589</v>
      </c>
      <c r="D28" s="664" t="s">
        <v>454</v>
      </c>
      <c r="E28" s="665"/>
      <c r="F28" s="665"/>
      <c r="G28" s="665"/>
      <c r="H28" s="665"/>
      <c r="I28" s="665"/>
      <c r="J28" s="665"/>
      <c r="K28" s="665"/>
      <c r="L28" s="666"/>
    </row>
    <row r="29" spans="2:12" ht="42" customHeight="1" thickBot="1" x14ac:dyDescent="0.25">
      <c r="B29" s="652"/>
      <c r="C29" s="102" t="s">
        <v>257</v>
      </c>
      <c r="D29" s="667"/>
      <c r="E29" s="668"/>
      <c r="F29" s="668"/>
      <c r="G29" s="668"/>
      <c r="H29" s="668"/>
      <c r="I29" s="668"/>
      <c r="J29" s="668"/>
      <c r="K29" s="668"/>
      <c r="L29" s="669"/>
    </row>
    <row r="30" spans="2:12" ht="64.5" customHeight="1" thickBot="1" x14ac:dyDescent="0.25">
      <c r="B30" s="653" t="s">
        <v>2</v>
      </c>
      <c r="C30" s="654"/>
      <c r="D30" s="655" t="s">
        <v>583</v>
      </c>
      <c r="E30" s="655"/>
      <c r="F30" s="655"/>
      <c r="G30" s="655"/>
      <c r="H30" s="656" t="s">
        <v>584</v>
      </c>
      <c r="I30" s="657"/>
      <c r="J30" s="657"/>
      <c r="K30" s="658"/>
      <c r="L30" s="659"/>
    </row>
    <row r="31" spans="2:12" ht="13.5" thickBot="1" x14ac:dyDescent="0.25"/>
    <row r="32" spans="2:12" ht="16.5" customHeight="1" thickBot="1" x14ac:dyDescent="0.25">
      <c r="B32" s="632" t="s">
        <v>587</v>
      </c>
      <c r="C32" s="633"/>
      <c r="D32" s="633"/>
      <c r="E32" s="633"/>
      <c r="F32" s="633"/>
      <c r="G32" s="633"/>
      <c r="H32" s="633"/>
      <c r="I32" s="633"/>
      <c r="J32" s="633"/>
      <c r="K32" s="633"/>
      <c r="L32" s="634"/>
    </row>
  </sheetData>
  <sheetProtection formatCells="0" formatColumns="0" formatRows="0" sort="0" autoFilter="0"/>
  <protectedRanges>
    <protectedRange sqref="D7:D21 E6:K20 L6:N6 R7" name="echannels"/>
  </protectedRanges>
  <mergeCells count="21">
    <mergeCell ref="B2:D2"/>
    <mergeCell ref="D4:G4"/>
    <mergeCell ref="H4:H5"/>
    <mergeCell ref="D28:L29"/>
    <mergeCell ref="I4:J4"/>
    <mergeCell ref="B23:L23"/>
    <mergeCell ref="L4:N4"/>
    <mergeCell ref="L7:N8"/>
    <mergeCell ref="B32:L32"/>
    <mergeCell ref="H26:L26"/>
    <mergeCell ref="H25:L25"/>
    <mergeCell ref="B25:G25"/>
    <mergeCell ref="H27:L27"/>
    <mergeCell ref="B27:C27"/>
    <mergeCell ref="B26:C26"/>
    <mergeCell ref="B28:B29"/>
    <mergeCell ref="B30:C30"/>
    <mergeCell ref="D30:G30"/>
    <mergeCell ref="H30:L30"/>
    <mergeCell ref="D26:G26"/>
    <mergeCell ref="D27:G27"/>
  </mergeCells>
  <phoneticPr fontId="47" type="noConversion"/>
  <conditionalFormatting sqref="B6:C21">
    <cfRule type="cellIs" dxfId="8" priority="3" operator="equal">
      <formula>0</formula>
    </cfRule>
  </conditionalFormatting>
  <conditionalFormatting sqref="O4:P4">
    <cfRule type="containsText" dxfId="7" priority="1" operator="containsText" text="Y/N">
      <formula>NOT(ISERROR(SEARCH("Y/N",O4)))</formula>
    </cfRule>
    <cfRule type="cellIs" dxfId="6" priority="2" operator="equal">
      <formula>0</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pCorp"/>
  <dimension ref="A2:DX51"/>
  <sheetViews>
    <sheetView topLeftCell="A4" zoomScale="70" zoomScaleNormal="70" workbookViewId="0">
      <pane xSplit="3" topLeftCell="D1" activePane="topRight" state="frozen"/>
      <selection activeCell="D4" sqref="D4"/>
      <selection pane="topRight" activeCell="B34" sqref="B34:C34"/>
    </sheetView>
  </sheetViews>
  <sheetFormatPr defaultRowHeight="12.75" x14ac:dyDescent="0.2"/>
  <cols>
    <col min="1" max="1" width="4.7109375" style="5" customWidth="1"/>
    <col min="2" max="2" width="10.7109375" style="5" customWidth="1"/>
    <col min="3" max="4" width="9.140625" style="5" customWidth="1"/>
    <col min="5" max="16384" width="9.140625" style="5"/>
  </cols>
  <sheetData>
    <row r="2" spans="1:128" ht="18" x14ac:dyDescent="0.25">
      <c r="A2" s="34" t="s">
        <v>392</v>
      </c>
      <c r="B2" s="41" t="s">
        <v>609</v>
      </c>
    </row>
    <row r="3" spans="1:128" ht="15" x14ac:dyDescent="0.2">
      <c r="B3" s="476" t="s">
        <v>615</v>
      </c>
    </row>
    <row r="5" spans="1:128" x14ac:dyDescent="0.2">
      <c r="F5" s="34"/>
    </row>
    <row r="6" spans="1:128" ht="13.5" thickBot="1" x14ac:dyDescent="0.25"/>
    <row r="7" spans="1:128" ht="25.35" customHeight="1" x14ac:dyDescent="0.2">
      <c r="A7" s="34"/>
      <c r="B7" s="693" t="s">
        <v>333</v>
      </c>
      <c r="C7" s="694"/>
      <c r="D7" s="684" t="s">
        <v>346</v>
      </c>
      <c r="E7" s="685"/>
      <c r="F7" s="685"/>
      <c r="G7" s="685"/>
      <c r="H7" s="686"/>
      <c r="I7" s="684" t="s">
        <v>346</v>
      </c>
      <c r="J7" s="685"/>
      <c r="K7" s="685"/>
      <c r="L7" s="685"/>
      <c r="M7" s="686"/>
      <c r="N7" s="684" t="s">
        <v>346</v>
      </c>
      <c r="O7" s="685"/>
      <c r="P7" s="685"/>
      <c r="Q7" s="685"/>
      <c r="R7" s="686"/>
      <c r="S7" s="684" t="s">
        <v>346</v>
      </c>
      <c r="T7" s="685"/>
      <c r="U7" s="685"/>
      <c r="V7" s="685"/>
      <c r="W7" s="686"/>
      <c r="X7" s="684" t="s">
        <v>346</v>
      </c>
      <c r="Y7" s="685"/>
      <c r="Z7" s="685"/>
      <c r="AA7" s="685"/>
      <c r="AB7" s="686"/>
      <c r="AC7" s="684" t="s">
        <v>346</v>
      </c>
      <c r="AD7" s="685"/>
      <c r="AE7" s="685"/>
      <c r="AF7" s="685"/>
      <c r="AG7" s="686"/>
      <c r="AH7" s="684" t="s">
        <v>346</v>
      </c>
      <c r="AI7" s="685"/>
      <c r="AJ7" s="685"/>
      <c r="AK7" s="685"/>
      <c r="AL7" s="686"/>
      <c r="AM7" s="684" t="s">
        <v>346</v>
      </c>
      <c r="AN7" s="685"/>
      <c r="AO7" s="685"/>
      <c r="AP7" s="685"/>
      <c r="AQ7" s="686"/>
      <c r="AR7" s="684" t="s">
        <v>346</v>
      </c>
      <c r="AS7" s="685"/>
      <c r="AT7" s="685"/>
      <c r="AU7" s="685"/>
      <c r="AV7" s="686"/>
      <c r="AW7" s="684" t="s">
        <v>346</v>
      </c>
      <c r="AX7" s="685"/>
      <c r="AY7" s="685"/>
      <c r="AZ7" s="685"/>
      <c r="BA7" s="686"/>
      <c r="BB7" s="684" t="s">
        <v>346</v>
      </c>
      <c r="BC7" s="685"/>
      <c r="BD7" s="685"/>
      <c r="BE7" s="685"/>
      <c r="BF7" s="686"/>
      <c r="BG7" s="684" t="s">
        <v>346</v>
      </c>
      <c r="BH7" s="685"/>
      <c r="BI7" s="685"/>
      <c r="BJ7" s="685"/>
      <c r="BK7" s="686"/>
      <c r="BL7" s="684" t="s">
        <v>346</v>
      </c>
      <c r="BM7" s="685"/>
      <c r="BN7" s="685"/>
      <c r="BO7" s="685"/>
      <c r="BP7" s="686"/>
      <c r="BQ7" s="684" t="s">
        <v>346</v>
      </c>
      <c r="BR7" s="685"/>
      <c r="BS7" s="685"/>
      <c r="BT7" s="685"/>
      <c r="BU7" s="686"/>
      <c r="BV7" s="684" t="s">
        <v>346</v>
      </c>
      <c r="BW7" s="685"/>
      <c r="BX7" s="685"/>
      <c r="BY7" s="685"/>
      <c r="BZ7" s="686"/>
      <c r="CA7" s="684" t="s">
        <v>346</v>
      </c>
      <c r="CB7" s="685"/>
      <c r="CC7" s="685"/>
      <c r="CD7" s="685"/>
      <c r="CE7" s="686"/>
      <c r="CF7" s="684" t="s">
        <v>346</v>
      </c>
      <c r="CG7" s="685"/>
      <c r="CH7" s="685"/>
      <c r="CI7" s="685"/>
      <c r="CJ7" s="686"/>
      <c r="CK7" s="684" t="s">
        <v>346</v>
      </c>
      <c r="CL7" s="685"/>
      <c r="CM7" s="685"/>
      <c r="CN7" s="685"/>
      <c r="CO7" s="686"/>
      <c r="CP7" s="684" t="s">
        <v>346</v>
      </c>
      <c r="CQ7" s="685"/>
      <c r="CR7" s="685"/>
      <c r="CS7" s="685"/>
      <c r="CT7" s="686"/>
      <c r="CU7" s="684" t="s">
        <v>346</v>
      </c>
      <c r="CV7" s="685"/>
      <c r="CW7" s="685"/>
      <c r="CX7" s="685"/>
      <c r="CY7" s="686"/>
      <c r="CZ7" s="684" t="s">
        <v>346</v>
      </c>
      <c r="DA7" s="685"/>
      <c r="DB7" s="685"/>
      <c r="DC7" s="685"/>
      <c r="DD7" s="686"/>
      <c r="DE7" s="684" t="s">
        <v>346</v>
      </c>
      <c r="DF7" s="685"/>
      <c r="DG7" s="685"/>
      <c r="DH7" s="685"/>
      <c r="DI7" s="686"/>
      <c r="DJ7" s="684" t="s">
        <v>346</v>
      </c>
      <c r="DK7" s="685"/>
      <c r="DL7" s="685"/>
      <c r="DM7" s="685"/>
      <c r="DN7" s="686"/>
      <c r="DO7" s="684" t="s">
        <v>346</v>
      </c>
      <c r="DP7" s="685"/>
      <c r="DQ7" s="685"/>
      <c r="DR7" s="685"/>
      <c r="DS7" s="686"/>
      <c r="DT7" s="684" t="s">
        <v>346</v>
      </c>
      <c r="DU7" s="685"/>
      <c r="DV7" s="685"/>
      <c r="DW7" s="685"/>
      <c r="DX7" s="686"/>
    </row>
    <row r="8" spans="1:128" ht="25.35" customHeight="1" x14ac:dyDescent="0.2">
      <c r="A8" s="34"/>
      <c r="B8" s="695" t="s">
        <v>334</v>
      </c>
      <c r="C8" s="696"/>
      <c r="D8" s="687"/>
      <c r="E8" s="688"/>
      <c r="F8" s="688"/>
      <c r="G8" s="688"/>
      <c r="H8" s="689"/>
      <c r="I8" s="687"/>
      <c r="J8" s="688"/>
      <c r="K8" s="688"/>
      <c r="L8" s="688"/>
      <c r="M8" s="689"/>
      <c r="N8" s="687"/>
      <c r="O8" s="688"/>
      <c r="P8" s="688"/>
      <c r="Q8" s="688"/>
      <c r="R8" s="689"/>
      <c r="S8" s="687"/>
      <c r="T8" s="688"/>
      <c r="U8" s="688"/>
      <c r="V8" s="688"/>
      <c r="W8" s="689"/>
      <c r="X8" s="687"/>
      <c r="Y8" s="688"/>
      <c r="Z8" s="688"/>
      <c r="AA8" s="688"/>
      <c r="AB8" s="689"/>
      <c r="AC8" s="687"/>
      <c r="AD8" s="688"/>
      <c r="AE8" s="688"/>
      <c r="AF8" s="688"/>
      <c r="AG8" s="689"/>
      <c r="AH8" s="687"/>
      <c r="AI8" s="688"/>
      <c r="AJ8" s="688"/>
      <c r="AK8" s="688"/>
      <c r="AL8" s="689"/>
      <c r="AM8" s="687"/>
      <c r="AN8" s="688"/>
      <c r="AO8" s="688"/>
      <c r="AP8" s="688"/>
      <c r="AQ8" s="689"/>
      <c r="AR8" s="687"/>
      <c r="AS8" s="688"/>
      <c r="AT8" s="688"/>
      <c r="AU8" s="688"/>
      <c r="AV8" s="689"/>
      <c r="AW8" s="687"/>
      <c r="AX8" s="688"/>
      <c r="AY8" s="688"/>
      <c r="AZ8" s="688"/>
      <c r="BA8" s="689"/>
      <c r="BB8" s="687"/>
      <c r="BC8" s="688"/>
      <c r="BD8" s="688"/>
      <c r="BE8" s="688"/>
      <c r="BF8" s="689"/>
      <c r="BG8" s="687"/>
      <c r="BH8" s="688"/>
      <c r="BI8" s="688"/>
      <c r="BJ8" s="688"/>
      <c r="BK8" s="689"/>
      <c r="BL8" s="687"/>
      <c r="BM8" s="688"/>
      <c r="BN8" s="688"/>
      <c r="BO8" s="688"/>
      <c r="BP8" s="689"/>
      <c r="BQ8" s="687"/>
      <c r="BR8" s="688"/>
      <c r="BS8" s="688"/>
      <c r="BT8" s="688"/>
      <c r="BU8" s="689"/>
      <c r="BV8" s="687"/>
      <c r="BW8" s="688"/>
      <c r="BX8" s="688"/>
      <c r="BY8" s="688"/>
      <c r="BZ8" s="689"/>
      <c r="CA8" s="687"/>
      <c r="CB8" s="688"/>
      <c r="CC8" s="688"/>
      <c r="CD8" s="688"/>
      <c r="CE8" s="689"/>
      <c r="CF8" s="687"/>
      <c r="CG8" s="688"/>
      <c r="CH8" s="688"/>
      <c r="CI8" s="688"/>
      <c r="CJ8" s="689"/>
      <c r="CK8" s="687"/>
      <c r="CL8" s="688"/>
      <c r="CM8" s="688"/>
      <c r="CN8" s="688"/>
      <c r="CO8" s="689"/>
      <c r="CP8" s="687"/>
      <c r="CQ8" s="688"/>
      <c r="CR8" s="688"/>
      <c r="CS8" s="688"/>
      <c r="CT8" s="689"/>
      <c r="CU8" s="687"/>
      <c r="CV8" s="688"/>
      <c r="CW8" s="688"/>
      <c r="CX8" s="688"/>
      <c r="CY8" s="689"/>
      <c r="CZ8" s="687"/>
      <c r="DA8" s="688"/>
      <c r="DB8" s="688"/>
      <c r="DC8" s="688"/>
      <c r="DD8" s="689"/>
      <c r="DE8" s="687"/>
      <c r="DF8" s="688"/>
      <c r="DG8" s="688"/>
      <c r="DH8" s="688"/>
      <c r="DI8" s="689"/>
      <c r="DJ8" s="687"/>
      <c r="DK8" s="688"/>
      <c r="DL8" s="688"/>
      <c r="DM8" s="688"/>
      <c r="DN8" s="689"/>
      <c r="DO8" s="687"/>
      <c r="DP8" s="688"/>
      <c r="DQ8" s="688"/>
      <c r="DR8" s="688"/>
      <c r="DS8" s="689"/>
      <c r="DT8" s="687"/>
      <c r="DU8" s="688"/>
      <c r="DV8" s="688"/>
      <c r="DW8" s="688"/>
      <c r="DX8" s="689"/>
    </row>
    <row r="9" spans="1:128" ht="25.35" customHeight="1" x14ac:dyDescent="0.2">
      <c r="A9" s="34"/>
      <c r="B9" s="695" t="s">
        <v>335</v>
      </c>
      <c r="C9" s="696"/>
      <c r="D9" s="687" t="s">
        <v>344</v>
      </c>
      <c r="E9" s="688"/>
      <c r="F9" s="688"/>
      <c r="G9" s="688"/>
      <c r="H9" s="689"/>
      <c r="I9" s="687" t="s">
        <v>344</v>
      </c>
      <c r="J9" s="688"/>
      <c r="K9" s="688"/>
      <c r="L9" s="688"/>
      <c r="M9" s="689"/>
      <c r="N9" s="687" t="s">
        <v>344</v>
      </c>
      <c r="O9" s="688"/>
      <c r="P9" s="688"/>
      <c r="Q9" s="688"/>
      <c r="R9" s="689"/>
      <c r="S9" s="687" t="s">
        <v>344</v>
      </c>
      <c r="T9" s="688"/>
      <c r="U9" s="688"/>
      <c r="V9" s="688"/>
      <c r="W9" s="689"/>
      <c r="X9" s="687" t="s">
        <v>344</v>
      </c>
      <c r="Y9" s="688"/>
      <c r="Z9" s="688"/>
      <c r="AA9" s="688"/>
      <c r="AB9" s="689"/>
      <c r="AC9" s="687" t="s">
        <v>344</v>
      </c>
      <c r="AD9" s="688"/>
      <c r="AE9" s="688"/>
      <c r="AF9" s="688"/>
      <c r="AG9" s="689"/>
      <c r="AH9" s="687" t="s">
        <v>344</v>
      </c>
      <c r="AI9" s="688"/>
      <c r="AJ9" s="688"/>
      <c r="AK9" s="688"/>
      <c r="AL9" s="689"/>
      <c r="AM9" s="687" t="s">
        <v>344</v>
      </c>
      <c r="AN9" s="688"/>
      <c r="AO9" s="688"/>
      <c r="AP9" s="688"/>
      <c r="AQ9" s="689"/>
      <c r="AR9" s="687" t="s">
        <v>344</v>
      </c>
      <c r="AS9" s="688"/>
      <c r="AT9" s="688"/>
      <c r="AU9" s="688"/>
      <c r="AV9" s="689"/>
      <c r="AW9" s="687" t="s">
        <v>344</v>
      </c>
      <c r="AX9" s="688"/>
      <c r="AY9" s="688"/>
      <c r="AZ9" s="688"/>
      <c r="BA9" s="689"/>
      <c r="BB9" s="687" t="s">
        <v>344</v>
      </c>
      <c r="BC9" s="688"/>
      <c r="BD9" s="688"/>
      <c r="BE9" s="688"/>
      <c r="BF9" s="689"/>
      <c r="BG9" s="687" t="s">
        <v>344</v>
      </c>
      <c r="BH9" s="688"/>
      <c r="BI9" s="688"/>
      <c r="BJ9" s="688"/>
      <c r="BK9" s="689"/>
      <c r="BL9" s="687" t="s">
        <v>344</v>
      </c>
      <c r="BM9" s="688"/>
      <c r="BN9" s="688"/>
      <c r="BO9" s="688"/>
      <c r="BP9" s="689"/>
      <c r="BQ9" s="687" t="s">
        <v>344</v>
      </c>
      <c r="BR9" s="688"/>
      <c r="BS9" s="688"/>
      <c r="BT9" s="688"/>
      <c r="BU9" s="689"/>
      <c r="BV9" s="687" t="s">
        <v>344</v>
      </c>
      <c r="BW9" s="688"/>
      <c r="BX9" s="688"/>
      <c r="BY9" s="688"/>
      <c r="BZ9" s="689"/>
      <c r="CA9" s="687" t="s">
        <v>344</v>
      </c>
      <c r="CB9" s="688"/>
      <c r="CC9" s="688"/>
      <c r="CD9" s="688"/>
      <c r="CE9" s="689"/>
      <c r="CF9" s="687" t="s">
        <v>344</v>
      </c>
      <c r="CG9" s="688"/>
      <c r="CH9" s="688"/>
      <c r="CI9" s="688"/>
      <c r="CJ9" s="689"/>
      <c r="CK9" s="687" t="s">
        <v>344</v>
      </c>
      <c r="CL9" s="688"/>
      <c r="CM9" s="688"/>
      <c r="CN9" s="688"/>
      <c r="CO9" s="689"/>
      <c r="CP9" s="687" t="s">
        <v>344</v>
      </c>
      <c r="CQ9" s="688"/>
      <c r="CR9" s="688"/>
      <c r="CS9" s="688"/>
      <c r="CT9" s="689"/>
      <c r="CU9" s="687" t="s">
        <v>344</v>
      </c>
      <c r="CV9" s="688"/>
      <c r="CW9" s="688"/>
      <c r="CX9" s="688"/>
      <c r="CY9" s="689"/>
      <c r="CZ9" s="687" t="s">
        <v>344</v>
      </c>
      <c r="DA9" s="688"/>
      <c r="DB9" s="688"/>
      <c r="DC9" s="688"/>
      <c r="DD9" s="689"/>
      <c r="DE9" s="687" t="s">
        <v>344</v>
      </c>
      <c r="DF9" s="688"/>
      <c r="DG9" s="688"/>
      <c r="DH9" s="688"/>
      <c r="DI9" s="689"/>
      <c r="DJ9" s="687" t="s">
        <v>344</v>
      </c>
      <c r="DK9" s="688"/>
      <c r="DL9" s="688"/>
      <c r="DM9" s="688"/>
      <c r="DN9" s="689"/>
      <c r="DO9" s="687" t="s">
        <v>344</v>
      </c>
      <c r="DP9" s="688"/>
      <c r="DQ9" s="688"/>
      <c r="DR9" s="688"/>
      <c r="DS9" s="689"/>
      <c r="DT9" s="687" t="s">
        <v>344</v>
      </c>
      <c r="DU9" s="688"/>
      <c r="DV9" s="688"/>
      <c r="DW9" s="688"/>
      <c r="DX9" s="689"/>
    </row>
    <row r="10" spans="1:128" ht="29.25" customHeight="1" thickBot="1" x14ac:dyDescent="0.25">
      <c r="A10" s="34"/>
      <c r="B10" s="697" t="s">
        <v>624</v>
      </c>
      <c r="C10" s="698"/>
      <c r="D10" s="690"/>
      <c r="E10" s="691"/>
      <c r="F10" s="691"/>
      <c r="G10" s="691"/>
      <c r="H10" s="692"/>
      <c r="I10" s="690"/>
      <c r="J10" s="691"/>
      <c r="K10" s="691"/>
      <c r="L10" s="691"/>
      <c r="M10" s="692"/>
      <c r="N10" s="690"/>
      <c r="O10" s="691"/>
      <c r="P10" s="691"/>
      <c r="Q10" s="691"/>
      <c r="R10" s="692"/>
      <c r="S10" s="690"/>
      <c r="T10" s="691"/>
      <c r="U10" s="691"/>
      <c r="V10" s="691"/>
      <c r="W10" s="692"/>
      <c r="X10" s="690"/>
      <c r="Y10" s="691"/>
      <c r="Z10" s="691"/>
      <c r="AA10" s="691"/>
      <c r="AB10" s="692"/>
      <c r="AC10" s="690"/>
      <c r="AD10" s="691"/>
      <c r="AE10" s="691"/>
      <c r="AF10" s="691"/>
      <c r="AG10" s="692"/>
      <c r="AH10" s="690"/>
      <c r="AI10" s="691"/>
      <c r="AJ10" s="691"/>
      <c r="AK10" s="691"/>
      <c r="AL10" s="692"/>
      <c r="AM10" s="690"/>
      <c r="AN10" s="691"/>
      <c r="AO10" s="691"/>
      <c r="AP10" s="691"/>
      <c r="AQ10" s="692"/>
      <c r="AR10" s="690"/>
      <c r="AS10" s="691"/>
      <c r="AT10" s="691"/>
      <c r="AU10" s="691"/>
      <c r="AV10" s="692"/>
      <c r="AW10" s="690"/>
      <c r="AX10" s="691"/>
      <c r="AY10" s="691"/>
      <c r="AZ10" s="691"/>
      <c r="BA10" s="692"/>
      <c r="BB10" s="690"/>
      <c r="BC10" s="691"/>
      <c r="BD10" s="691"/>
      <c r="BE10" s="691"/>
      <c r="BF10" s="692"/>
      <c r="BG10" s="690"/>
      <c r="BH10" s="691"/>
      <c r="BI10" s="691"/>
      <c r="BJ10" s="691"/>
      <c r="BK10" s="692"/>
      <c r="BL10" s="690"/>
      <c r="BM10" s="691"/>
      <c r="BN10" s="691"/>
      <c r="BO10" s="691"/>
      <c r="BP10" s="692"/>
      <c r="BQ10" s="690"/>
      <c r="BR10" s="691"/>
      <c r="BS10" s="691"/>
      <c r="BT10" s="691"/>
      <c r="BU10" s="692"/>
      <c r="BV10" s="690"/>
      <c r="BW10" s="691"/>
      <c r="BX10" s="691"/>
      <c r="BY10" s="691"/>
      <c r="BZ10" s="692"/>
      <c r="CA10" s="690"/>
      <c r="CB10" s="691"/>
      <c r="CC10" s="691"/>
      <c r="CD10" s="691"/>
      <c r="CE10" s="692"/>
      <c r="CF10" s="690"/>
      <c r="CG10" s="691"/>
      <c r="CH10" s="691"/>
      <c r="CI10" s="691"/>
      <c r="CJ10" s="692"/>
      <c r="CK10" s="690"/>
      <c r="CL10" s="691"/>
      <c r="CM10" s="691"/>
      <c r="CN10" s="691"/>
      <c r="CO10" s="692"/>
      <c r="CP10" s="690"/>
      <c r="CQ10" s="691"/>
      <c r="CR10" s="691"/>
      <c r="CS10" s="691"/>
      <c r="CT10" s="692"/>
      <c r="CU10" s="690"/>
      <c r="CV10" s="691"/>
      <c r="CW10" s="691"/>
      <c r="CX10" s="691"/>
      <c r="CY10" s="692"/>
      <c r="CZ10" s="690"/>
      <c r="DA10" s="691"/>
      <c r="DB10" s="691"/>
      <c r="DC10" s="691"/>
      <c r="DD10" s="692"/>
      <c r="DE10" s="690"/>
      <c r="DF10" s="691"/>
      <c r="DG10" s="691"/>
      <c r="DH10" s="691"/>
      <c r="DI10" s="692"/>
      <c r="DJ10" s="690"/>
      <c r="DK10" s="691"/>
      <c r="DL10" s="691"/>
      <c r="DM10" s="691"/>
      <c r="DN10" s="692"/>
      <c r="DO10" s="690"/>
      <c r="DP10" s="691"/>
      <c r="DQ10" s="691"/>
      <c r="DR10" s="691"/>
      <c r="DS10" s="692"/>
      <c r="DT10" s="690"/>
      <c r="DU10" s="691"/>
      <c r="DV10" s="691"/>
      <c r="DW10" s="691"/>
      <c r="DX10" s="692"/>
    </row>
    <row r="11" spans="1:128" s="33" customFormat="1" ht="39" customHeight="1" thickBot="1" x14ac:dyDescent="0.25">
      <c r="A11" s="59"/>
      <c r="B11" s="704" t="s">
        <v>347</v>
      </c>
      <c r="C11" s="705"/>
      <c r="D11" s="418" t="s">
        <v>345</v>
      </c>
      <c r="E11" s="419" t="s">
        <v>337</v>
      </c>
      <c r="F11" s="419" t="s">
        <v>338</v>
      </c>
      <c r="G11" s="419" t="s">
        <v>339</v>
      </c>
      <c r="H11" s="420" t="s">
        <v>340</v>
      </c>
      <c r="I11" s="418" t="s">
        <v>345</v>
      </c>
      <c r="J11" s="419" t="s">
        <v>337</v>
      </c>
      <c r="K11" s="419" t="s">
        <v>338</v>
      </c>
      <c r="L11" s="419" t="s">
        <v>339</v>
      </c>
      <c r="M11" s="420" t="s">
        <v>340</v>
      </c>
      <c r="N11" s="418" t="s">
        <v>345</v>
      </c>
      <c r="O11" s="419" t="s">
        <v>337</v>
      </c>
      <c r="P11" s="419" t="s">
        <v>338</v>
      </c>
      <c r="Q11" s="419" t="s">
        <v>339</v>
      </c>
      <c r="R11" s="420" t="s">
        <v>340</v>
      </c>
      <c r="S11" s="418" t="s">
        <v>345</v>
      </c>
      <c r="T11" s="419" t="s">
        <v>337</v>
      </c>
      <c r="U11" s="419" t="s">
        <v>338</v>
      </c>
      <c r="V11" s="419" t="s">
        <v>339</v>
      </c>
      <c r="W11" s="420" t="s">
        <v>340</v>
      </c>
      <c r="X11" s="418" t="s">
        <v>345</v>
      </c>
      <c r="Y11" s="419" t="s">
        <v>337</v>
      </c>
      <c r="Z11" s="419" t="s">
        <v>338</v>
      </c>
      <c r="AA11" s="419" t="s">
        <v>339</v>
      </c>
      <c r="AB11" s="420" t="s">
        <v>340</v>
      </c>
      <c r="AC11" s="418" t="s">
        <v>345</v>
      </c>
      <c r="AD11" s="419" t="s">
        <v>337</v>
      </c>
      <c r="AE11" s="419" t="s">
        <v>338</v>
      </c>
      <c r="AF11" s="419" t="s">
        <v>339</v>
      </c>
      <c r="AG11" s="420" t="s">
        <v>340</v>
      </c>
      <c r="AH11" s="418" t="s">
        <v>345</v>
      </c>
      <c r="AI11" s="419" t="s">
        <v>337</v>
      </c>
      <c r="AJ11" s="419" t="s">
        <v>338</v>
      </c>
      <c r="AK11" s="419" t="s">
        <v>339</v>
      </c>
      <c r="AL11" s="420" t="s">
        <v>340</v>
      </c>
      <c r="AM11" s="418" t="s">
        <v>345</v>
      </c>
      <c r="AN11" s="419" t="s">
        <v>337</v>
      </c>
      <c r="AO11" s="419" t="s">
        <v>338</v>
      </c>
      <c r="AP11" s="419" t="s">
        <v>339</v>
      </c>
      <c r="AQ11" s="420" t="s">
        <v>340</v>
      </c>
      <c r="AR11" s="418" t="s">
        <v>345</v>
      </c>
      <c r="AS11" s="419" t="s">
        <v>337</v>
      </c>
      <c r="AT11" s="419" t="s">
        <v>338</v>
      </c>
      <c r="AU11" s="419" t="s">
        <v>339</v>
      </c>
      <c r="AV11" s="420" t="s">
        <v>340</v>
      </c>
      <c r="AW11" s="418" t="s">
        <v>345</v>
      </c>
      <c r="AX11" s="419" t="s">
        <v>337</v>
      </c>
      <c r="AY11" s="419" t="s">
        <v>338</v>
      </c>
      <c r="AZ11" s="419" t="s">
        <v>339</v>
      </c>
      <c r="BA11" s="420" t="s">
        <v>340</v>
      </c>
      <c r="BB11" s="418" t="s">
        <v>345</v>
      </c>
      <c r="BC11" s="419" t="s">
        <v>337</v>
      </c>
      <c r="BD11" s="419" t="s">
        <v>338</v>
      </c>
      <c r="BE11" s="419" t="s">
        <v>339</v>
      </c>
      <c r="BF11" s="420" t="s">
        <v>340</v>
      </c>
      <c r="BG11" s="418" t="s">
        <v>345</v>
      </c>
      <c r="BH11" s="419" t="s">
        <v>337</v>
      </c>
      <c r="BI11" s="419" t="s">
        <v>338</v>
      </c>
      <c r="BJ11" s="419" t="s">
        <v>339</v>
      </c>
      <c r="BK11" s="420" t="s">
        <v>340</v>
      </c>
      <c r="BL11" s="418" t="s">
        <v>345</v>
      </c>
      <c r="BM11" s="419" t="s">
        <v>337</v>
      </c>
      <c r="BN11" s="419" t="s">
        <v>338</v>
      </c>
      <c r="BO11" s="419" t="s">
        <v>339</v>
      </c>
      <c r="BP11" s="420" t="s">
        <v>340</v>
      </c>
      <c r="BQ11" s="418" t="s">
        <v>345</v>
      </c>
      <c r="BR11" s="419" t="s">
        <v>337</v>
      </c>
      <c r="BS11" s="419" t="s">
        <v>338</v>
      </c>
      <c r="BT11" s="419" t="s">
        <v>339</v>
      </c>
      <c r="BU11" s="420" t="s">
        <v>340</v>
      </c>
      <c r="BV11" s="418" t="s">
        <v>345</v>
      </c>
      <c r="BW11" s="419" t="s">
        <v>337</v>
      </c>
      <c r="BX11" s="419" t="s">
        <v>338</v>
      </c>
      <c r="BY11" s="419" t="s">
        <v>339</v>
      </c>
      <c r="BZ11" s="420" t="s">
        <v>340</v>
      </c>
      <c r="CA11" s="418" t="s">
        <v>345</v>
      </c>
      <c r="CB11" s="419" t="s">
        <v>337</v>
      </c>
      <c r="CC11" s="419" t="s">
        <v>338</v>
      </c>
      <c r="CD11" s="419" t="s">
        <v>339</v>
      </c>
      <c r="CE11" s="420" t="s">
        <v>340</v>
      </c>
      <c r="CF11" s="418" t="s">
        <v>345</v>
      </c>
      <c r="CG11" s="419" t="s">
        <v>337</v>
      </c>
      <c r="CH11" s="419" t="s">
        <v>338</v>
      </c>
      <c r="CI11" s="419" t="s">
        <v>339</v>
      </c>
      <c r="CJ11" s="420" t="s">
        <v>340</v>
      </c>
      <c r="CK11" s="418" t="s">
        <v>345</v>
      </c>
      <c r="CL11" s="419" t="s">
        <v>337</v>
      </c>
      <c r="CM11" s="419" t="s">
        <v>338</v>
      </c>
      <c r="CN11" s="419" t="s">
        <v>339</v>
      </c>
      <c r="CO11" s="420" t="s">
        <v>340</v>
      </c>
      <c r="CP11" s="418" t="s">
        <v>345</v>
      </c>
      <c r="CQ11" s="419" t="s">
        <v>337</v>
      </c>
      <c r="CR11" s="419" t="s">
        <v>338</v>
      </c>
      <c r="CS11" s="419" t="s">
        <v>339</v>
      </c>
      <c r="CT11" s="420" t="s">
        <v>340</v>
      </c>
      <c r="CU11" s="418" t="s">
        <v>345</v>
      </c>
      <c r="CV11" s="419" t="s">
        <v>337</v>
      </c>
      <c r="CW11" s="419" t="s">
        <v>338</v>
      </c>
      <c r="CX11" s="419" t="s">
        <v>339</v>
      </c>
      <c r="CY11" s="420" t="s">
        <v>340</v>
      </c>
      <c r="CZ11" s="418" t="s">
        <v>345</v>
      </c>
      <c r="DA11" s="419" t="s">
        <v>337</v>
      </c>
      <c r="DB11" s="419" t="s">
        <v>338</v>
      </c>
      <c r="DC11" s="419" t="s">
        <v>339</v>
      </c>
      <c r="DD11" s="420" t="s">
        <v>340</v>
      </c>
      <c r="DE11" s="418" t="s">
        <v>345</v>
      </c>
      <c r="DF11" s="419" t="s">
        <v>337</v>
      </c>
      <c r="DG11" s="419" t="s">
        <v>338</v>
      </c>
      <c r="DH11" s="419" t="s">
        <v>339</v>
      </c>
      <c r="DI11" s="420" t="s">
        <v>340</v>
      </c>
      <c r="DJ11" s="418" t="s">
        <v>345</v>
      </c>
      <c r="DK11" s="419" t="s">
        <v>337</v>
      </c>
      <c r="DL11" s="419" t="s">
        <v>338</v>
      </c>
      <c r="DM11" s="419" t="s">
        <v>339</v>
      </c>
      <c r="DN11" s="420" t="s">
        <v>340</v>
      </c>
      <c r="DO11" s="418" t="s">
        <v>345</v>
      </c>
      <c r="DP11" s="419" t="s">
        <v>337</v>
      </c>
      <c r="DQ11" s="419" t="s">
        <v>338</v>
      </c>
      <c r="DR11" s="419" t="s">
        <v>339</v>
      </c>
      <c r="DS11" s="420" t="s">
        <v>340</v>
      </c>
      <c r="DT11" s="418" t="s">
        <v>345</v>
      </c>
      <c r="DU11" s="419" t="s">
        <v>337</v>
      </c>
      <c r="DV11" s="419" t="s">
        <v>338</v>
      </c>
      <c r="DW11" s="419" t="s">
        <v>339</v>
      </c>
      <c r="DX11" s="420" t="s">
        <v>340</v>
      </c>
    </row>
    <row r="12" spans="1:128" ht="18" customHeight="1" x14ac:dyDescent="0.2">
      <c r="A12" s="34"/>
      <c r="B12" s="706" t="str">
        <f>'General Set-Up'!$B$7</f>
        <v>KING</v>
      </c>
      <c r="C12" s="707"/>
      <c r="D12" s="407"/>
      <c r="E12" s="408"/>
      <c r="F12" s="409"/>
      <c r="G12" s="409"/>
      <c r="H12" s="410"/>
      <c r="I12" s="407"/>
      <c r="J12" s="408"/>
      <c r="K12" s="409"/>
      <c r="L12" s="409"/>
      <c r="M12" s="410"/>
      <c r="N12" s="407"/>
      <c r="O12" s="408"/>
      <c r="P12" s="409"/>
      <c r="Q12" s="409"/>
      <c r="R12" s="410"/>
      <c r="S12" s="407"/>
      <c r="T12" s="408"/>
      <c r="U12" s="409"/>
      <c r="V12" s="409"/>
      <c r="W12" s="410"/>
      <c r="X12" s="407"/>
      <c r="Y12" s="408"/>
      <c r="Z12" s="409"/>
      <c r="AA12" s="409"/>
      <c r="AB12" s="410"/>
      <c r="AC12" s="407"/>
      <c r="AD12" s="408"/>
      <c r="AE12" s="409"/>
      <c r="AF12" s="409"/>
      <c r="AG12" s="410"/>
      <c r="AH12" s="407"/>
      <c r="AI12" s="408"/>
      <c r="AJ12" s="409"/>
      <c r="AK12" s="409"/>
      <c r="AL12" s="410"/>
      <c r="AM12" s="407"/>
      <c r="AN12" s="408"/>
      <c r="AO12" s="409"/>
      <c r="AP12" s="409"/>
      <c r="AQ12" s="410"/>
      <c r="AR12" s="407"/>
      <c r="AS12" s="408"/>
      <c r="AT12" s="409"/>
      <c r="AU12" s="409"/>
      <c r="AV12" s="410"/>
      <c r="AW12" s="407"/>
      <c r="AX12" s="408"/>
      <c r="AY12" s="409"/>
      <c r="AZ12" s="409"/>
      <c r="BA12" s="410"/>
      <c r="BB12" s="407"/>
      <c r="BC12" s="408"/>
      <c r="BD12" s="409"/>
      <c r="BE12" s="409"/>
      <c r="BF12" s="410"/>
      <c r="BG12" s="407"/>
      <c r="BH12" s="408"/>
      <c r="BI12" s="409"/>
      <c r="BJ12" s="409"/>
      <c r="BK12" s="410"/>
      <c r="BL12" s="407"/>
      <c r="BM12" s="408"/>
      <c r="BN12" s="409"/>
      <c r="BO12" s="409"/>
      <c r="BP12" s="410"/>
      <c r="BQ12" s="407"/>
      <c r="BR12" s="408"/>
      <c r="BS12" s="409"/>
      <c r="BT12" s="409"/>
      <c r="BU12" s="410"/>
      <c r="BV12" s="407"/>
      <c r="BW12" s="408"/>
      <c r="BX12" s="409"/>
      <c r="BY12" s="409"/>
      <c r="BZ12" s="410"/>
      <c r="CA12" s="407"/>
      <c r="CB12" s="408"/>
      <c r="CC12" s="409"/>
      <c r="CD12" s="409"/>
      <c r="CE12" s="410"/>
      <c r="CF12" s="407"/>
      <c r="CG12" s="408"/>
      <c r="CH12" s="409"/>
      <c r="CI12" s="409"/>
      <c r="CJ12" s="410"/>
      <c r="CK12" s="407"/>
      <c r="CL12" s="408"/>
      <c r="CM12" s="409"/>
      <c r="CN12" s="409"/>
      <c r="CO12" s="410"/>
      <c r="CP12" s="407"/>
      <c r="CQ12" s="408"/>
      <c r="CR12" s="409"/>
      <c r="CS12" s="409"/>
      <c r="CT12" s="410"/>
      <c r="CU12" s="407"/>
      <c r="CV12" s="408"/>
      <c r="CW12" s="409"/>
      <c r="CX12" s="409"/>
      <c r="CY12" s="410"/>
      <c r="CZ12" s="407"/>
      <c r="DA12" s="408"/>
      <c r="DB12" s="409"/>
      <c r="DC12" s="409"/>
      <c r="DD12" s="410"/>
      <c r="DE12" s="407"/>
      <c r="DF12" s="408"/>
      <c r="DG12" s="409"/>
      <c r="DH12" s="409"/>
      <c r="DI12" s="410"/>
      <c r="DJ12" s="407"/>
      <c r="DK12" s="408"/>
      <c r="DL12" s="409"/>
      <c r="DM12" s="409"/>
      <c r="DN12" s="410"/>
      <c r="DO12" s="407"/>
      <c r="DP12" s="408"/>
      <c r="DQ12" s="409"/>
      <c r="DR12" s="409"/>
      <c r="DS12" s="410"/>
      <c r="DT12" s="407"/>
      <c r="DU12" s="408"/>
      <c r="DV12" s="409"/>
      <c r="DW12" s="409"/>
      <c r="DX12" s="410"/>
    </row>
    <row r="13" spans="1:128" ht="18" customHeight="1" x14ac:dyDescent="0.2">
      <c r="B13" s="682" t="str">
        <f>'General Set-Up'!B8</f>
        <v>DBDB</v>
      </c>
      <c r="C13" s="683"/>
      <c r="D13" s="411"/>
      <c r="E13" s="412"/>
      <c r="F13" s="413"/>
      <c r="G13" s="413"/>
      <c r="H13" s="414"/>
      <c r="I13" s="411"/>
      <c r="J13" s="412"/>
      <c r="K13" s="413"/>
      <c r="L13" s="413"/>
      <c r="M13" s="414"/>
      <c r="N13" s="411"/>
      <c r="O13" s="412"/>
      <c r="P13" s="413"/>
      <c r="Q13" s="413"/>
      <c r="R13" s="414"/>
      <c r="S13" s="411"/>
      <c r="T13" s="412"/>
      <c r="U13" s="413"/>
      <c r="V13" s="413"/>
      <c r="W13" s="414"/>
      <c r="X13" s="411"/>
      <c r="Y13" s="412"/>
      <c r="Z13" s="413"/>
      <c r="AA13" s="413"/>
      <c r="AB13" s="414"/>
      <c r="AC13" s="411"/>
      <c r="AD13" s="412"/>
      <c r="AE13" s="413"/>
      <c r="AF13" s="413"/>
      <c r="AG13" s="414"/>
      <c r="AH13" s="411"/>
      <c r="AI13" s="412"/>
      <c r="AJ13" s="413"/>
      <c r="AK13" s="413"/>
      <c r="AL13" s="414"/>
      <c r="AM13" s="411"/>
      <c r="AN13" s="412"/>
      <c r="AO13" s="413"/>
      <c r="AP13" s="413"/>
      <c r="AQ13" s="414"/>
      <c r="AR13" s="411"/>
      <c r="AS13" s="412"/>
      <c r="AT13" s="413"/>
      <c r="AU13" s="413"/>
      <c r="AV13" s="414"/>
      <c r="AW13" s="411"/>
      <c r="AX13" s="412"/>
      <c r="AY13" s="413"/>
      <c r="AZ13" s="413"/>
      <c r="BA13" s="414"/>
      <c r="BB13" s="411"/>
      <c r="BC13" s="412"/>
      <c r="BD13" s="413"/>
      <c r="BE13" s="413"/>
      <c r="BF13" s="414"/>
      <c r="BG13" s="411"/>
      <c r="BH13" s="412"/>
      <c r="BI13" s="413"/>
      <c r="BJ13" s="413"/>
      <c r="BK13" s="414"/>
      <c r="BL13" s="411"/>
      <c r="BM13" s="412"/>
      <c r="BN13" s="413"/>
      <c r="BO13" s="413"/>
      <c r="BP13" s="414"/>
      <c r="BQ13" s="411"/>
      <c r="BR13" s="412"/>
      <c r="BS13" s="413"/>
      <c r="BT13" s="413"/>
      <c r="BU13" s="414"/>
      <c r="BV13" s="411"/>
      <c r="BW13" s="412"/>
      <c r="BX13" s="413"/>
      <c r="BY13" s="413"/>
      <c r="BZ13" s="414"/>
      <c r="CA13" s="411"/>
      <c r="CB13" s="412"/>
      <c r="CC13" s="413"/>
      <c r="CD13" s="413"/>
      <c r="CE13" s="414"/>
      <c r="CF13" s="411"/>
      <c r="CG13" s="412"/>
      <c r="CH13" s="413"/>
      <c r="CI13" s="413"/>
      <c r="CJ13" s="414"/>
      <c r="CK13" s="411"/>
      <c r="CL13" s="412"/>
      <c r="CM13" s="413"/>
      <c r="CN13" s="413"/>
      <c r="CO13" s="414"/>
      <c r="CP13" s="411"/>
      <c r="CQ13" s="412"/>
      <c r="CR13" s="413"/>
      <c r="CS13" s="413"/>
      <c r="CT13" s="414"/>
      <c r="CU13" s="411"/>
      <c r="CV13" s="412"/>
      <c r="CW13" s="413"/>
      <c r="CX13" s="413"/>
      <c r="CY13" s="414"/>
      <c r="CZ13" s="411"/>
      <c r="DA13" s="412"/>
      <c r="DB13" s="413"/>
      <c r="DC13" s="413"/>
      <c r="DD13" s="414"/>
      <c r="DE13" s="411"/>
      <c r="DF13" s="412"/>
      <c r="DG13" s="413"/>
      <c r="DH13" s="413"/>
      <c r="DI13" s="414"/>
      <c r="DJ13" s="411"/>
      <c r="DK13" s="412"/>
      <c r="DL13" s="413"/>
      <c r="DM13" s="413"/>
      <c r="DN13" s="414"/>
      <c r="DO13" s="411"/>
      <c r="DP13" s="412"/>
      <c r="DQ13" s="413"/>
      <c r="DR13" s="413"/>
      <c r="DS13" s="414"/>
      <c r="DT13" s="411"/>
      <c r="DU13" s="412"/>
      <c r="DV13" s="413"/>
      <c r="DW13" s="413"/>
      <c r="DX13" s="414"/>
    </row>
    <row r="14" spans="1:128" ht="18" customHeight="1" x14ac:dyDescent="0.2">
      <c r="B14" s="682" t="str">
        <f>'General Set-Up'!B9</f>
        <v>PMRS</v>
      </c>
      <c r="C14" s="683"/>
      <c r="D14" s="411"/>
      <c r="E14" s="412"/>
      <c r="F14" s="413"/>
      <c r="G14" s="413"/>
      <c r="H14" s="414"/>
      <c r="I14" s="411"/>
      <c r="J14" s="412"/>
      <c r="K14" s="413"/>
      <c r="L14" s="413"/>
      <c r="M14" s="414"/>
      <c r="N14" s="411"/>
      <c r="O14" s="412"/>
      <c r="P14" s="413"/>
      <c r="Q14" s="413"/>
      <c r="R14" s="414"/>
      <c r="S14" s="411"/>
      <c r="T14" s="412"/>
      <c r="U14" s="413"/>
      <c r="V14" s="413"/>
      <c r="W14" s="414"/>
      <c r="X14" s="411"/>
      <c r="Y14" s="412"/>
      <c r="Z14" s="413"/>
      <c r="AA14" s="413"/>
      <c r="AB14" s="414"/>
      <c r="AC14" s="411"/>
      <c r="AD14" s="412"/>
      <c r="AE14" s="413"/>
      <c r="AF14" s="413"/>
      <c r="AG14" s="414"/>
      <c r="AH14" s="411"/>
      <c r="AI14" s="412"/>
      <c r="AJ14" s="413"/>
      <c r="AK14" s="413"/>
      <c r="AL14" s="414"/>
      <c r="AM14" s="411"/>
      <c r="AN14" s="412"/>
      <c r="AO14" s="413"/>
      <c r="AP14" s="413"/>
      <c r="AQ14" s="414"/>
      <c r="AR14" s="411"/>
      <c r="AS14" s="412"/>
      <c r="AT14" s="413"/>
      <c r="AU14" s="413"/>
      <c r="AV14" s="414"/>
      <c r="AW14" s="411"/>
      <c r="AX14" s="412"/>
      <c r="AY14" s="413"/>
      <c r="AZ14" s="413"/>
      <c r="BA14" s="414"/>
      <c r="BB14" s="411"/>
      <c r="BC14" s="412"/>
      <c r="BD14" s="413"/>
      <c r="BE14" s="413"/>
      <c r="BF14" s="414"/>
      <c r="BG14" s="411"/>
      <c r="BH14" s="412"/>
      <c r="BI14" s="413"/>
      <c r="BJ14" s="413"/>
      <c r="BK14" s="414"/>
      <c r="BL14" s="411"/>
      <c r="BM14" s="412"/>
      <c r="BN14" s="413"/>
      <c r="BO14" s="413"/>
      <c r="BP14" s="414"/>
      <c r="BQ14" s="411"/>
      <c r="BR14" s="412"/>
      <c r="BS14" s="413"/>
      <c r="BT14" s="413"/>
      <c r="BU14" s="414"/>
      <c r="BV14" s="411"/>
      <c r="BW14" s="412"/>
      <c r="BX14" s="413"/>
      <c r="BY14" s="413"/>
      <c r="BZ14" s="414"/>
      <c r="CA14" s="411"/>
      <c r="CB14" s="412"/>
      <c r="CC14" s="413"/>
      <c r="CD14" s="413"/>
      <c r="CE14" s="414"/>
      <c r="CF14" s="411"/>
      <c r="CG14" s="412"/>
      <c r="CH14" s="413"/>
      <c r="CI14" s="413"/>
      <c r="CJ14" s="414"/>
      <c r="CK14" s="411"/>
      <c r="CL14" s="412"/>
      <c r="CM14" s="413"/>
      <c r="CN14" s="413"/>
      <c r="CO14" s="414"/>
      <c r="CP14" s="411"/>
      <c r="CQ14" s="412"/>
      <c r="CR14" s="413"/>
      <c r="CS14" s="413"/>
      <c r="CT14" s="414"/>
      <c r="CU14" s="411"/>
      <c r="CV14" s="412"/>
      <c r="CW14" s="413"/>
      <c r="CX14" s="413"/>
      <c r="CY14" s="414"/>
      <c r="CZ14" s="411"/>
      <c r="DA14" s="412"/>
      <c r="DB14" s="413"/>
      <c r="DC14" s="413"/>
      <c r="DD14" s="414"/>
      <c r="DE14" s="411"/>
      <c r="DF14" s="412"/>
      <c r="DG14" s="413"/>
      <c r="DH14" s="413"/>
      <c r="DI14" s="414"/>
      <c r="DJ14" s="411"/>
      <c r="DK14" s="412"/>
      <c r="DL14" s="413"/>
      <c r="DM14" s="413"/>
      <c r="DN14" s="414"/>
      <c r="DO14" s="411"/>
      <c r="DP14" s="412"/>
      <c r="DQ14" s="413"/>
      <c r="DR14" s="413"/>
      <c r="DS14" s="414"/>
      <c r="DT14" s="411"/>
      <c r="DU14" s="412"/>
      <c r="DV14" s="413"/>
      <c r="DW14" s="413"/>
      <c r="DX14" s="414"/>
    </row>
    <row r="15" spans="1:128" ht="18" customHeight="1" x14ac:dyDescent="0.2">
      <c r="B15" s="682" t="str">
        <f>'General Set-Up'!B10</f>
        <v>PMRS</v>
      </c>
      <c r="C15" s="683"/>
      <c r="D15" s="411"/>
      <c r="E15" s="412"/>
      <c r="F15" s="413"/>
      <c r="G15" s="413"/>
      <c r="H15" s="414"/>
      <c r="I15" s="411"/>
      <c r="J15" s="412"/>
      <c r="K15" s="413"/>
      <c r="L15" s="413"/>
      <c r="M15" s="414"/>
      <c r="N15" s="411"/>
      <c r="O15" s="412"/>
      <c r="P15" s="413"/>
      <c r="Q15" s="413"/>
      <c r="R15" s="414"/>
      <c r="S15" s="411"/>
      <c r="T15" s="412"/>
      <c r="U15" s="413"/>
      <c r="V15" s="413"/>
      <c r="W15" s="414"/>
      <c r="X15" s="411"/>
      <c r="Y15" s="412"/>
      <c r="Z15" s="413"/>
      <c r="AA15" s="413"/>
      <c r="AB15" s="414"/>
      <c r="AC15" s="411"/>
      <c r="AD15" s="412"/>
      <c r="AE15" s="413"/>
      <c r="AF15" s="413"/>
      <c r="AG15" s="414"/>
      <c r="AH15" s="411"/>
      <c r="AI15" s="412"/>
      <c r="AJ15" s="413"/>
      <c r="AK15" s="413"/>
      <c r="AL15" s="414"/>
      <c r="AM15" s="411"/>
      <c r="AN15" s="412"/>
      <c r="AO15" s="413"/>
      <c r="AP15" s="413"/>
      <c r="AQ15" s="414"/>
      <c r="AR15" s="411"/>
      <c r="AS15" s="412"/>
      <c r="AT15" s="413"/>
      <c r="AU15" s="413"/>
      <c r="AV15" s="414"/>
      <c r="AW15" s="411"/>
      <c r="AX15" s="412"/>
      <c r="AY15" s="413"/>
      <c r="AZ15" s="413"/>
      <c r="BA15" s="414"/>
      <c r="BB15" s="411"/>
      <c r="BC15" s="412"/>
      <c r="BD15" s="413"/>
      <c r="BE15" s="413"/>
      <c r="BF15" s="414"/>
      <c r="BG15" s="411"/>
      <c r="BH15" s="412"/>
      <c r="BI15" s="413"/>
      <c r="BJ15" s="413"/>
      <c r="BK15" s="414"/>
      <c r="BL15" s="411"/>
      <c r="BM15" s="412"/>
      <c r="BN15" s="413"/>
      <c r="BO15" s="413"/>
      <c r="BP15" s="414"/>
      <c r="BQ15" s="411"/>
      <c r="BR15" s="412"/>
      <c r="BS15" s="413"/>
      <c r="BT15" s="413"/>
      <c r="BU15" s="414"/>
      <c r="BV15" s="411"/>
      <c r="BW15" s="412"/>
      <c r="BX15" s="413"/>
      <c r="BY15" s="413"/>
      <c r="BZ15" s="414"/>
      <c r="CA15" s="411"/>
      <c r="CB15" s="412"/>
      <c r="CC15" s="413"/>
      <c r="CD15" s="413"/>
      <c r="CE15" s="414"/>
      <c r="CF15" s="411"/>
      <c r="CG15" s="412"/>
      <c r="CH15" s="413"/>
      <c r="CI15" s="413"/>
      <c r="CJ15" s="414"/>
      <c r="CK15" s="411"/>
      <c r="CL15" s="412"/>
      <c r="CM15" s="413"/>
      <c r="CN15" s="413"/>
      <c r="CO15" s="414"/>
      <c r="CP15" s="411"/>
      <c r="CQ15" s="412"/>
      <c r="CR15" s="413"/>
      <c r="CS15" s="413"/>
      <c r="CT15" s="414"/>
      <c r="CU15" s="411"/>
      <c r="CV15" s="412"/>
      <c r="CW15" s="413"/>
      <c r="CX15" s="413"/>
      <c r="CY15" s="414"/>
      <c r="CZ15" s="411"/>
      <c r="DA15" s="412"/>
      <c r="DB15" s="413"/>
      <c r="DC15" s="413"/>
      <c r="DD15" s="414"/>
      <c r="DE15" s="411"/>
      <c r="DF15" s="412"/>
      <c r="DG15" s="413"/>
      <c r="DH15" s="413"/>
      <c r="DI15" s="414"/>
      <c r="DJ15" s="411"/>
      <c r="DK15" s="412"/>
      <c r="DL15" s="413"/>
      <c r="DM15" s="413"/>
      <c r="DN15" s="414"/>
      <c r="DO15" s="411"/>
      <c r="DP15" s="412"/>
      <c r="DQ15" s="413"/>
      <c r="DR15" s="413"/>
      <c r="DS15" s="414"/>
      <c r="DT15" s="411"/>
      <c r="DU15" s="412"/>
      <c r="DV15" s="413"/>
      <c r="DW15" s="413"/>
      <c r="DX15" s="414"/>
    </row>
    <row r="16" spans="1:128" ht="18" customHeight="1" x14ac:dyDescent="0.2">
      <c r="B16" s="682">
        <f>'General Set-Up'!B11</f>
        <v>0</v>
      </c>
      <c r="C16" s="683"/>
      <c r="D16" s="411"/>
      <c r="E16" s="412"/>
      <c r="F16" s="413"/>
      <c r="G16" s="413"/>
      <c r="H16" s="414"/>
      <c r="I16" s="411"/>
      <c r="J16" s="412"/>
      <c r="K16" s="413"/>
      <c r="L16" s="413"/>
      <c r="M16" s="414"/>
      <c r="N16" s="411"/>
      <c r="O16" s="412"/>
      <c r="P16" s="413"/>
      <c r="Q16" s="413"/>
      <c r="R16" s="414"/>
      <c r="S16" s="411"/>
      <c r="T16" s="412"/>
      <c r="U16" s="413"/>
      <c r="V16" s="413"/>
      <c r="W16" s="414"/>
      <c r="X16" s="411"/>
      <c r="Y16" s="412"/>
      <c r="Z16" s="413"/>
      <c r="AA16" s="413"/>
      <c r="AB16" s="414"/>
      <c r="AC16" s="411"/>
      <c r="AD16" s="412"/>
      <c r="AE16" s="413"/>
      <c r="AF16" s="413"/>
      <c r="AG16" s="414"/>
      <c r="AH16" s="411"/>
      <c r="AI16" s="412"/>
      <c r="AJ16" s="413"/>
      <c r="AK16" s="413"/>
      <c r="AL16" s="414"/>
      <c r="AM16" s="411"/>
      <c r="AN16" s="412"/>
      <c r="AO16" s="413"/>
      <c r="AP16" s="413"/>
      <c r="AQ16" s="414"/>
      <c r="AR16" s="411"/>
      <c r="AS16" s="412"/>
      <c r="AT16" s="413"/>
      <c r="AU16" s="413"/>
      <c r="AV16" s="414"/>
      <c r="AW16" s="411"/>
      <c r="AX16" s="412"/>
      <c r="AY16" s="413"/>
      <c r="AZ16" s="413"/>
      <c r="BA16" s="414"/>
      <c r="BB16" s="411"/>
      <c r="BC16" s="412"/>
      <c r="BD16" s="413"/>
      <c r="BE16" s="413"/>
      <c r="BF16" s="414"/>
      <c r="BG16" s="411"/>
      <c r="BH16" s="412"/>
      <c r="BI16" s="413"/>
      <c r="BJ16" s="413"/>
      <c r="BK16" s="414"/>
      <c r="BL16" s="411"/>
      <c r="BM16" s="412"/>
      <c r="BN16" s="413"/>
      <c r="BO16" s="413"/>
      <c r="BP16" s="414"/>
      <c r="BQ16" s="411"/>
      <c r="BR16" s="412"/>
      <c r="BS16" s="413"/>
      <c r="BT16" s="413"/>
      <c r="BU16" s="414"/>
      <c r="BV16" s="411"/>
      <c r="BW16" s="412"/>
      <c r="BX16" s="413"/>
      <c r="BY16" s="413"/>
      <c r="BZ16" s="414"/>
      <c r="CA16" s="411"/>
      <c r="CB16" s="412"/>
      <c r="CC16" s="413"/>
      <c r="CD16" s="413"/>
      <c r="CE16" s="414"/>
      <c r="CF16" s="411"/>
      <c r="CG16" s="412"/>
      <c r="CH16" s="413"/>
      <c r="CI16" s="413"/>
      <c r="CJ16" s="414"/>
      <c r="CK16" s="411"/>
      <c r="CL16" s="412"/>
      <c r="CM16" s="413"/>
      <c r="CN16" s="413"/>
      <c r="CO16" s="414"/>
      <c r="CP16" s="411"/>
      <c r="CQ16" s="412"/>
      <c r="CR16" s="413"/>
      <c r="CS16" s="413"/>
      <c r="CT16" s="414"/>
      <c r="CU16" s="411"/>
      <c r="CV16" s="412"/>
      <c r="CW16" s="413"/>
      <c r="CX16" s="413"/>
      <c r="CY16" s="414"/>
      <c r="CZ16" s="411"/>
      <c r="DA16" s="412"/>
      <c r="DB16" s="413"/>
      <c r="DC16" s="413"/>
      <c r="DD16" s="414"/>
      <c r="DE16" s="411"/>
      <c r="DF16" s="412"/>
      <c r="DG16" s="413"/>
      <c r="DH16" s="413"/>
      <c r="DI16" s="414"/>
      <c r="DJ16" s="411"/>
      <c r="DK16" s="412"/>
      <c r="DL16" s="413"/>
      <c r="DM16" s="413"/>
      <c r="DN16" s="414"/>
      <c r="DO16" s="411"/>
      <c r="DP16" s="412"/>
      <c r="DQ16" s="413"/>
      <c r="DR16" s="413"/>
      <c r="DS16" s="414"/>
      <c r="DT16" s="411"/>
      <c r="DU16" s="412"/>
      <c r="DV16" s="413"/>
      <c r="DW16" s="413"/>
      <c r="DX16" s="414"/>
    </row>
    <row r="17" spans="1:128" ht="18" customHeight="1" x14ac:dyDescent="0.2">
      <c r="B17" s="682">
        <f>'General Set-Up'!B12</f>
        <v>0</v>
      </c>
      <c r="C17" s="683"/>
      <c r="D17" s="411"/>
      <c r="E17" s="412"/>
      <c r="F17" s="413"/>
      <c r="G17" s="413"/>
      <c r="H17" s="414"/>
      <c r="I17" s="411"/>
      <c r="J17" s="412"/>
      <c r="K17" s="413"/>
      <c r="L17" s="413"/>
      <c r="M17" s="414"/>
      <c r="N17" s="411"/>
      <c r="O17" s="412"/>
      <c r="P17" s="413"/>
      <c r="Q17" s="413"/>
      <c r="R17" s="414"/>
      <c r="S17" s="411"/>
      <c r="T17" s="412"/>
      <c r="U17" s="413"/>
      <c r="V17" s="413"/>
      <c r="W17" s="414"/>
      <c r="X17" s="411"/>
      <c r="Y17" s="412"/>
      <c r="Z17" s="413"/>
      <c r="AA17" s="413"/>
      <c r="AB17" s="414"/>
      <c r="AC17" s="411"/>
      <c r="AD17" s="412"/>
      <c r="AE17" s="413"/>
      <c r="AF17" s="413"/>
      <c r="AG17" s="414"/>
      <c r="AH17" s="411"/>
      <c r="AI17" s="412"/>
      <c r="AJ17" s="413"/>
      <c r="AK17" s="413"/>
      <c r="AL17" s="414"/>
      <c r="AM17" s="411"/>
      <c r="AN17" s="412"/>
      <c r="AO17" s="413"/>
      <c r="AP17" s="413"/>
      <c r="AQ17" s="414"/>
      <c r="AR17" s="411"/>
      <c r="AS17" s="412"/>
      <c r="AT17" s="413"/>
      <c r="AU17" s="413"/>
      <c r="AV17" s="414"/>
      <c r="AW17" s="411"/>
      <c r="AX17" s="412"/>
      <c r="AY17" s="413"/>
      <c r="AZ17" s="413"/>
      <c r="BA17" s="414"/>
      <c r="BB17" s="411"/>
      <c r="BC17" s="412"/>
      <c r="BD17" s="413"/>
      <c r="BE17" s="413"/>
      <c r="BF17" s="414"/>
      <c r="BG17" s="411"/>
      <c r="BH17" s="412"/>
      <c r="BI17" s="413"/>
      <c r="BJ17" s="413"/>
      <c r="BK17" s="414"/>
      <c r="BL17" s="411"/>
      <c r="BM17" s="412"/>
      <c r="BN17" s="413"/>
      <c r="BO17" s="413"/>
      <c r="BP17" s="414"/>
      <c r="BQ17" s="411"/>
      <c r="BR17" s="412"/>
      <c r="BS17" s="413"/>
      <c r="BT17" s="413"/>
      <c r="BU17" s="414"/>
      <c r="BV17" s="411"/>
      <c r="BW17" s="412"/>
      <c r="BX17" s="413"/>
      <c r="BY17" s="413"/>
      <c r="BZ17" s="414"/>
      <c r="CA17" s="411"/>
      <c r="CB17" s="412"/>
      <c r="CC17" s="413"/>
      <c r="CD17" s="413"/>
      <c r="CE17" s="414"/>
      <c r="CF17" s="411"/>
      <c r="CG17" s="412"/>
      <c r="CH17" s="413"/>
      <c r="CI17" s="413"/>
      <c r="CJ17" s="414"/>
      <c r="CK17" s="411"/>
      <c r="CL17" s="412"/>
      <c r="CM17" s="413"/>
      <c r="CN17" s="413"/>
      <c r="CO17" s="414"/>
      <c r="CP17" s="411"/>
      <c r="CQ17" s="412"/>
      <c r="CR17" s="413"/>
      <c r="CS17" s="413"/>
      <c r="CT17" s="414"/>
      <c r="CU17" s="411"/>
      <c r="CV17" s="412"/>
      <c r="CW17" s="413"/>
      <c r="CX17" s="413"/>
      <c r="CY17" s="414"/>
      <c r="CZ17" s="411"/>
      <c r="DA17" s="412"/>
      <c r="DB17" s="413"/>
      <c r="DC17" s="413"/>
      <c r="DD17" s="414"/>
      <c r="DE17" s="411"/>
      <c r="DF17" s="412"/>
      <c r="DG17" s="413"/>
      <c r="DH17" s="413"/>
      <c r="DI17" s="414"/>
      <c r="DJ17" s="411"/>
      <c r="DK17" s="412"/>
      <c r="DL17" s="413"/>
      <c r="DM17" s="413"/>
      <c r="DN17" s="414"/>
      <c r="DO17" s="411"/>
      <c r="DP17" s="412"/>
      <c r="DQ17" s="413"/>
      <c r="DR17" s="413"/>
      <c r="DS17" s="414"/>
      <c r="DT17" s="411"/>
      <c r="DU17" s="412"/>
      <c r="DV17" s="413"/>
      <c r="DW17" s="413"/>
      <c r="DX17" s="414"/>
    </row>
    <row r="18" spans="1:128" ht="18" customHeight="1" x14ac:dyDescent="0.2">
      <c r="B18" s="682">
        <f>'General Set-Up'!B13</f>
        <v>0</v>
      </c>
      <c r="C18" s="683"/>
      <c r="D18" s="411"/>
      <c r="E18" s="412"/>
      <c r="F18" s="413"/>
      <c r="G18" s="413"/>
      <c r="H18" s="414"/>
      <c r="I18" s="411"/>
      <c r="J18" s="412"/>
      <c r="K18" s="413"/>
      <c r="L18" s="413"/>
      <c r="M18" s="414"/>
      <c r="N18" s="411"/>
      <c r="O18" s="412"/>
      <c r="P18" s="413"/>
      <c r="Q18" s="413"/>
      <c r="R18" s="414"/>
      <c r="S18" s="411"/>
      <c r="T18" s="412"/>
      <c r="U18" s="413"/>
      <c r="V18" s="413"/>
      <c r="W18" s="414"/>
      <c r="X18" s="411"/>
      <c r="Y18" s="412"/>
      <c r="Z18" s="413"/>
      <c r="AA18" s="413"/>
      <c r="AB18" s="414"/>
      <c r="AC18" s="411"/>
      <c r="AD18" s="412"/>
      <c r="AE18" s="413"/>
      <c r="AF18" s="413"/>
      <c r="AG18" s="414"/>
      <c r="AH18" s="411"/>
      <c r="AI18" s="412"/>
      <c r="AJ18" s="413"/>
      <c r="AK18" s="413"/>
      <c r="AL18" s="414"/>
      <c r="AM18" s="411"/>
      <c r="AN18" s="412"/>
      <c r="AO18" s="413"/>
      <c r="AP18" s="413"/>
      <c r="AQ18" s="414"/>
      <c r="AR18" s="411"/>
      <c r="AS18" s="412"/>
      <c r="AT18" s="413"/>
      <c r="AU18" s="413"/>
      <c r="AV18" s="414"/>
      <c r="AW18" s="411"/>
      <c r="AX18" s="412"/>
      <c r="AY18" s="413"/>
      <c r="AZ18" s="413"/>
      <c r="BA18" s="414"/>
      <c r="BB18" s="411"/>
      <c r="BC18" s="412"/>
      <c r="BD18" s="413"/>
      <c r="BE18" s="413"/>
      <c r="BF18" s="414"/>
      <c r="BG18" s="411"/>
      <c r="BH18" s="412"/>
      <c r="BI18" s="413"/>
      <c r="BJ18" s="413"/>
      <c r="BK18" s="414"/>
      <c r="BL18" s="411"/>
      <c r="BM18" s="412"/>
      <c r="BN18" s="413"/>
      <c r="BO18" s="413"/>
      <c r="BP18" s="414"/>
      <c r="BQ18" s="411"/>
      <c r="BR18" s="412"/>
      <c r="BS18" s="413"/>
      <c r="BT18" s="413"/>
      <c r="BU18" s="414"/>
      <c r="BV18" s="411"/>
      <c r="BW18" s="412"/>
      <c r="BX18" s="413"/>
      <c r="BY18" s="413"/>
      <c r="BZ18" s="414"/>
      <c r="CA18" s="411"/>
      <c r="CB18" s="412"/>
      <c r="CC18" s="413"/>
      <c r="CD18" s="413"/>
      <c r="CE18" s="414"/>
      <c r="CF18" s="411"/>
      <c r="CG18" s="412"/>
      <c r="CH18" s="413"/>
      <c r="CI18" s="413"/>
      <c r="CJ18" s="414"/>
      <c r="CK18" s="411"/>
      <c r="CL18" s="412"/>
      <c r="CM18" s="413"/>
      <c r="CN18" s="413"/>
      <c r="CO18" s="414"/>
      <c r="CP18" s="411"/>
      <c r="CQ18" s="412"/>
      <c r="CR18" s="413"/>
      <c r="CS18" s="413"/>
      <c r="CT18" s="414"/>
      <c r="CU18" s="411"/>
      <c r="CV18" s="412"/>
      <c r="CW18" s="413"/>
      <c r="CX18" s="413"/>
      <c r="CY18" s="414"/>
      <c r="CZ18" s="411"/>
      <c r="DA18" s="412"/>
      <c r="DB18" s="413"/>
      <c r="DC18" s="413"/>
      <c r="DD18" s="414"/>
      <c r="DE18" s="411"/>
      <c r="DF18" s="412"/>
      <c r="DG18" s="413"/>
      <c r="DH18" s="413"/>
      <c r="DI18" s="414"/>
      <c r="DJ18" s="411"/>
      <c r="DK18" s="412"/>
      <c r="DL18" s="413"/>
      <c r="DM18" s="413"/>
      <c r="DN18" s="414"/>
      <c r="DO18" s="411"/>
      <c r="DP18" s="412"/>
      <c r="DQ18" s="413"/>
      <c r="DR18" s="413"/>
      <c r="DS18" s="414"/>
      <c r="DT18" s="411"/>
      <c r="DU18" s="412"/>
      <c r="DV18" s="413"/>
      <c r="DW18" s="413"/>
      <c r="DX18" s="414"/>
    </row>
    <row r="19" spans="1:128" ht="18" customHeight="1" x14ac:dyDescent="0.2">
      <c r="B19" s="682">
        <f>'General Set-Up'!B14</f>
        <v>0</v>
      </c>
      <c r="C19" s="683"/>
      <c r="D19" s="411"/>
      <c r="E19" s="412"/>
      <c r="F19" s="413"/>
      <c r="G19" s="413"/>
      <c r="H19" s="414"/>
      <c r="I19" s="411"/>
      <c r="J19" s="412"/>
      <c r="K19" s="413"/>
      <c r="L19" s="413"/>
      <c r="M19" s="414"/>
      <c r="N19" s="411"/>
      <c r="O19" s="412"/>
      <c r="P19" s="413"/>
      <c r="Q19" s="413"/>
      <c r="R19" s="414"/>
      <c r="S19" s="411"/>
      <c r="T19" s="412"/>
      <c r="U19" s="413"/>
      <c r="V19" s="413"/>
      <c r="W19" s="414"/>
      <c r="X19" s="411"/>
      <c r="Y19" s="412"/>
      <c r="Z19" s="413"/>
      <c r="AA19" s="413"/>
      <c r="AB19" s="414"/>
      <c r="AC19" s="411"/>
      <c r="AD19" s="412"/>
      <c r="AE19" s="413"/>
      <c r="AF19" s="413"/>
      <c r="AG19" s="414"/>
      <c r="AH19" s="411"/>
      <c r="AI19" s="412"/>
      <c r="AJ19" s="413"/>
      <c r="AK19" s="413"/>
      <c r="AL19" s="414"/>
      <c r="AM19" s="411"/>
      <c r="AN19" s="412"/>
      <c r="AO19" s="413"/>
      <c r="AP19" s="413"/>
      <c r="AQ19" s="414"/>
      <c r="AR19" s="411"/>
      <c r="AS19" s="412"/>
      <c r="AT19" s="413"/>
      <c r="AU19" s="413"/>
      <c r="AV19" s="414"/>
      <c r="AW19" s="411"/>
      <c r="AX19" s="412"/>
      <c r="AY19" s="413"/>
      <c r="AZ19" s="413"/>
      <c r="BA19" s="414"/>
      <c r="BB19" s="411"/>
      <c r="BC19" s="412"/>
      <c r="BD19" s="413"/>
      <c r="BE19" s="413"/>
      <c r="BF19" s="414"/>
      <c r="BG19" s="411"/>
      <c r="BH19" s="412"/>
      <c r="BI19" s="413"/>
      <c r="BJ19" s="413"/>
      <c r="BK19" s="414"/>
      <c r="BL19" s="411"/>
      <c r="BM19" s="412"/>
      <c r="BN19" s="413"/>
      <c r="BO19" s="413"/>
      <c r="BP19" s="414"/>
      <c r="BQ19" s="411"/>
      <c r="BR19" s="412"/>
      <c r="BS19" s="413"/>
      <c r="BT19" s="413"/>
      <c r="BU19" s="414"/>
      <c r="BV19" s="411"/>
      <c r="BW19" s="412"/>
      <c r="BX19" s="413"/>
      <c r="BY19" s="413"/>
      <c r="BZ19" s="414"/>
      <c r="CA19" s="411"/>
      <c r="CB19" s="412"/>
      <c r="CC19" s="413"/>
      <c r="CD19" s="413"/>
      <c r="CE19" s="414"/>
      <c r="CF19" s="411"/>
      <c r="CG19" s="412"/>
      <c r="CH19" s="413"/>
      <c r="CI19" s="413"/>
      <c r="CJ19" s="414"/>
      <c r="CK19" s="411"/>
      <c r="CL19" s="412"/>
      <c r="CM19" s="413"/>
      <c r="CN19" s="413"/>
      <c r="CO19" s="414"/>
      <c r="CP19" s="411"/>
      <c r="CQ19" s="412"/>
      <c r="CR19" s="413"/>
      <c r="CS19" s="413"/>
      <c r="CT19" s="414"/>
      <c r="CU19" s="411"/>
      <c r="CV19" s="412"/>
      <c r="CW19" s="413"/>
      <c r="CX19" s="413"/>
      <c r="CY19" s="414"/>
      <c r="CZ19" s="411"/>
      <c r="DA19" s="412"/>
      <c r="DB19" s="413"/>
      <c r="DC19" s="413"/>
      <c r="DD19" s="414"/>
      <c r="DE19" s="411"/>
      <c r="DF19" s="412"/>
      <c r="DG19" s="413"/>
      <c r="DH19" s="413"/>
      <c r="DI19" s="414"/>
      <c r="DJ19" s="411"/>
      <c r="DK19" s="412"/>
      <c r="DL19" s="413"/>
      <c r="DM19" s="413"/>
      <c r="DN19" s="414"/>
      <c r="DO19" s="411"/>
      <c r="DP19" s="412"/>
      <c r="DQ19" s="413"/>
      <c r="DR19" s="413"/>
      <c r="DS19" s="414"/>
      <c r="DT19" s="411"/>
      <c r="DU19" s="412"/>
      <c r="DV19" s="413"/>
      <c r="DW19" s="413"/>
      <c r="DX19" s="414"/>
    </row>
    <row r="20" spans="1:128" ht="18" customHeight="1" x14ac:dyDescent="0.2">
      <c r="B20" s="682">
        <f>'General Set-Up'!B15</f>
        <v>0</v>
      </c>
      <c r="C20" s="683"/>
      <c r="D20" s="411"/>
      <c r="E20" s="412"/>
      <c r="F20" s="413"/>
      <c r="G20" s="413"/>
      <c r="H20" s="414"/>
      <c r="I20" s="411"/>
      <c r="J20" s="412"/>
      <c r="K20" s="413"/>
      <c r="L20" s="413"/>
      <c r="M20" s="414"/>
      <c r="N20" s="411"/>
      <c r="O20" s="412"/>
      <c r="P20" s="413"/>
      <c r="Q20" s="413"/>
      <c r="R20" s="414"/>
      <c r="S20" s="411"/>
      <c r="T20" s="412"/>
      <c r="U20" s="413"/>
      <c r="V20" s="413"/>
      <c r="W20" s="414"/>
      <c r="X20" s="411"/>
      <c r="Y20" s="412"/>
      <c r="Z20" s="413"/>
      <c r="AA20" s="413"/>
      <c r="AB20" s="414"/>
      <c r="AC20" s="411"/>
      <c r="AD20" s="412"/>
      <c r="AE20" s="413"/>
      <c r="AF20" s="413"/>
      <c r="AG20" s="414"/>
      <c r="AH20" s="411"/>
      <c r="AI20" s="412"/>
      <c r="AJ20" s="413"/>
      <c r="AK20" s="413"/>
      <c r="AL20" s="414"/>
      <c r="AM20" s="411"/>
      <c r="AN20" s="412"/>
      <c r="AO20" s="413"/>
      <c r="AP20" s="413"/>
      <c r="AQ20" s="414"/>
      <c r="AR20" s="411"/>
      <c r="AS20" s="412"/>
      <c r="AT20" s="413"/>
      <c r="AU20" s="413"/>
      <c r="AV20" s="414"/>
      <c r="AW20" s="411"/>
      <c r="AX20" s="412"/>
      <c r="AY20" s="413"/>
      <c r="AZ20" s="413"/>
      <c r="BA20" s="414"/>
      <c r="BB20" s="411"/>
      <c r="BC20" s="412"/>
      <c r="BD20" s="413"/>
      <c r="BE20" s="413"/>
      <c r="BF20" s="414"/>
      <c r="BG20" s="411"/>
      <c r="BH20" s="412"/>
      <c r="BI20" s="413"/>
      <c r="BJ20" s="413"/>
      <c r="BK20" s="414"/>
      <c r="BL20" s="411"/>
      <c r="BM20" s="412"/>
      <c r="BN20" s="413"/>
      <c r="BO20" s="413"/>
      <c r="BP20" s="414"/>
      <c r="BQ20" s="411"/>
      <c r="BR20" s="412"/>
      <c r="BS20" s="413"/>
      <c r="BT20" s="413"/>
      <c r="BU20" s="414"/>
      <c r="BV20" s="411"/>
      <c r="BW20" s="412"/>
      <c r="BX20" s="413"/>
      <c r="BY20" s="413"/>
      <c r="BZ20" s="414"/>
      <c r="CA20" s="411"/>
      <c r="CB20" s="412"/>
      <c r="CC20" s="413"/>
      <c r="CD20" s="413"/>
      <c r="CE20" s="414"/>
      <c r="CF20" s="411"/>
      <c r="CG20" s="412"/>
      <c r="CH20" s="413"/>
      <c r="CI20" s="413"/>
      <c r="CJ20" s="414"/>
      <c r="CK20" s="411"/>
      <c r="CL20" s="412"/>
      <c r="CM20" s="413"/>
      <c r="CN20" s="413"/>
      <c r="CO20" s="414"/>
      <c r="CP20" s="411"/>
      <c r="CQ20" s="412"/>
      <c r="CR20" s="413"/>
      <c r="CS20" s="413"/>
      <c r="CT20" s="414"/>
      <c r="CU20" s="411"/>
      <c r="CV20" s="412"/>
      <c r="CW20" s="413"/>
      <c r="CX20" s="413"/>
      <c r="CY20" s="414"/>
      <c r="CZ20" s="411"/>
      <c r="DA20" s="412"/>
      <c r="DB20" s="413"/>
      <c r="DC20" s="413"/>
      <c r="DD20" s="414"/>
      <c r="DE20" s="411"/>
      <c r="DF20" s="412"/>
      <c r="DG20" s="413"/>
      <c r="DH20" s="413"/>
      <c r="DI20" s="414"/>
      <c r="DJ20" s="411"/>
      <c r="DK20" s="412"/>
      <c r="DL20" s="413"/>
      <c r="DM20" s="413"/>
      <c r="DN20" s="414"/>
      <c r="DO20" s="411"/>
      <c r="DP20" s="412"/>
      <c r="DQ20" s="413"/>
      <c r="DR20" s="413"/>
      <c r="DS20" s="414"/>
      <c r="DT20" s="411"/>
      <c r="DU20" s="412"/>
      <c r="DV20" s="413"/>
      <c r="DW20" s="413"/>
      <c r="DX20" s="414"/>
    </row>
    <row r="21" spans="1:128" ht="18" customHeight="1" x14ac:dyDescent="0.2">
      <c r="B21" s="682">
        <f>'General Set-Up'!B16</f>
        <v>0</v>
      </c>
      <c r="C21" s="683"/>
      <c r="D21" s="411"/>
      <c r="E21" s="412"/>
      <c r="F21" s="413"/>
      <c r="G21" s="413"/>
      <c r="H21" s="414"/>
      <c r="I21" s="411"/>
      <c r="J21" s="412"/>
      <c r="K21" s="413"/>
      <c r="L21" s="413"/>
      <c r="M21" s="414"/>
      <c r="N21" s="411"/>
      <c r="O21" s="412"/>
      <c r="P21" s="413"/>
      <c r="Q21" s="413"/>
      <c r="R21" s="414"/>
      <c r="S21" s="411"/>
      <c r="T21" s="412"/>
      <c r="U21" s="413"/>
      <c r="V21" s="413"/>
      <c r="W21" s="414"/>
      <c r="X21" s="411"/>
      <c r="Y21" s="412"/>
      <c r="Z21" s="413"/>
      <c r="AA21" s="413"/>
      <c r="AB21" s="414"/>
      <c r="AC21" s="411"/>
      <c r="AD21" s="412"/>
      <c r="AE21" s="413"/>
      <c r="AF21" s="413"/>
      <c r="AG21" s="414"/>
      <c r="AH21" s="411"/>
      <c r="AI21" s="412"/>
      <c r="AJ21" s="413"/>
      <c r="AK21" s="413"/>
      <c r="AL21" s="414"/>
      <c r="AM21" s="411"/>
      <c r="AN21" s="412"/>
      <c r="AO21" s="413"/>
      <c r="AP21" s="413"/>
      <c r="AQ21" s="414"/>
      <c r="AR21" s="411"/>
      <c r="AS21" s="412"/>
      <c r="AT21" s="413"/>
      <c r="AU21" s="413"/>
      <c r="AV21" s="414"/>
      <c r="AW21" s="411"/>
      <c r="AX21" s="412"/>
      <c r="AY21" s="413"/>
      <c r="AZ21" s="413"/>
      <c r="BA21" s="414"/>
      <c r="BB21" s="411"/>
      <c r="BC21" s="412"/>
      <c r="BD21" s="413"/>
      <c r="BE21" s="413"/>
      <c r="BF21" s="414"/>
      <c r="BG21" s="411"/>
      <c r="BH21" s="412"/>
      <c r="BI21" s="413"/>
      <c r="BJ21" s="413"/>
      <c r="BK21" s="414"/>
      <c r="BL21" s="411"/>
      <c r="BM21" s="412"/>
      <c r="BN21" s="413"/>
      <c r="BO21" s="413"/>
      <c r="BP21" s="414"/>
      <c r="BQ21" s="411"/>
      <c r="BR21" s="412"/>
      <c r="BS21" s="413"/>
      <c r="BT21" s="413"/>
      <c r="BU21" s="414"/>
      <c r="BV21" s="411"/>
      <c r="BW21" s="412"/>
      <c r="BX21" s="413"/>
      <c r="BY21" s="413"/>
      <c r="BZ21" s="414"/>
      <c r="CA21" s="411"/>
      <c r="CB21" s="412"/>
      <c r="CC21" s="413"/>
      <c r="CD21" s="413"/>
      <c r="CE21" s="414"/>
      <c r="CF21" s="411"/>
      <c r="CG21" s="412"/>
      <c r="CH21" s="413"/>
      <c r="CI21" s="413"/>
      <c r="CJ21" s="414"/>
      <c r="CK21" s="411"/>
      <c r="CL21" s="412"/>
      <c r="CM21" s="413"/>
      <c r="CN21" s="413"/>
      <c r="CO21" s="414"/>
      <c r="CP21" s="411"/>
      <c r="CQ21" s="412"/>
      <c r="CR21" s="413"/>
      <c r="CS21" s="413"/>
      <c r="CT21" s="414"/>
      <c r="CU21" s="411"/>
      <c r="CV21" s="412"/>
      <c r="CW21" s="413"/>
      <c r="CX21" s="413"/>
      <c r="CY21" s="414"/>
      <c r="CZ21" s="411"/>
      <c r="DA21" s="412"/>
      <c r="DB21" s="413"/>
      <c r="DC21" s="413"/>
      <c r="DD21" s="414"/>
      <c r="DE21" s="411"/>
      <c r="DF21" s="412"/>
      <c r="DG21" s="413"/>
      <c r="DH21" s="413"/>
      <c r="DI21" s="414"/>
      <c r="DJ21" s="411"/>
      <c r="DK21" s="412"/>
      <c r="DL21" s="413"/>
      <c r="DM21" s="413"/>
      <c r="DN21" s="414"/>
      <c r="DO21" s="411"/>
      <c r="DP21" s="412"/>
      <c r="DQ21" s="413"/>
      <c r="DR21" s="413"/>
      <c r="DS21" s="414"/>
      <c r="DT21" s="411"/>
      <c r="DU21" s="412"/>
      <c r="DV21" s="413"/>
      <c r="DW21" s="413"/>
      <c r="DX21" s="414"/>
    </row>
    <row r="22" spans="1:128" ht="18" customHeight="1" x14ac:dyDescent="0.2">
      <c r="B22" s="682">
        <f>'General Set-Up'!B17</f>
        <v>0</v>
      </c>
      <c r="C22" s="683"/>
      <c r="D22" s="411"/>
      <c r="E22" s="413"/>
      <c r="F22" s="413"/>
      <c r="G22" s="413"/>
      <c r="H22" s="414"/>
      <c r="I22" s="411"/>
      <c r="J22" s="413"/>
      <c r="K22" s="413"/>
      <c r="L22" s="413"/>
      <c r="M22" s="414"/>
      <c r="N22" s="411"/>
      <c r="O22" s="413"/>
      <c r="P22" s="413"/>
      <c r="Q22" s="413"/>
      <c r="R22" s="414"/>
      <c r="S22" s="411"/>
      <c r="T22" s="413"/>
      <c r="U22" s="413"/>
      <c r="V22" s="413"/>
      <c r="W22" s="414"/>
      <c r="X22" s="411"/>
      <c r="Y22" s="413"/>
      <c r="Z22" s="413"/>
      <c r="AA22" s="413"/>
      <c r="AB22" s="414"/>
      <c r="AC22" s="411"/>
      <c r="AD22" s="413"/>
      <c r="AE22" s="413"/>
      <c r="AF22" s="413"/>
      <c r="AG22" s="414"/>
      <c r="AH22" s="411"/>
      <c r="AI22" s="413"/>
      <c r="AJ22" s="413"/>
      <c r="AK22" s="413"/>
      <c r="AL22" s="414"/>
      <c r="AM22" s="411"/>
      <c r="AN22" s="413"/>
      <c r="AO22" s="413"/>
      <c r="AP22" s="413"/>
      <c r="AQ22" s="414"/>
      <c r="AR22" s="411"/>
      <c r="AS22" s="413"/>
      <c r="AT22" s="413"/>
      <c r="AU22" s="413"/>
      <c r="AV22" s="414"/>
      <c r="AW22" s="411"/>
      <c r="AX22" s="413"/>
      <c r="AY22" s="413"/>
      <c r="AZ22" s="413"/>
      <c r="BA22" s="414"/>
      <c r="BB22" s="411"/>
      <c r="BC22" s="413"/>
      <c r="BD22" s="413"/>
      <c r="BE22" s="413"/>
      <c r="BF22" s="414"/>
      <c r="BG22" s="411"/>
      <c r="BH22" s="413"/>
      <c r="BI22" s="413"/>
      <c r="BJ22" s="413"/>
      <c r="BK22" s="414"/>
      <c r="BL22" s="411"/>
      <c r="BM22" s="413"/>
      <c r="BN22" s="413"/>
      <c r="BO22" s="413"/>
      <c r="BP22" s="414"/>
      <c r="BQ22" s="411"/>
      <c r="BR22" s="413"/>
      <c r="BS22" s="413"/>
      <c r="BT22" s="413"/>
      <c r="BU22" s="414"/>
      <c r="BV22" s="411"/>
      <c r="BW22" s="413"/>
      <c r="BX22" s="413"/>
      <c r="BY22" s="413"/>
      <c r="BZ22" s="414"/>
      <c r="CA22" s="411"/>
      <c r="CB22" s="413"/>
      <c r="CC22" s="413"/>
      <c r="CD22" s="413"/>
      <c r="CE22" s="414"/>
      <c r="CF22" s="411"/>
      <c r="CG22" s="413"/>
      <c r="CH22" s="413"/>
      <c r="CI22" s="413"/>
      <c r="CJ22" s="414"/>
      <c r="CK22" s="411"/>
      <c r="CL22" s="413"/>
      <c r="CM22" s="413"/>
      <c r="CN22" s="413"/>
      <c r="CO22" s="414"/>
      <c r="CP22" s="411"/>
      <c r="CQ22" s="413"/>
      <c r="CR22" s="413"/>
      <c r="CS22" s="413"/>
      <c r="CT22" s="414"/>
      <c r="CU22" s="411"/>
      <c r="CV22" s="413"/>
      <c r="CW22" s="413"/>
      <c r="CX22" s="413"/>
      <c r="CY22" s="414"/>
      <c r="CZ22" s="411"/>
      <c r="DA22" s="413"/>
      <c r="DB22" s="413"/>
      <c r="DC22" s="413"/>
      <c r="DD22" s="414"/>
      <c r="DE22" s="411"/>
      <c r="DF22" s="413"/>
      <c r="DG22" s="413"/>
      <c r="DH22" s="413"/>
      <c r="DI22" s="414"/>
      <c r="DJ22" s="411"/>
      <c r="DK22" s="413"/>
      <c r="DL22" s="413"/>
      <c r="DM22" s="413"/>
      <c r="DN22" s="414"/>
      <c r="DO22" s="411"/>
      <c r="DP22" s="413"/>
      <c r="DQ22" s="413"/>
      <c r="DR22" s="413"/>
      <c r="DS22" s="414"/>
      <c r="DT22" s="411"/>
      <c r="DU22" s="413"/>
      <c r="DV22" s="413"/>
      <c r="DW22" s="413"/>
      <c r="DX22" s="414"/>
    </row>
    <row r="23" spans="1:128" ht="18" customHeight="1" x14ac:dyDescent="0.2">
      <c r="B23" s="682">
        <f>'General Set-Up'!B18</f>
        <v>0</v>
      </c>
      <c r="C23" s="683"/>
      <c r="D23" s="411"/>
      <c r="E23" s="413"/>
      <c r="F23" s="413"/>
      <c r="G23" s="413"/>
      <c r="H23" s="414"/>
      <c r="I23" s="411"/>
      <c r="J23" s="413"/>
      <c r="K23" s="413"/>
      <c r="L23" s="413"/>
      <c r="M23" s="414"/>
      <c r="N23" s="411"/>
      <c r="O23" s="413"/>
      <c r="P23" s="413"/>
      <c r="Q23" s="413"/>
      <c r="R23" s="414"/>
      <c r="S23" s="411"/>
      <c r="T23" s="413"/>
      <c r="U23" s="413"/>
      <c r="V23" s="413"/>
      <c r="W23" s="414"/>
      <c r="X23" s="411"/>
      <c r="Y23" s="413"/>
      <c r="Z23" s="413"/>
      <c r="AA23" s="413"/>
      <c r="AB23" s="414"/>
      <c r="AC23" s="411"/>
      <c r="AD23" s="413"/>
      <c r="AE23" s="413"/>
      <c r="AF23" s="413"/>
      <c r="AG23" s="414"/>
      <c r="AH23" s="411"/>
      <c r="AI23" s="413"/>
      <c r="AJ23" s="413"/>
      <c r="AK23" s="413"/>
      <c r="AL23" s="414"/>
      <c r="AM23" s="411"/>
      <c r="AN23" s="413"/>
      <c r="AO23" s="413"/>
      <c r="AP23" s="413"/>
      <c r="AQ23" s="414"/>
      <c r="AR23" s="411"/>
      <c r="AS23" s="413"/>
      <c r="AT23" s="413"/>
      <c r="AU23" s="413"/>
      <c r="AV23" s="414"/>
      <c r="AW23" s="411"/>
      <c r="AX23" s="413"/>
      <c r="AY23" s="413"/>
      <c r="AZ23" s="413"/>
      <c r="BA23" s="414"/>
      <c r="BB23" s="411"/>
      <c r="BC23" s="413"/>
      <c r="BD23" s="413"/>
      <c r="BE23" s="413"/>
      <c r="BF23" s="414"/>
      <c r="BG23" s="411"/>
      <c r="BH23" s="413"/>
      <c r="BI23" s="413"/>
      <c r="BJ23" s="413"/>
      <c r="BK23" s="414"/>
      <c r="BL23" s="411"/>
      <c r="BM23" s="413"/>
      <c r="BN23" s="413"/>
      <c r="BO23" s="413"/>
      <c r="BP23" s="414"/>
      <c r="BQ23" s="411"/>
      <c r="BR23" s="413"/>
      <c r="BS23" s="413"/>
      <c r="BT23" s="413"/>
      <c r="BU23" s="414"/>
      <c r="BV23" s="411"/>
      <c r="BW23" s="413"/>
      <c r="BX23" s="413"/>
      <c r="BY23" s="413"/>
      <c r="BZ23" s="414"/>
      <c r="CA23" s="411"/>
      <c r="CB23" s="413"/>
      <c r="CC23" s="413"/>
      <c r="CD23" s="413"/>
      <c r="CE23" s="414"/>
      <c r="CF23" s="411"/>
      <c r="CG23" s="413"/>
      <c r="CH23" s="413"/>
      <c r="CI23" s="413"/>
      <c r="CJ23" s="414"/>
      <c r="CK23" s="411"/>
      <c r="CL23" s="413"/>
      <c r="CM23" s="413"/>
      <c r="CN23" s="413"/>
      <c r="CO23" s="414"/>
      <c r="CP23" s="411"/>
      <c r="CQ23" s="413"/>
      <c r="CR23" s="413"/>
      <c r="CS23" s="413"/>
      <c r="CT23" s="414"/>
      <c r="CU23" s="411"/>
      <c r="CV23" s="413"/>
      <c r="CW23" s="413"/>
      <c r="CX23" s="413"/>
      <c r="CY23" s="414"/>
      <c r="CZ23" s="411"/>
      <c r="DA23" s="413"/>
      <c r="DB23" s="413"/>
      <c r="DC23" s="413"/>
      <c r="DD23" s="414"/>
      <c r="DE23" s="411"/>
      <c r="DF23" s="413"/>
      <c r="DG23" s="413"/>
      <c r="DH23" s="413"/>
      <c r="DI23" s="414"/>
      <c r="DJ23" s="411"/>
      <c r="DK23" s="413"/>
      <c r="DL23" s="413"/>
      <c r="DM23" s="413"/>
      <c r="DN23" s="414"/>
      <c r="DO23" s="411"/>
      <c r="DP23" s="413"/>
      <c r="DQ23" s="413"/>
      <c r="DR23" s="413"/>
      <c r="DS23" s="414"/>
      <c r="DT23" s="411"/>
      <c r="DU23" s="413"/>
      <c r="DV23" s="413"/>
      <c r="DW23" s="413"/>
      <c r="DX23" s="414"/>
    </row>
    <row r="24" spans="1:128" ht="18" customHeight="1" x14ac:dyDescent="0.2">
      <c r="B24" s="682">
        <f>'General Set-Up'!B19</f>
        <v>0</v>
      </c>
      <c r="C24" s="683"/>
      <c r="D24" s="411"/>
      <c r="E24" s="413"/>
      <c r="F24" s="413"/>
      <c r="G24" s="413"/>
      <c r="H24" s="414"/>
      <c r="I24" s="411"/>
      <c r="J24" s="413"/>
      <c r="K24" s="413"/>
      <c r="L24" s="413"/>
      <c r="M24" s="414"/>
      <c r="N24" s="411"/>
      <c r="O24" s="413"/>
      <c r="P24" s="413"/>
      <c r="Q24" s="413"/>
      <c r="R24" s="414"/>
      <c r="S24" s="411"/>
      <c r="T24" s="413"/>
      <c r="U24" s="413"/>
      <c r="V24" s="413"/>
      <c r="W24" s="414"/>
      <c r="X24" s="411"/>
      <c r="Y24" s="413"/>
      <c r="Z24" s="413"/>
      <c r="AA24" s="413"/>
      <c r="AB24" s="414"/>
      <c r="AC24" s="411"/>
      <c r="AD24" s="413"/>
      <c r="AE24" s="413"/>
      <c r="AF24" s="413"/>
      <c r="AG24" s="414"/>
      <c r="AH24" s="411"/>
      <c r="AI24" s="413"/>
      <c r="AJ24" s="413"/>
      <c r="AK24" s="413"/>
      <c r="AL24" s="414"/>
      <c r="AM24" s="411"/>
      <c r="AN24" s="413"/>
      <c r="AO24" s="413"/>
      <c r="AP24" s="413"/>
      <c r="AQ24" s="414"/>
      <c r="AR24" s="411"/>
      <c r="AS24" s="413"/>
      <c r="AT24" s="413"/>
      <c r="AU24" s="413"/>
      <c r="AV24" s="414"/>
      <c r="AW24" s="411"/>
      <c r="AX24" s="413"/>
      <c r="AY24" s="413"/>
      <c r="AZ24" s="413"/>
      <c r="BA24" s="414"/>
      <c r="BB24" s="411"/>
      <c r="BC24" s="413"/>
      <c r="BD24" s="413"/>
      <c r="BE24" s="413"/>
      <c r="BF24" s="414"/>
      <c r="BG24" s="411"/>
      <c r="BH24" s="413"/>
      <c r="BI24" s="413"/>
      <c r="BJ24" s="413"/>
      <c r="BK24" s="414"/>
      <c r="BL24" s="411"/>
      <c r="BM24" s="413"/>
      <c r="BN24" s="413"/>
      <c r="BO24" s="413"/>
      <c r="BP24" s="414"/>
      <c r="BQ24" s="411"/>
      <c r="BR24" s="413"/>
      <c r="BS24" s="413"/>
      <c r="BT24" s="413"/>
      <c r="BU24" s="414"/>
      <c r="BV24" s="411"/>
      <c r="BW24" s="413"/>
      <c r="BX24" s="413"/>
      <c r="BY24" s="413"/>
      <c r="BZ24" s="414"/>
      <c r="CA24" s="411"/>
      <c r="CB24" s="413"/>
      <c r="CC24" s="413"/>
      <c r="CD24" s="413"/>
      <c r="CE24" s="414"/>
      <c r="CF24" s="411"/>
      <c r="CG24" s="413"/>
      <c r="CH24" s="413"/>
      <c r="CI24" s="413"/>
      <c r="CJ24" s="414"/>
      <c r="CK24" s="411"/>
      <c r="CL24" s="413"/>
      <c r="CM24" s="413"/>
      <c r="CN24" s="413"/>
      <c r="CO24" s="414"/>
      <c r="CP24" s="411"/>
      <c r="CQ24" s="413"/>
      <c r="CR24" s="413"/>
      <c r="CS24" s="413"/>
      <c r="CT24" s="414"/>
      <c r="CU24" s="411"/>
      <c r="CV24" s="413"/>
      <c r="CW24" s="413"/>
      <c r="CX24" s="413"/>
      <c r="CY24" s="414"/>
      <c r="CZ24" s="411"/>
      <c r="DA24" s="413"/>
      <c r="DB24" s="413"/>
      <c r="DC24" s="413"/>
      <c r="DD24" s="414"/>
      <c r="DE24" s="411"/>
      <c r="DF24" s="413"/>
      <c r="DG24" s="413"/>
      <c r="DH24" s="413"/>
      <c r="DI24" s="414"/>
      <c r="DJ24" s="411"/>
      <c r="DK24" s="413"/>
      <c r="DL24" s="413"/>
      <c r="DM24" s="413"/>
      <c r="DN24" s="414"/>
      <c r="DO24" s="411"/>
      <c r="DP24" s="413"/>
      <c r="DQ24" s="413"/>
      <c r="DR24" s="413"/>
      <c r="DS24" s="414"/>
      <c r="DT24" s="411"/>
      <c r="DU24" s="413"/>
      <c r="DV24" s="413"/>
      <c r="DW24" s="413"/>
      <c r="DX24" s="414"/>
    </row>
    <row r="25" spans="1:128" ht="18" customHeight="1" x14ac:dyDescent="0.2">
      <c r="B25" s="682">
        <f>'General Set-Up'!B20</f>
        <v>0</v>
      </c>
      <c r="C25" s="683"/>
      <c r="D25" s="411"/>
      <c r="E25" s="413"/>
      <c r="F25" s="413"/>
      <c r="G25" s="413"/>
      <c r="H25" s="414"/>
      <c r="I25" s="411"/>
      <c r="J25" s="413"/>
      <c r="K25" s="413"/>
      <c r="L25" s="413"/>
      <c r="M25" s="414"/>
      <c r="N25" s="411"/>
      <c r="O25" s="413"/>
      <c r="P25" s="413"/>
      <c r="Q25" s="413"/>
      <c r="R25" s="414"/>
      <c r="S25" s="411"/>
      <c r="T25" s="413"/>
      <c r="U25" s="413"/>
      <c r="V25" s="413"/>
      <c r="W25" s="414"/>
      <c r="X25" s="411"/>
      <c r="Y25" s="413"/>
      <c r="Z25" s="413"/>
      <c r="AA25" s="413"/>
      <c r="AB25" s="414"/>
      <c r="AC25" s="411"/>
      <c r="AD25" s="413"/>
      <c r="AE25" s="413"/>
      <c r="AF25" s="413"/>
      <c r="AG25" s="414"/>
      <c r="AH25" s="411"/>
      <c r="AI25" s="413"/>
      <c r="AJ25" s="413"/>
      <c r="AK25" s="413"/>
      <c r="AL25" s="414"/>
      <c r="AM25" s="411"/>
      <c r="AN25" s="413"/>
      <c r="AO25" s="413"/>
      <c r="AP25" s="413"/>
      <c r="AQ25" s="414"/>
      <c r="AR25" s="411"/>
      <c r="AS25" s="413"/>
      <c r="AT25" s="413"/>
      <c r="AU25" s="413"/>
      <c r="AV25" s="414"/>
      <c r="AW25" s="411"/>
      <c r="AX25" s="413"/>
      <c r="AY25" s="413"/>
      <c r="AZ25" s="413"/>
      <c r="BA25" s="414"/>
      <c r="BB25" s="411"/>
      <c r="BC25" s="413"/>
      <c r="BD25" s="413"/>
      <c r="BE25" s="413"/>
      <c r="BF25" s="414"/>
      <c r="BG25" s="411"/>
      <c r="BH25" s="413"/>
      <c r="BI25" s="413"/>
      <c r="BJ25" s="413"/>
      <c r="BK25" s="414"/>
      <c r="BL25" s="411"/>
      <c r="BM25" s="413"/>
      <c r="BN25" s="413"/>
      <c r="BO25" s="413"/>
      <c r="BP25" s="414"/>
      <c r="BQ25" s="411"/>
      <c r="BR25" s="413"/>
      <c r="BS25" s="413"/>
      <c r="BT25" s="413"/>
      <c r="BU25" s="414"/>
      <c r="BV25" s="411"/>
      <c r="BW25" s="413"/>
      <c r="BX25" s="413"/>
      <c r="BY25" s="413"/>
      <c r="BZ25" s="414"/>
      <c r="CA25" s="411"/>
      <c r="CB25" s="413"/>
      <c r="CC25" s="413"/>
      <c r="CD25" s="413"/>
      <c r="CE25" s="414"/>
      <c r="CF25" s="411"/>
      <c r="CG25" s="413"/>
      <c r="CH25" s="413"/>
      <c r="CI25" s="413"/>
      <c r="CJ25" s="414"/>
      <c r="CK25" s="411"/>
      <c r="CL25" s="413"/>
      <c r="CM25" s="413"/>
      <c r="CN25" s="413"/>
      <c r="CO25" s="414"/>
      <c r="CP25" s="411"/>
      <c r="CQ25" s="413"/>
      <c r="CR25" s="413"/>
      <c r="CS25" s="413"/>
      <c r="CT25" s="414"/>
      <c r="CU25" s="411"/>
      <c r="CV25" s="413"/>
      <c r="CW25" s="413"/>
      <c r="CX25" s="413"/>
      <c r="CY25" s="414"/>
      <c r="CZ25" s="411"/>
      <c r="DA25" s="413"/>
      <c r="DB25" s="413"/>
      <c r="DC25" s="413"/>
      <c r="DD25" s="414"/>
      <c r="DE25" s="411"/>
      <c r="DF25" s="413"/>
      <c r="DG25" s="413"/>
      <c r="DH25" s="413"/>
      <c r="DI25" s="414"/>
      <c r="DJ25" s="411"/>
      <c r="DK25" s="413"/>
      <c r="DL25" s="413"/>
      <c r="DM25" s="413"/>
      <c r="DN25" s="414"/>
      <c r="DO25" s="411"/>
      <c r="DP25" s="413"/>
      <c r="DQ25" s="413"/>
      <c r="DR25" s="413"/>
      <c r="DS25" s="414"/>
      <c r="DT25" s="411"/>
      <c r="DU25" s="413"/>
      <c r="DV25" s="413"/>
      <c r="DW25" s="413"/>
      <c r="DX25" s="414"/>
    </row>
    <row r="26" spans="1:128" ht="18" customHeight="1" x14ac:dyDescent="0.2">
      <c r="B26" s="682">
        <f>'General Set-Up'!B21</f>
        <v>0</v>
      </c>
      <c r="C26" s="683"/>
      <c r="D26" s="411"/>
      <c r="E26" s="413"/>
      <c r="F26" s="413"/>
      <c r="G26" s="413"/>
      <c r="H26" s="414"/>
      <c r="I26" s="411"/>
      <c r="J26" s="413"/>
      <c r="K26" s="413"/>
      <c r="L26" s="413"/>
      <c r="M26" s="414"/>
      <c r="N26" s="411"/>
      <c r="O26" s="413"/>
      <c r="P26" s="413"/>
      <c r="Q26" s="413"/>
      <c r="R26" s="414"/>
      <c r="S26" s="411"/>
      <c r="T26" s="413"/>
      <c r="U26" s="413"/>
      <c r="V26" s="413"/>
      <c r="W26" s="414"/>
      <c r="X26" s="411"/>
      <c r="Y26" s="413"/>
      <c r="Z26" s="413"/>
      <c r="AA26" s="413"/>
      <c r="AB26" s="414"/>
      <c r="AC26" s="411"/>
      <c r="AD26" s="413"/>
      <c r="AE26" s="413"/>
      <c r="AF26" s="413"/>
      <c r="AG26" s="414"/>
      <c r="AH26" s="411"/>
      <c r="AI26" s="413"/>
      <c r="AJ26" s="413"/>
      <c r="AK26" s="413"/>
      <c r="AL26" s="414"/>
      <c r="AM26" s="411"/>
      <c r="AN26" s="413"/>
      <c r="AO26" s="413"/>
      <c r="AP26" s="413"/>
      <c r="AQ26" s="414"/>
      <c r="AR26" s="411"/>
      <c r="AS26" s="413"/>
      <c r="AT26" s="413"/>
      <c r="AU26" s="413"/>
      <c r="AV26" s="414"/>
      <c r="AW26" s="411"/>
      <c r="AX26" s="413"/>
      <c r="AY26" s="413"/>
      <c r="AZ26" s="413"/>
      <c r="BA26" s="414"/>
      <c r="BB26" s="411"/>
      <c r="BC26" s="413"/>
      <c r="BD26" s="413"/>
      <c r="BE26" s="413"/>
      <c r="BF26" s="414"/>
      <c r="BG26" s="411"/>
      <c r="BH26" s="413"/>
      <c r="BI26" s="413"/>
      <c r="BJ26" s="413"/>
      <c r="BK26" s="414"/>
      <c r="BL26" s="411"/>
      <c r="BM26" s="413"/>
      <c r="BN26" s="413"/>
      <c r="BO26" s="413"/>
      <c r="BP26" s="414"/>
      <c r="BQ26" s="411"/>
      <c r="BR26" s="413"/>
      <c r="BS26" s="413"/>
      <c r="BT26" s="413"/>
      <c r="BU26" s="414"/>
      <c r="BV26" s="411"/>
      <c r="BW26" s="413"/>
      <c r="BX26" s="413"/>
      <c r="BY26" s="413"/>
      <c r="BZ26" s="414"/>
      <c r="CA26" s="411"/>
      <c r="CB26" s="413"/>
      <c r="CC26" s="413"/>
      <c r="CD26" s="413"/>
      <c r="CE26" s="414"/>
      <c r="CF26" s="411"/>
      <c r="CG26" s="413"/>
      <c r="CH26" s="413"/>
      <c r="CI26" s="413"/>
      <c r="CJ26" s="414"/>
      <c r="CK26" s="411"/>
      <c r="CL26" s="413"/>
      <c r="CM26" s="413"/>
      <c r="CN26" s="413"/>
      <c r="CO26" s="414"/>
      <c r="CP26" s="411"/>
      <c r="CQ26" s="413"/>
      <c r="CR26" s="413"/>
      <c r="CS26" s="413"/>
      <c r="CT26" s="414"/>
      <c r="CU26" s="411"/>
      <c r="CV26" s="413"/>
      <c r="CW26" s="413"/>
      <c r="CX26" s="413"/>
      <c r="CY26" s="414"/>
      <c r="CZ26" s="411"/>
      <c r="DA26" s="413"/>
      <c r="DB26" s="413"/>
      <c r="DC26" s="413"/>
      <c r="DD26" s="414"/>
      <c r="DE26" s="411"/>
      <c r="DF26" s="413"/>
      <c r="DG26" s="413"/>
      <c r="DH26" s="413"/>
      <c r="DI26" s="414"/>
      <c r="DJ26" s="411"/>
      <c r="DK26" s="413"/>
      <c r="DL26" s="413"/>
      <c r="DM26" s="413"/>
      <c r="DN26" s="414"/>
      <c r="DO26" s="411"/>
      <c r="DP26" s="413"/>
      <c r="DQ26" s="413"/>
      <c r="DR26" s="413"/>
      <c r="DS26" s="414"/>
      <c r="DT26" s="411"/>
      <c r="DU26" s="413"/>
      <c r="DV26" s="413"/>
      <c r="DW26" s="413"/>
      <c r="DX26" s="414"/>
    </row>
    <row r="27" spans="1:128" ht="18" customHeight="1" thickBot="1" x14ac:dyDescent="0.25">
      <c r="B27" s="702">
        <f>'General Set-Up'!B22</f>
        <v>0</v>
      </c>
      <c r="C27" s="703"/>
      <c r="D27" s="415"/>
      <c r="E27" s="416"/>
      <c r="F27" s="416"/>
      <c r="G27" s="416"/>
      <c r="H27" s="417"/>
      <c r="I27" s="415"/>
      <c r="J27" s="416"/>
      <c r="K27" s="416"/>
      <c r="L27" s="416"/>
      <c r="M27" s="417"/>
      <c r="N27" s="415"/>
      <c r="O27" s="416"/>
      <c r="P27" s="416"/>
      <c r="Q27" s="416"/>
      <c r="R27" s="417"/>
      <c r="S27" s="415"/>
      <c r="T27" s="416"/>
      <c r="U27" s="416"/>
      <c r="V27" s="416"/>
      <c r="W27" s="417"/>
      <c r="X27" s="415"/>
      <c r="Y27" s="416"/>
      <c r="Z27" s="416"/>
      <c r="AA27" s="416"/>
      <c r="AB27" s="417"/>
      <c r="AC27" s="415"/>
      <c r="AD27" s="416"/>
      <c r="AE27" s="416"/>
      <c r="AF27" s="416"/>
      <c r="AG27" s="417"/>
      <c r="AH27" s="415"/>
      <c r="AI27" s="416"/>
      <c r="AJ27" s="416"/>
      <c r="AK27" s="416"/>
      <c r="AL27" s="417"/>
      <c r="AM27" s="415"/>
      <c r="AN27" s="416"/>
      <c r="AO27" s="416"/>
      <c r="AP27" s="416"/>
      <c r="AQ27" s="417"/>
      <c r="AR27" s="415"/>
      <c r="AS27" s="416"/>
      <c r="AT27" s="416"/>
      <c r="AU27" s="416"/>
      <c r="AV27" s="417"/>
      <c r="AW27" s="415"/>
      <c r="AX27" s="416"/>
      <c r="AY27" s="416"/>
      <c r="AZ27" s="416"/>
      <c r="BA27" s="417"/>
      <c r="BB27" s="415"/>
      <c r="BC27" s="416"/>
      <c r="BD27" s="416"/>
      <c r="BE27" s="416"/>
      <c r="BF27" s="417"/>
      <c r="BG27" s="415"/>
      <c r="BH27" s="416"/>
      <c r="BI27" s="416"/>
      <c r="BJ27" s="416"/>
      <c r="BK27" s="417"/>
      <c r="BL27" s="415"/>
      <c r="BM27" s="416"/>
      <c r="BN27" s="416"/>
      <c r="BO27" s="416"/>
      <c r="BP27" s="417"/>
      <c r="BQ27" s="415"/>
      <c r="BR27" s="416"/>
      <c r="BS27" s="416"/>
      <c r="BT27" s="416"/>
      <c r="BU27" s="417"/>
      <c r="BV27" s="415"/>
      <c r="BW27" s="416"/>
      <c r="BX27" s="416"/>
      <c r="BY27" s="416"/>
      <c r="BZ27" s="417"/>
      <c r="CA27" s="415"/>
      <c r="CB27" s="416"/>
      <c r="CC27" s="416"/>
      <c r="CD27" s="416"/>
      <c r="CE27" s="417"/>
      <c r="CF27" s="415"/>
      <c r="CG27" s="416"/>
      <c r="CH27" s="416"/>
      <c r="CI27" s="416"/>
      <c r="CJ27" s="417"/>
      <c r="CK27" s="415"/>
      <c r="CL27" s="416"/>
      <c r="CM27" s="416"/>
      <c r="CN27" s="416"/>
      <c r="CO27" s="417"/>
      <c r="CP27" s="415"/>
      <c r="CQ27" s="416"/>
      <c r="CR27" s="416"/>
      <c r="CS27" s="416"/>
      <c r="CT27" s="417"/>
      <c r="CU27" s="415"/>
      <c r="CV27" s="416"/>
      <c r="CW27" s="416"/>
      <c r="CX27" s="416"/>
      <c r="CY27" s="417"/>
      <c r="CZ27" s="415"/>
      <c r="DA27" s="416"/>
      <c r="DB27" s="416"/>
      <c r="DC27" s="416"/>
      <c r="DD27" s="417"/>
      <c r="DE27" s="415"/>
      <c r="DF27" s="416"/>
      <c r="DG27" s="416"/>
      <c r="DH27" s="416"/>
      <c r="DI27" s="417"/>
      <c r="DJ27" s="415"/>
      <c r="DK27" s="416"/>
      <c r="DL27" s="416"/>
      <c r="DM27" s="416"/>
      <c r="DN27" s="417"/>
      <c r="DO27" s="415"/>
      <c r="DP27" s="416"/>
      <c r="DQ27" s="416"/>
      <c r="DR27" s="416"/>
      <c r="DS27" s="417"/>
      <c r="DT27" s="415"/>
      <c r="DU27" s="416"/>
      <c r="DV27" s="416"/>
      <c r="DW27" s="416"/>
      <c r="DX27" s="417"/>
    </row>
    <row r="28" spans="1:128" ht="39.75" customHeight="1" thickBot="1" x14ac:dyDescent="0.25">
      <c r="A28" s="34" t="s">
        <v>402</v>
      </c>
      <c r="B28" s="704" t="s">
        <v>341</v>
      </c>
      <c r="C28" s="705"/>
      <c r="D28" s="699"/>
      <c r="E28" s="700"/>
      <c r="F28" s="700"/>
      <c r="G28" s="700"/>
      <c r="H28" s="701"/>
      <c r="I28" s="699"/>
      <c r="J28" s="700"/>
      <c r="K28" s="700"/>
      <c r="L28" s="700"/>
      <c r="M28" s="701"/>
      <c r="N28" s="699"/>
      <c r="O28" s="700"/>
      <c r="P28" s="700"/>
      <c r="Q28" s="700"/>
      <c r="R28" s="701"/>
      <c r="S28" s="699"/>
      <c r="T28" s="700"/>
      <c r="U28" s="700"/>
      <c r="V28" s="700"/>
      <c r="W28" s="701"/>
      <c r="X28" s="699"/>
      <c r="Y28" s="700"/>
      <c r="Z28" s="700"/>
      <c r="AA28" s="700"/>
      <c r="AB28" s="701"/>
      <c r="AC28" s="699"/>
      <c r="AD28" s="700"/>
      <c r="AE28" s="700"/>
      <c r="AF28" s="700"/>
      <c r="AG28" s="701"/>
      <c r="AH28" s="699"/>
      <c r="AI28" s="700"/>
      <c r="AJ28" s="700"/>
      <c r="AK28" s="700"/>
      <c r="AL28" s="701"/>
      <c r="AM28" s="699"/>
      <c r="AN28" s="700"/>
      <c r="AO28" s="700"/>
      <c r="AP28" s="700"/>
      <c r="AQ28" s="701"/>
      <c r="AR28" s="699"/>
      <c r="AS28" s="700"/>
      <c r="AT28" s="700"/>
      <c r="AU28" s="700"/>
      <c r="AV28" s="701"/>
      <c r="AW28" s="699"/>
      <c r="AX28" s="700"/>
      <c r="AY28" s="700"/>
      <c r="AZ28" s="700"/>
      <c r="BA28" s="701"/>
      <c r="BB28" s="699"/>
      <c r="BC28" s="700"/>
      <c r="BD28" s="700"/>
      <c r="BE28" s="700"/>
      <c r="BF28" s="701"/>
      <c r="BG28" s="699"/>
      <c r="BH28" s="700"/>
      <c r="BI28" s="700"/>
      <c r="BJ28" s="700"/>
      <c r="BK28" s="701"/>
      <c r="BL28" s="699"/>
      <c r="BM28" s="700"/>
      <c r="BN28" s="700"/>
      <c r="BO28" s="700"/>
      <c r="BP28" s="701"/>
      <c r="BQ28" s="699"/>
      <c r="BR28" s="700"/>
      <c r="BS28" s="700"/>
      <c r="BT28" s="700"/>
      <c r="BU28" s="701"/>
      <c r="BV28" s="699"/>
      <c r="BW28" s="700"/>
      <c r="BX28" s="700"/>
      <c r="BY28" s="700"/>
      <c r="BZ28" s="701"/>
      <c r="CA28" s="699"/>
      <c r="CB28" s="700"/>
      <c r="CC28" s="700"/>
      <c r="CD28" s="700"/>
      <c r="CE28" s="701"/>
      <c r="CF28" s="699"/>
      <c r="CG28" s="700"/>
      <c r="CH28" s="700"/>
      <c r="CI28" s="700"/>
      <c r="CJ28" s="701"/>
      <c r="CK28" s="699"/>
      <c r="CL28" s="700"/>
      <c r="CM28" s="700"/>
      <c r="CN28" s="700"/>
      <c r="CO28" s="701"/>
      <c r="CP28" s="699"/>
      <c r="CQ28" s="700"/>
      <c r="CR28" s="700"/>
      <c r="CS28" s="700"/>
      <c r="CT28" s="701"/>
      <c r="CU28" s="699"/>
      <c r="CV28" s="700"/>
      <c r="CW28" s="700"/>
      <c r="CX28" s="700"/>
      <c r="CY28" s="701"/>
      <c r="CZ28" s="699"/>
      <c r="DA28" s="700"/>
      <c r="DB28" s="700"/>
      <c r="DC28" s="700"/>
      <c r="DD28" s="701"/>
      <c r="DE28" s="699"/>
      <c r="DF28" s="700"/>
      <c r="DG28" s="700"/>
      <c r="DH28" s="700"/>
      <c r="DI28" s="701"/>
      <c r="DJ28" s="699"/>
      <c r="DK28" s="700"/>
      <c r="DL28" s="700"/>
      <c r="DM28" s="700"/>
      <c r="DN28" s="701"/>
      <c r="DO28" s="699"/>
      <c r="DP28" s="700"/>
      <c r="DQ28" s="700"/>
      <c r="DR28" s="700"/>
      <c r="DS28" s="701"/>
      <c r="DT28" s="699"/>
      <c r="DU28" s="700"/>
      <c r="DV28" s="700"/>
      <c r="DW28" s="700"/>
      <c r="DX28" s="701"/>
    </row>
    <row r="29" spans="1:128" ht="13.5" thickBot="1" x14ac:dyDescent="0.25"/>
    <row r="30" spans="1:128" ht="25.35" customHeight="1" x14ac:dyDescent="0.2">
      <c r="B30" s="693" t="s">
        <v>333</v>
      </c>
      <c r="C30" s="694"/>
      <c r="D30" s="684" t="s">
        <v>346</v>
      </c>
      <c r="E30" s="685"/>
      <c r="F30" s="685"/>
      <c r="G30" s="685"/>
      <c r="H30" s="686"/>
      <c r="I30" s="684" t="s">
        <v>346</v>
      </c>
      <c r="J30" s="685"/>
      <c r="K30" s="685"/>
      <c r="L30" s="685"/>
      <c r="M30" s="686"/>
      <c r="N30" s="684" t="s">
        <v>346</v>
      </c>
      <c r="O30" s="685"/>
      <c r="P30" s="685"/>
      <c r="Q30" s="685"/>
      <c r="R30" s="686"/>
      <c r="S30" s="684" t="s">
        <v>346</v>
      </c>
      <c r="T30" s="685"/>
      <c r="U30" s="685"/>
      <c r="V30" s="685"/>
      <c r="W30" s="686"/>
      <c r="X30" s="684" t="s">
        <v>346</v>
      </c>
      <c r="Y30" s="685"/>
      <c r="Z30" s="685"/>
      <c r="AA30" s="685"/>
      <c r="AB30" s="686"/>
      <c r="AC30" s="684" t="s">
        <v>346</v>
      </c>
      <c r="AD30" s="685"/>
      <c r="AE30" s="685"/>
      <c r="AF30" s="685"/>
      <c r="AG30" s="686"/>
      <c r="AH30" s="684" t="s">
        <v>346</v>
      </c>
      <c r="AI30" s="685"/>
      <c r="AJ30" s="685"/>
      <c r="AK30" s="685"/>
      <c r="AL30" s="686"/>
      <c r="AM30" s="684" t="s">
        <v>346</v>
      </c>
      <c r="AN30" s="685"/>
      <c r="AO30" s="685"/>
      <c r="AP30" s="685"/>
      <c r="AQ30" s="686"/>
      <c r="AR30" s="684" t="s">
        <v>346</v>
      </c>
      <c r="AS30" s="685"/>
      <c r="AT30" s="685"/>
      <c r="AU30" s="685"/>
      <c r="AV30" s="686"/>
      <c r="AW30" s="684" t="s">
        <v>346</v>
      </c>
      <c r="AX30" s="685"/>
      <c r="AY30" s="685"/>
      <c r="AZ30" s="685"/>
      <c r="BA30" s="686"/>
      <c r="BB30" s="684" t="s">
        <v>346</v>
      </c>
      <c r="BC30" s="685"/>
      <c r="BD30" s="685"/>
      <c r="BE30" s="685"/>
      <c r="BF30" s="686"/>
      <c r="BG30" s="684" t="s">
        <v>346</v>
      </c>
      <c r="BH30" s="685"/>
      <c r="BI30" s="685"/>
      <c r="BJ30" s="685"/>
      <c r="BK30" s="686"/>
      <c r="BL30" s="684" t="s">
        <v>346</v>
      </c>
      <c r="BM30" s="685"/>
      <c r="BN30" s="685"/>
      <c r="BO30" s="685"/>
      <c r="BP30" s="686"/>
      <c r="BQ30" s="684" t="s">
        <v>346</v>
      </c>
      <c r="BR30" s="685"/>
      <c r="BS30" s="685"/>
      <c r="BT30" s="685"/>
      <c r="BU30" s="686"/>
      <c r="BV30" s="684" t="s">
        <v>346</v>
      </c>
      <c r="BW30" s="685"/>
      <c r="BX30" s="685"/>
      <c r="BY30" s="685"/>
      <c r="BZ30" s="686"/>
      <c r="CA30" s="684" t="s">
        <v>346</v>
      </c>
      <c r="CB30" s="685"/>
      <c r="CC30" s="685"/>
      <c r="CD30" s="685"/>
      <c r="CE30" s="686"/>
      <c r="CF30" s="684" t="s">
        <v>346</v>
      </c>
      <c r="CG30" s="685"/>
      <c r="CH30" s="685"/>
      <c r="CI30" s="685"/>
      <c r="CJ30" s="686"/>
      <c r="CK30" s="684" t="s">
        <v>346</v>
      </c>
      <c r="CL30" s="685"/>
      <c r="CM30" s="685"/>
      <c r="CN30" s="685"/>
      <c r="CO30" s="686"/>
      <c r="CP30" s="684" t="s">
        <v>346</v>
      </c>
      <c r="CQ30" s="685"/>
      <c r="CR30" s="685"/>
      <c r="CS30" s="685"/>
      <c r="CT30" s="686"/>
      <c r="CU30" s="684" t="s">
        <v>346</v>
      </c>
      <c r="CV30" s="685"/>
      <c r="CW30" s="685"/>
      <c r="CX30" s="685"/>
      <c r="CY30" s="686"/>
      <c r="CZ30" s="684" t="s">
        <v>346</v>
      </c>
      <c r="DA30" s="685"/>
      <c r="DB30" s="685"/>
      <c r="DC30" s="685"/>
      <c r="DD30" s="686"/>
      <c r="DE30" s="684" t="s">
        <v>346</v>
      </c>
      <c r="DF30" s="685"/>
      <c r="DG30" s="685"/>
      <c r="DH30" s="685"/>
      <c r="DI30" s="686"/>
      <c r="DJ30" s="684" t="s">
        <v>346</v>
      </c>
      <c r="DK30" s="685"/>
      <c r="DL30" s="685"/>
      <c r="DM30" s="685"/>
      <c r="DN30" s="686"/>
      <c r="DO30" s="684" t="s">
        <v>346</v>
      </c>
      <c r="DP30" s="685"/>
      <c r="DQ30" s="685"/>
      <c r="DR30" s="685"/>
      <c r="DS30" s="686"/>
      <c r="DT30" s="684" t="s">
        <v>346</v>
      </c>
      <c r="DU30" s="685"/>
      <c r="DV30" s="685"/>
      <c r="DW30" s="685"/>
      <c r="DX30" s="686"/>
    </row>
    <row r="31" spans="1:128" ht="25.35" customHeight="1" x14ac:dyDescent="0.2">
      <c r="B31" s="695" t="s">
        <v>334</v>
      </c>
      <c r="C31" s="696"/>
      <c r="D31" s="687"/>
      <c r="E31" s="688"/>
      <c r="F31" s="688"/>
      <c r="G31" s="688"/>
      <c r="H31" s="689"/>
      <c r="I31" s="687"/>
      <c r="J31" s="688"/>
      <c r="K31" s="688"/>
      <c r="L31" s="688"/>
      <c r="M31" s="689"/>
      <c r="N31" s="687"/>
      <c r="O31" s="688"/>
      <c r="P31" s="688"/>
      <c r="Q31" s="688"/>
      <c r="R31" s="689"/>
      <c r="S31" s="687"/>
      <c r="T31" s="688"/>
      <c r="U31" s="688"/>
      <c r="V31" s="688"/>
      <c r="W31" s="689"/>
      <c r="X31" s="687"/>
      <c r="Y31" s="688"/>
      <c r="Z31" s="688"/>
      <c r="AA31" s="688"/>
      <c r="AB31" s="689"/>
      <c r="AC31" s="687"/>
      <c r="AD31" s="688"/>
      <c r="AE31" s="688"/>
      <c r="AF31" s="688"/>
      <c r="AG31" s="689"/>
      <c r="AH31" s="687"/>
      <c r="AI31" s="688"/>
      <c r="AJ31" s="688"/>
      <c r="AK31" s="688"/>
      <c r="AL31" s="689"/>
      <c r="AM31" s="687"/>
      <c r="AN31" s="688"/>
      <c r="AO31" s="688"/>
      <c r="AP31" s="688"/>
      <c r="AQ31" s="689"/>
      <c r="AR31" s="687"/>
      <c r="AS31" s="688"/>
      <c r="AT31" s="688"/>
      <c r="AU31" s="688"/>
      <c r="AV31" s="689"/>
      <c r="AW31" s="687"/>
      <c r="AX31" s="688"/>
      <c r="AY31" s="688"/>
      <c r="AZ31" s="688"/>
      <c r="BA31" s="689"/>
      <c r="BB31" s="687"/>
      <c r="BC31" s="688"/>
      <c r="BD31" s="688"/>
      <c r="BE31" s="688"/>
      <c r="BF31" s="689"/>
      <c r="BG31" s="687"/>
      <c r="BH31" s="688"/>
      <c r="BI31" s="688"/>
      <c r="BJ31" s="688"/>
      <c r="BK31" s="689"/>
      <c r="BL31" s="687"/>
      <c r="BM31" s="688"/>
      <c r="BN31" s="688"/>
      <c r="BO31" s="688"/>
      <c r="BP31" s="689"/>
      <c r="BQ31" s="687"/>
      <c r="BR31" s="688"/>
      <c r="BS31" s="688"/>
      <c r="BT31" s="688"/>
      <c r="BU31" s="689"/>
      <c r="BV31" s="687"/>
      <c r="BW31" s="688"/>
      <c r="BX31" s="688"/>
      <c r="BY31" s="688"/>
      <c r="BZ31" s="689"/>
      <c r="CA31" s="687"/>
      <c r="CB31" s="688"/>
      <c r="CC31" s="688"/>
      <c r="CD31" s="688"/>
      <c r="CE31" s="689"/>
      <c r="CF31" s="687"/>
      <c r="CG31" s="688"/>
      <c r="CH31" s="688"/>
      <c r="CI31" s="688"/>
      <c r="CJ31" s="689"/>
      <c r="CK31" s="687"/>
      <c r="CL31" s="688"/>
      <c r="CM31" s="688"/>
      <c r="CN31" s="688"/>
      <c r="CO31" s="689"/>
      <c r="CP31" s="687"/>
      <c r="CQ31" s="688"/>
      <c r="CR31" s="688"/>
      <c r="CS31" s="688"/>
      <c r="CT31" s="689"/>
      <c r="CU31" s="687"/>
      <c r="CV31" s="688"/>
      <c r="CW31" s="688"/>
      <c r="CX31" s="688"/>
      <c r="CY31" s="689"/>
      <c r="CZ31" s="687"/>
      <c r="DA31" s="688"/>
      <c r="DB31" s="688"/>
      <c r="DC31" s="688"/>
      <c r="DD31" s="689"/>
      <c r="DE31" s="687"/>
      <c r="DF31" s="688"/>
      <c r="DG31" s="688"/>
      <c r="DH31" s="688"/>
      <c r="DI31" s="689"/>
      <c r="DJ31" s="687"/>
      <c r="DK31" s="688"/>
      <c r="DL31" s="688"/>
      <c r="DM31" s="688"/>
      <c r="DN31" s="689"/>
      <c r="DO31" s="687"/>
      <c r="DP31" s="688"/>
      <c r="DQ31" s="688"/>
      <c r="DR31" s="688"/>
      <c r="DS31" s="689"/>
      <c r="DT31" s="687"/>
      <c r="DU31" s="688"/>
      <c r="DV31" s="688"/>
      <c r="DW31" s="688"/>
      <c r="DX31" s="689"/>
    </row>
    <row r="32" spans="1:128" ht="25.35" customHeight="1" x14ac:dyDescent="0.2">
      <c r="B32" s="695" t="s">
        <v>335</v>
      </c>
      <c r="C32" s="696"/>
      <c r="D32" s="687" t="s">
        <v>344</v>
      </c>
      <c r="E32" s="688"/>
      <c r="F32" s="688"/>
      <c r="G32" s="688"/>
      <c r="H32" s="689"/>
      <c r="I32" s="687" t="s">
        <v>344</v>
      </c>
      <c r="J32" s="688"/>
      <c r="K32" s="688"/>
      <c r="L32" s="688"/>
      <c r="M32" s="689"/>
      <c r="N32" s="687" t="s">
        <v>344</v>
      </c>
      <c r="O32" s="688"/>
      <c r="P32" s="688"/>
      <c r="Q32" s="688"/>
      <c r="R32" s="689"/>
      <c r="S32" s="687" t="s">
        <v>344</v>
      </c>
      <c r="T32" s="688"/>
      <c r="U32" s="688"/>
      <c r="V32" s="688"/>
      <c r="W32" s="689"/>
      <c r="X32" s="687" t="s">
        <v>344</v>
      </c>
      <c r="Y32" s="688"/>
      <c r="Z32" s="688"/>
      <c r="AA32" s="688"/>
      <c r="AB32" s="689"/>
      <c r="AC32" s="687" t="s">
        <v>344</v>
      </c>
      <c r="AD32" s="688"/>
      <c r="AE32" s="688"/>
      <c r="AF32" s="688"/>
      <c r="AG32" s="689"/>
      <c r="AH32" s="687" t="s">
        <v>344</v>
      </c>
      <c r="AI32" s="688"/>
      <c r="AJ32" s="688"/>
      <c r="AK32" s="688"/>
      <c r="AL32" s="689"/>
      <c r="AM32" s="687" t="s">
        <v>344</v>
      </c>
      <c r="AN32" s="688"/>
      <c r="AO32" s="688"/>
      <c r="AP32" s="688"/>
      <c r="AQ32" s="689"/>
      <c r="AR32" s="687" t="s">
        <v>344</v>
      </c>
      <c r="AS32" s="688"/>
      <c r="AT32" s="688"/>
      <c r="AU32" s="688"/>
      <c r="AV32" s="689"/>
      <c r="AW32" s="687" t="s">
        <v>344</v>
      </c>
      <c r="AX32" s="688"/>
      <c r="AY32" s="688"/>
      <c r="AZ32" s="688"/>
      <c r="BA32" s="689"/>
      <c r="BB32" s="687" t="s">
        <v>344</v>
      </c>
      <c r="BC32" s="688"/>
      <c r="BD32" s="688"/>
      <c r="BE32" s="688"/>
      <c r="BF32" s="689"/>
      <c r="BG32" s="687" t="s">
        <v>344</v>
      </c>
      <c r="BH32" s="688"/>
      <c r="BI32" s="688"/>
      <c r="BJ32" s="688"/>
      <c r="BK32" s="689"/>
      <c r="BL32" s="687" t="s">
        <v>344</v>
      </c>
      <c r="BM32" s="688"/>
      <c r="BN32" s="688"/>
      <c r="BO32" s="688"/>
      <c r="BP32" s="689"/>
      <c r="BQ32" s="687" t="s">
        <v>344</v>
      </c>
      <c r="BR32" s="688"/>
      <c r="BS32" s="688"/>
      <c r="BT32" s="688"/>
      <c r="BU32" s="689"/>
      <c r="BV32" s="687" t="s">
        <v>344</v>
      </c>
      <c r="BW32" s="688"/>
      <c r="BX32" s="688"/>
      <c r="BY32" s="688"/>
      <c r="BZ32" s="689"/>
      <c r="CA32" s="687" t="s">
        <v>344</v>
      </c>
      <c r="CB32" s="688"/>
      <c r="CC32" s="688"/>
      <c r="CD32" s="688"/>
      <c r="CE32" s="689"/>
      <c r="CF32" s="687" t="s">
        <v>344</v>
      </c>
      <c r="CG32" s="688"/>
      <c r="CH32" s="688"/>
      <c r="CI32" s="688"/>
      <c r="CJ32" s="689"/>
      <c r="CK32" s="687" t="s">
        <v>344</v>
      </c>
      <c r="CL32" s="688"/>
      <c r="CM32" s="688"/>
      <c r="CN32" s="688"/>
      <c r="CO32" s="689"/>
      <c r="CP32" s="687" t="s">
        <v>344</v>
      </c>
      <c r="CQ32" s="688"/>
      <c r="CR32" s="688"/>
      <c r="CS32" s="688"/>
      <c r="CT32" s="689"/>
      <c r="CU32" s="687" t="s">
        <v>344</v>
      </c>
      <c r="CV32" s="688"/>
      <c r="CW32" s="688"/>
      <c r="CX32" s="688"/>
      <c r="CY32" s="689"/>
      <c r="CZ32" s="687" t="s">
        <v>344</v>
      </c>
      <c r="DA32" s="688"/>
      <c r="DB32" s="688"/>
      <c r="DC32" s="688"/>
      <c r="DD32" s="689"/>
      <c r="DE32" s="687" t="s">
        <v>344</v>
      </c>
      <c r="DF32" s="688"/>
      <c r="DG32" s="688"/>
      <c r="DH32" s="688"/>
      <c r="DI32" s="689"/>
      <c r="DJ32" s="687" t="s">
        <v>344</v>
      </c>
      <c r="DK32" s="688"/>
      <c r="DL32" s="688"/>
      <c r="DM32" s="688"/>
      <c r="DN32" s="689"/>
      <c r="DO32" s="687" t="s">
        <v>344</v>
      </c>
      <c r="DP32" s="688"/>
      <c r="DQ32" s="688"/>
      <c r="DR32" s="688"/>
      <c r="DS32" s="689"/>
      <c r="DT32" s="687" t="s">
        <v>344</v>
      </c>
      <c r="DU32" s="688"/>
      <c r="DV32" s="688"/>
      <c r="DW32" s="688"/>
      <c r="DX32" s="689"/>
    </row>
    <row r="33" spans="2:128" ht="25.35" customHeight="1" thickBot="1" x14ac:dyDescent="0.25">
      <c r="B33" s="697" t="s">
        <v>624</v>
      </c>
      <c r="C33" s="698"/>
      <c r="D33" s="690"/>
      <c r="E33" s="691"/>
      <c r="F33" s="691"/>
      <c r="G33" s="691"/>
      <c r="H33" s="692"/>
      <c r="I33" s="690"/>
      <c r="J33" s="691"/>
      <c r="K33" s="691"/>
      <c r="L33" s="691"/>
      <c r="M33" s="692"/>
      <c r="N33" s="690"/>
      <c r="O33" s="691"/>
      <c r="P33" s="691"/>
      <c r="Q33" s="691"/>
      <c r="R33" s="692"/>
      <c r="S33" s="690"/>
      <c r="T33" s="691"/>
      <c r="U33" s="691"/>
      <c r="V33" s="691"/>
      <c r="W33" s="692"/>
      <c r="X33" s="690"/>
      <c r="Y33" s="691"/>
      <c r="Z33" s="691"/>
      <c r="AA33" s="691"/>
      <c r="AB33" s="692"/>
      <c r="AC33" s="690"/>
      <c r="AD33" s="691"/>
      <c r="AE33" s="691"/>
      <c r="AF33" s="691"/>
      <c r="AG33" s="692"/>
      <c r="AH33" s="690"/>
      <c r="AI33" s="691"/>
      <c r="AJ33" s="691"/>
      <c r="AK33" s="691"/>
      <c r="AL33" s="692"/>
      <c r="AM33" s="690"/>
      <c r="AN33" s="691"/>
      <c r="AO33" s="691"/>
      <c r="AP33" s="691"/>
      <c r="AQ33" s="692"/>
      <c r="AR33" s="690"/>
      <c r="AS33" s="691"/>
      <c r="AT33" s="691"/>
      <c r="AU33" s="691"/>
      <c r="AV33" s="692"/>
      <c r="AW33" s="690"/>
      <c r="AX33" s="691"/>
      <c r="AY33" s="691"/>
      <c r="AZ33" s="691"/>
      <c r="BA33" s="692"/>
      <c r="BB33" s="690"/>
      <c r="BC33" s="691"/>
      <c r="BD33" s="691"/>
      <c r="BE33" s="691"/>
      <c r="BF33" s="692"/>
      <c r="BG33" s="690"/>
      <c r="BH33" s="691"/>
      <c r="BI33" s="691"/>
      <c r="BJ33" s="691"/>
      <c r="BK33" s="692"/>
      <c r="BL33" s="690"/>
      <c r="BM33" s="691"/>
      <c r="BN33" s="691"/>
      <c r="BO33" s="691"/>
      <c r="BP33" s="692"/>
      <c r="BQ33" s="690"/>
      <c r="BR33" s="691"/>
      <c r="BS33" s="691"/>
      <c r="BT33" s="691"/>
      <c r="BU33" s="692"/>
      <c r="BV33" s="690"/>
      <c r="BW33" s="691"/>
      <c r="BX33" s="691"/>
      <c r="BY33" s="691"/>
      <c r="BZ33" s="692"/>
      <c r="CA33" s="690"/>
      <c r="CB33" s="691"/>
      <c r="CC33" s="691"/>
      <c r="CD33" s="691"/>
      <c r="CE33" s="692"/>
      <c r="CF33" s="690"/>
      <c r="CG33" s="691"/>
      <c r="CH33" s="691"/>
      <c r="CI33" s="691"/>
      <c r="CJ33" s="692"/>
      <c r="CK33" s="690"/>
      <c r="CL33" s="691"/>
      <c r="CM33" s="691"/>
      <c r="CN33" s="691"/>
      <c r="CO33" s="692"/>
      <c r="CP33" s="690"/>
      <c r="CQ33" s="691"/>
      <c r="CR33" s="691"/>
      <c r="CS33" s="691"/>
      <c r="CT33" s="692"/>
      <c r="CU33" s="690"/>
      <c r="CV33" s="691"/>
      <c r="CW33" s="691"/>
      <c r="CX33" s="691"/>
      <c r="CY33" s="692"/>
      <c r="CZ33" s="690"/>
      <c r="DA33" s="691"/>
      <c r="DB33" s="691"/>
      <c r="DC33" s="691"/>
      <c r="DD33" s="692"/>
      <c r="DE33" s="690"/>
      <c r="DF33" s="691"/>
      <c r="DG33" s="691"/>
      <c r="DH33" s="691"/>
      <c r="DI33" s="692"/>
      <c r="DJ33" s="690"/>
      <c r="DK33" s="691"/>
      <c r="DL33" s="691"/>
      <c r="DM33" s="691"/>
      <c r="DN33" s="692"/>
      <c r="DO33" s="690"/>
      <c r="DP33" s="691"/>
      <c r="DQ33" s="691"/>
      <c r="DR33" s="691"/>
      <c r="DS33" s="692"/>
      <c r="DT33" s="690"/>
      <c r="DU33" s="691"/>
      <c r="DV33" s="691"/>
      <c r="DW33" s="691"/>
      <c r="DX33" s="692"/>
    </row>
    <row r="34" spans="2:128" s="33" customFormat="1" ht="39" customHeight="1" thickBot="1" x14ac:dyDescent="0.25">
      <c r="B34" s="704" t="s">
        <v>347</v>
      </c>
      <c r="C34" s="705"/>
      <c r="D34" s="418" t="s">
        <v>345</v>
      </c>
      <c r="E34" s="419" t="s">
        <v>337</v>
      </c>
      <c r="F34" s="419" t="s">
        <v>338</v>
      </c>
      <c r="G34" s="419" t="s">
        <v>339</v>
      </c>
      <c r="H34" s="420" t="s">
        <v>340</v>
      </c>
      <c r="I34" s="418" t="s">
        <v>345</v>
      </c>
      <c r="J34" s="419" t="s">
        <v>337</v>
      </c>
      <c r="K34" s="419" t="s">
        <v>338</v>
      </c>
      <c r="L34" s="419" t="s">
        <v>339</v>
      </c>
      <c r="M34" s="420" t="s">
        <v>340</v>
      </c>
      <c r="N34" s="418" t="s">
        <v>345</v>
      </c>
      <c r="O34" s="419" t="s">
        <v>337</v>
      </c>
      <c r="P34" s="419" t="s">
        <v>338</v>
      </c>
      <c r="Q34" s="419" t="s">
        <v>339</v>
      </c>
      <c r="R34" s="420" t="s">
        <v>340</v>
      </c>
      <c r="S34" s="418" t="s">
        <v>345</v>
      </c>
      <c r="T34" s="419" t="s">
        <v>337</v>
      </c>
      <c r="U34" s="419" t="s">
        <v>338</v>
      </c>
      <c r="V34" s="419" t="s">
        <v>339</v>
      </c>
      <c r="W34" s="420" t="s">
        <v>340</v>
      </c>
      <c r="X34" s="418" t="s">
        <v>345</v>
      </c>
      <c r="Y34" s="419" t="s">
        <v>337</v>
      </c>
      <c r="Z34" s="419" t="s">
        <v>338</v>
      </c>
      <c r="AA34" s="419" t="s">
        <v>339</v>
      </c>
      <c r="AB34" s="420" t="s">
        <v>340</v>
      </c>
      <c r="AC34" s="418" t="s">
        <v>345</v>
      </c>
      <c r="AD34" s="419" t="s">
        <v>337</v>
      </c>
      <c r="AE34" s="419" t="s">
        <v>338</v>
      </c>
      <c r="AF34" s="419" t="s">
        <v>339</v>
      </c>
      <c r="AG34" s="420" t="s">
        <v>340</v>
      </c>
      <c r="AH34" s="418" t="s">
        <v>345</v>
      </c>
      <c r="AI34" s="419" t="s">
        <v>337</v>
      </c>
      <c r="AJ34" s="419" t="s">
        <v>338</v>
      </c>
      <c r="AK34" s="419" t="s">
        <v>339</v>
      </c>
      <c r="AL34" s="420" t="s">
        <v>340</v>
      </c>
      <c r="AM34" s="418" t="s">
        <v>345</v>
      </c>
      <c r="AN34" s="419" t="s">
        <v>337</v>
      </c>
      <c r="AO34" s="419" t="s">
        <v>338</v>
      </c>
      <c r="AP34" s="419" t="s">
        <v>339</v>
      </c>
      <c r="AQ34" s="420" t="s">
        <v>340</v>
      </c>
      <c r="AR34" s="418" t="s">
        <v>345</v>
      </c>
      <c r="AS34" s="419" t="s">
        <v>337</v>
      </c>
      <c r="AT34" s="419" t="s">
        <v>338</v>
      </c>
      <c r="AU34" s="419" t="s">
        <v>339</v>
      </c>
      <c r="AV34" s="420" t="s">
        <v>340</v>
      </c>
      <c r="AW34" s="418" t="s">
        <v>345</v>
      </c>
      <c r="AX34" s="419" t="s">
        <v>337</v>
      </c>
      <c r="AY34" s="419" t="s">
        <v>338</v>
      </c>
      <c r="AZ34" s="419" t="s">
        <v>339</v>
      </c>
      <c r="BA34" s="420" t="s">
        <v>340</v>
      </c>
      <c r="BB34" s="418" t="s">
        <v>345</v>
      </c>
      <c r="BC34" s="419" t="s">
        <v>337</v>
      </c>
      <c r="BD34" s="419" t="s">
        <v>338</v>
      </c>
      <c r="BE34" s="419" t="s">
        <v>339</v>
      </c>
      <c r="BF34" s="420" t="s">
        <v>340</v>
      </c>
      <c r="BG34" s="418" t="s">
        <v>345</v>
      </c>
      <c r="BH34" s="419" t="s">
        <v>337</v>
      </c>
      <c r="BI34" s="419" t="s">
        <v>338</v>
      </c>
      <c r="BJ34" s="419" t="s">
        <v>339</v>
      </c>
      <c r="BK34" s="420" t="s">
        <v>340</v>
      </c>
      <c r="BL34" s="418" t="s">
        <v>345</v>
      </c>
      <c r="BM34" s="419" t="s">
        <v>337</v>
      </c>
      <c r="BN34" s="419" t="s">
        <v>338</v>
      </c>
      <c r="BO34" s="419" t="s">
        <v>339</v>
      </c>
      <c r="BP34" s="420" t="s">
        <v>340</v>
      </c>
      <c r="BQ34" s="418" t="s">
        <v>345</v>
      </c>
      <c r="BR34" s="419" t="s">
        <v>337</v>
      </c>
      <c r="BS34" s="419" t="s">
        <v>338</v>
      </c>
      <c r="BT34" s="419" t="s">
        <v>339</v>
      </c>
      <c r="BU34" s="420" t="s">
        <v>340</v>
      </c>
      <c r="BV34" s="418" t="s">
        <v>345</v>
      </c>
      <c r="BW34" s="419" t="s">
        <v>337</v>
      </c>
      <c r="BX34" s="419" t="s">
        <v>338</v>
      </c>
      <c r="BY34" s="419" t="s">
        <v>339</v>
      </c>
      <c r="BZ34" s="420" t="s">
        <v>340</v>
      </c>
      <c r="CA34" s="418" t="s">
        <v>345</v>
      </c>
      <c r="CB34" s="419" t="s">
        <v>337</v>
      </c>
      <c r="CC34" s="419" t="s">
        <v>338</v>
      </c>
      <c r="CD34" s="419" t="s">
        <v>339</v>
      </c>
      <c r="CE34" s="420" t="s">
        <v>340</v>
      </c>
      <c r="CF34" s="418" t="s">
        <v>345</v>
      </c>
      <c r="CG34" s="419" t="s">
        <v>337</v>
      </c>
      <c r="CH34" s="419" t="s">
        <v>338</v>
      </c>
      <c r="CI34" s="419" t="s">
        <v>339</v>
      </c>
      <c r="CJ34" s="420" t="s">
        <v>340</v>
      </c>
      <c r="CK34" s="418" t="s">
        <v>345</v>
      </c>
      <c r="CL34" s="419" t="s">
        <v>337</v>
      </c>
      <c r="CM34" s="419" t="s">
        <v>338</v>
      </c>
      <c r="CN34" s="419" t="s">
        <v>339</v>
      </c>
      <c r="CO34" s="420" t="s">
        <v>340</v>
      </c>
      <c r="CP34" s="418" t="s">
        <v>345</v>
      </c>
      <c r="CQ34" s="419" t="s">
        <v>337</v>
      </c>
      <c r="CR34" s="419" t="s">
        <v>338</v>
      </c>
      <c r="CS34" s="419" t="s">
        <v>339</v>
      </c>
      <c r="CT34" s="420" t="s">
        <v>340</v>
      </c>
      <c r="CU34" s="418" t="s">
        <v>345</v>
      </c>
      <c r="CV34" s="419" t="s">
        <v>337</v>
      </c>
      <c r="CW34" s="419" t="s">
        <v>338</v>
      </c>
      <c r="CX34" s="419" t="s">
        <v>339</v>
      </c>
      <c r="CY34" s="420" t="s">
        <v>340</v>
      </c>
      <c r="CZ34" s="418" t="s">
        <v>345</v>
      </c>
      <c r="DA34" s="419" t="s">
        <v>337</v>
      </c>
      <c r="DB34" s="419" t="s">
        <v>338</v>
      </c>
      <c r="DC34" s="419" t="s">
        <v>339</v>
      </c>
      <c r="DD34" s="420" t="s">
        <v>340</v>
      </c>
      <c r="DE34" s="418" t="s">
        <v>345</v>
      </c>
      <c r="DF34" s="419" t="s">
        <v>337</v>
      </c>
      <c r="DG34" s="419" t="s">
        <v>338</v>
      </c>
      <c r="DH34" s="419" t="s">
        <v>339</v>
      </c>
      <c r="DI34" s="420" t="s">
        <v>340</v>
      </c>
      <c r="DJ34" s="418" t="s">
        <v>345</v>
      </c>
      <c r="DK34" s="419" t="s">
        <v>337</v>
      </c>
      <c r="DL34" s="419" t="s">
        <v>338</v>
      </c>
      <c r="DM34" s="419" t="s">
        <v>339</v>
      </c>
      <c r="DN34" s="420" t="s">
        <v>340</v>
      </c>
      <c r="DO34" s="418" t="s">
        <v>345</v>
      </c>
      <c r="DP34" s="419" t="s">
        <v>337</v>
      </c>
      <c r="DQ34" s="419" t="s">
        <v>338</v>
      </c>
      <c r="DR34" s="419" t="s">
        <v>339</v>
      </c>
      <c r="DS34" s="420" t="s">
        <v>340</v>
      </c>
      <c r="DT34" s="418" t="s">
        <v>345</v>
      </c>
      <c r="DU34" s="419" t="s">
        <v>337</v>
      </c>
      <c r="DV34" s="419" t="s">
        <v>338</v>
      </c>
      <c r="DW34" s="419" t="s">
        <v>339</v>
      </c>
      <c r="DX34" s="420" t="s">
        <v>340</v>
      </c>
    </row>
    <row r="35" spans="2:128" ht="18" customHeight="1" x14ac:dyDescent="0.2">
      <c r="B35" s="706" t="str">
        <f>B12</f>
        <v>KING</v>
      </c>
      <c r="C35" s="707"/>
      <c r="D35" s="407"/>
      <c r="E35" s="408"/>
      <c r="F35" s="409"/>
      <c r="G35" s="409"/>
      <c r="H35" s="410"/>
      <c r="I35" s="407"/>
      <c r="J35" s="408"/>
      <c r="K35" s="409"/>
      <c r="L35" s="409"/>
      <c r="M35" s="410"/>
      <c r="N35" s="407"/>
      <c r="O35" s="408"/>
      <c r="P35" s="409"/>
      <c r="Q35" s="409"/>
      <c r="R35" s="410"/>
      <c r="S35" s="407"/>
      <c r="T35" s="408"/>
      <c r="U35" s="409"/>
      <c r="V35" s="409"/>
      <c r="W35" s="410"/>
      <c r="X35" s="407"/>
      <c r="Y35" s="408"/>
      <c r="Z35" s="409"/>
      <c r="AA35" s="409"/>
      <c r="AB35" s="410"/>
      <c r="AC35" s="407"/>
      <c r="AD35" s="408"/>
      <c r="AE35" s="409"/>
      <c r="AF35" s="409"/>
      <c r="AG35" s="410"/>
      <c r="AH35" s="407"/>
      <c r="AI35" s="408"/>
      <c r="AJ35" s="409"/>
      <c r="AK35" s="409"/>
      <c r="AL35" s="410"/>
      <c r="AM35" s="407"/>
      <c r="AN35" s="408"/>
      <c r="AO35" s="409"/>
      <c r="AP35" s="409"/>
      <c r="AQ35" s="410"/>
      <c r="AR35" s="407"/>
      <c r="AS35" s="408"/>
      <c r="AT35" s="409"/>
      <c r="AU35" s="409"/>
      <c r="AV35" s="410"/>
      <c r="AW35" s="407"/>
      <c r="AX35" s="408"/>
      <c r="AY35" s="409"/>
      <c r="AZ35" s="409"/>
      <c r="BA35" s="410"/>
      <c r="BB35" s="407"/>
      <c r="BC35" s="408"/>
      <c r="BD35" s="409"/>
      <c r="BE35" s="409"/>
      <c r="BF35" s="410"/>
      <c r="BG35" s="407"/>
      <c r="BH35" s="408"/>
      <c r="BI35" s="409"/>
      <c r="BJ35" s="409"/>
      <c r="BK35" s="410"/>
      <c r="BL35" s="407"/>
      <c r="BM35" s="408"/>
      <c r="BN35" s="409"/>
      <c r="BO35" s="409"/>
      <c r="BP35" s="410"/>
      <c r="BQ35" s="407"/>
      <c r="BR35" s="408"/>
      <c r="BS35" s="409"/>
      <c r="BT35" s="409"/>
      <c r="BU35" s="410"/>
      <c r="BV35" s="407"/>
      <c r="BW35" s="408"/>
      <c r="BX35" s="409"/>
      <c r="BY35" s="409"/>
      <c r="BZ35" s="410"/>
      <c r="CA35" s="407"/>
      <c r="CB35" s="408"/>
      <c r="CC35" s="409"/>
      <c r="CD35" s="409"/>
      <c r="CE35" s="410"/>
      <c r="CF35" s="407"/>
      <c r="CG35" s="408"/>
      <c r="CH35" s="409"/>
      <c r="CI35" s="409"/>
      <c r="CJ35" s="410"/>
      <c r="CK35" s="407"/>
      <c r="CL35" s="408"/>
      <c r="CM35" s="409"/>
      <c r="CN35" s="409"/>
      <c r="CO35" s="410"/>
      <c r="CP35" s="407"/>
      <c r="CQ35" s="408"/>
      <c r="CR35" s="409"/>
      <c r="CS35" s="409"/>
      <c r="CT35" s="410"/>
      <c r="CU35" s="407"/>
      <c r="CV35" s="408"/>
      <c r="CW35" s="409"/>
      <c r="CX35" s="409"/>
      <c r="CY35" s="410"/>
      <c r="CZ35" s="407"/>
      <c r="DA35" s="408"/>
      <c r="DB35" s="409"/>
      <c r="DC35" s="409"/>
      <c r="DD35" s="410"/>
      <c r="DE35" s="407"/>
      <c r="DF35" s="408"/>
      <c r="DG35" s="409"/>
      <c r="DH35" s="409"/>
      <c r="DI35" s="410"/>
      <c r="DJ35" s="407"/>
      <c r="DK35" s="408"/>
      <c r="DL35" s="409"/>
      <c r="DM35" s="409"/>
      <c r="DN35" s="410"/>
      <c r="DO35" s="407"/>
      <c r="DP35" s="408"/>
      <c r="DQ35" s="409"/>
      <c r="DR35" s="409"/>
      <c r="DS35" s="410"/>
      <c r="DT35" s="407"/>
      <c r="DU35" s="408"/>
      <c r="DV35" s="409"/>
      <c r="DW35" s="409"/>
      <c r="DX35" s="410"/>
    </row>
    <row r="36" spans="2:128" ht="18" customHeight="1" x14ac:dyDescent="0.2">
      <c r="B36" s="682" t="str">
        <f t="shared" ref="B36:B50" si="0">B13</f>
        <v>DBDB</v>
      </c>
      <c r="C36" s="683"/>
      <c r="D36" s="411"/>
      <c r="E36" s="412"/>
      <c r="F36" s="413"/>
      <c r="G36" s="413"/>
      <c r="H36" s="414"/>
      <c r="I36" s="411"/>
      <c r="J36" s="412"/>
      <c r="K36" s="413"/>
      <c r="L36" s="413"/>
      <c r="M36" s="414"/>
      <c r="N36" s="411"/>
      <c r="O36" s="412"/>
      <c r="P36" s="413"/>
      <c r="Q36" s="413"/>
      <c r="R36" s="414"/>
      <c r="S36" s="411"/>
      <c r="T36" s="412"/>
      <c r="U36" s="413"/>
      <c r="V36" s="413"/>
      <c r="W36" s="414"/>
      <c r="X36" s="411"/>
      <c r="Y36" s="412"/>
      <c r="Z36" s="413"/>
      <c r="AA36" s="413"/>
      <c r="AB36" s="414"/>
      <c r="AC36" s="411"/>
      <c r="AD36" s="412"/>
      <c r="AE36" s="413"/>
      <c r="AF36" s="413"/>
      <c r="AG36" s="414"/>
      <c r="AH36" s="411"/>
      <c r="AI36" s="412"/>
      <c r="AJ36" s="413"/>
      <c r="AK36" s="413"/>
      <c r="AL36" s="414"/>
      <c r="AM36" s="411"/>
      <c r="AN36" s="412"/>
      <c r="AO36" s="413"/>
      <c r="AP36" s="413"/>
      <c r="AQ36" s="414"/>
      <c r="AR36" s="411"/>
      <c r="AS36" s="412"/>
      <c r="AT36" s="413"/>
      <c r="AU36" s="413"/>
      <c r="AV36" s="414"/>
      <c r="AW36" s="411"/>
      <c r="AX36" s="412"/>
      <c r="AY36" s="413"/>
      <c r="AZ36" s="413"/>
      <c r="BA36" s="414"/>
      <c r="BB36" s="411"/>
      <c r="BC36" s="412"/>
      <c r="BD36" s="413"/>
      <c r="BE36" s="413"/>
      <c r="BF36" s="414"/>
      <c r="BG36" s="411"/>
      <c r="BH36" s="412"/>
      <c r="BI36" s="413"/>
      <c r="BJ36" s="413"/>
      <c r="BK36" s="414"/>
      <c r="BL36" s="411"/>
      <c r="BM36" s="412"/>
      <c r="BN36" s="413"/>
      <c r="BO36" s="413"/>
      <c r="BP36" s="414"/>
      <c r="BQ36" s="411"/>
      <c r="BR36" s="412"/>
      <c r="BS36" s="413"/>
      <c r="BT36" s="413"/>
      <c r="BU36" s="414"/>
      <c r="BV36" s="411"/>
      <c r="BW36" s="412"/>
      <c r="BX36" s="413"/>
      <c r="BY36" s="413"/>
      <c r="BZ36" s="414"/>
      <c r="CA36" s="411"/>
      <c r="CB36" s="412"/>
      <c r="CC36" s="413"/>
      <c r="CD36" s="413"/>
      <c r="CE36" s="414"/>
      <c r="CF36" s="411"/>
      <c r="CG36" s="412"/>
      <c r="CH36" s="413"/>
      <c r="CI36" s="413"/>
      <c r="CJ36" s="414"/>
      <c r="CK36" s="411"/>
      <c r="CL36" s="412"/>
      <c r="CM36" s="413"/>
      <c r="CN36" s="413"/>
      <c r="CO36" s="414"/>
      <c r="CP36" s="411"/>
      <c r="CQ36" s="412"/>
      <c r="CR36" s="413"/>
      <c r="CS36" s="413"/>
      <c r="CT36" s="414"/>
      <c r="CU36" s="411"/>
      <c r="CV36" s="412"/>
      <c r="CW36" s="413"/>
      <c r="CX36" s="413"/>
      <c r="CY36" s="414"/>
      <c r="CZ36" s="411"/>
      <c r="DA36" s="412"/>
      <c r="DB36" s="413"/>
      <c r="DC36" s="413"/>
      <c r="DD36" s="414"/>
      <c r="DE36" s="411"/>
      <c r="DF36" s="412"/>
      <c r="DG36" s="413"/>
      <c r="DH36" s="413"/>
      <c r="DI36" s="414"/>
      <c r="DJ36" s="411"/>
      <c r="DK36" s="412"/>
      <c r="DL36" s="413"/>
      <c r="DM36" s="413"/>
      <c r="DN36" s="414"/>
      <c r="DO36" s="411"/>
      <c r="DP36" s="412"/>
      <c r="DQ36" s="413"/>
      <c r="DR36" s="413"/>
      <c r="DS36" s="414"/>
      <c r="DT36" s="411"/>
      <c r="DU36" s="412"/>
      <c r="DV36" s="413"/>
      <c r="DW36" s="413"/>
      <c r="DX36" s="414"/>
    </row>
    <row r="37" spans="2:128" ht="18" customHeight="1" x14ac:dyDescent="0.2">
      <c r="B37" s="682" t="str">
        <f t="shared" si="0"/>
        <v>PMRS</v>
      </c>
      <c r="C37" s="683"/>
      <c r="D37" s="411"/>
      <c r="E37" s="412"/>
      <c r="F37" s="413"/>
      <c r="G37" s="413"/>
      <c r="H37" s="414"/>
      <c r="I37" s="411"/>
      <c r="J37" s="412"/>
      <c r="K37" s="413"/>
      <c r="L37" s="413"/>
      <c r="M37" s="414"/>
      <c r="N37" s="411"/>
      <c r="O37" s="412"/>
      <c r="P37" s="413"/>
      <c r="Q37" s="413"/>
      <c r="R37" s="414"/>
      <c r="S37" s="411"/>
      <c r="T37" s="412"/>
      <c r="U37" s="413"/>
      <c r="V37" s="413"/>
      <c r="W37" s="414"/>
      <c r="X37" s="411"/>
      <c r="Y37" s="412"/>
      <c r="Z37" s="413"/>
      <c r="AA37" s="413"/>
      <c r="AB37" s="414"/>
      <c r="AC37" s="411"/>
      <c r="AD37" s="412"/>
      <c r="AE37" s="413"/>
      <c r="AF37" s="413"/>
      <c r="AG37" s="414"/>
      <c r="AH37" s="411"/>
      <c r="AI37" s="412"/>
      <c r="AJ37" s="413"/>
      <c r="AK37" s="413"/>
      <c r="AL37" s="414"/>
      <c r="AM37" s="411"/>
      <c r="AN37" s="412"/>
      <c r="AO37" s="413"/>
      <c r="AP37" s="413"/>
      <c r="AQ37" s="414"/>
      <c r="AR37" s="411"/>
      <c r="AS37" s="412"/>
      <c r="AT37" s="413"/>
      <c r="AU37" s="413"/>
      <c r="AV37" s="414"/>
      <c r="AW37" s="411"/>
      <c r="AX37" s="412"/>
      <c r="AY37" s="413"/>
      <c r="AZ37" s="413"/>
      <c r="BA37" s="414"/>
      <c r="BB37" s="411"/>
      <c r="BC37" s="412"/>
      <c r="BD37" s="413"/>
      <c r="BE37" s="413"/>
      <c r="BF37" s="414"/>
      <c r="BG37" s="411"/>
      <c r="BH37" s="412"/>
      <c r="BI37" s="413"/>
      <c r="BJ37" s="413"/>
      <c r="BK37" s="414"/>
      <c r="BL37" s="411"/>
      <c r="BM37" s="412"/>
      <c r="BN37" s="413"/>
      <c r="BO37" s="413"/>
      <c r="BP37" s="414"/>
      <c r="BQ37" s="411"/>
      <c r="BR37" s="412"/>
      <c r="BS37" s="413"/>
      <c r="BT37" s="413"/>
      <c r="BU37" s="414"/>
      <c r="BV37" s="411"/>
      <c r="BW37" s="412"/>
      <c r="BX37" s="413"/>
      <c r="BY37" s="413"/>
      <c r="BZ37" s="414"/>
      <c r="CA37" s="411"/>
      <c r="CB37" s="412"/>
      <c r="CC37" s="413"/>
      <c r="CD37" s="413"/>
      <c r="CE37" s="414"/>
      <c r="CF37" s="411"/>
      <c r="CG37" s="412"/>
      <c r="CH37" s="413"/>
      <c r="CI37" s="413"/>
      <c r="CJ37" s="414"/>
      <c r="CK37" s="411"/>
      <c r="CL37" s="412"/>
      <c r="CM37" s="413"/>
      <c r="CN37" s="413"/>
      <c r="CO37" s="414"/>
      <c r="CP37" s="411"/>
      <c r="CQ37" s="412"/>
      <c r="CR37" s="413"/>
      <c r="CS37" s="413"/>
      <c r="CT37" s="414"/>
      <c r="CU37" s="411"/>
      <c r="CV37" s="412"/>
      <c r="CW37" s="413"/>
      <c r="CX37" s="413"/>
      <c r="CY37" s="414"/>
      <c r="CZ37" s="411"/>
      <c r="DA37" s="412"/>
      <c r="DB37" s="413"/>
      <c r="DC37" s="413"/>
      <c r="DD37" s="414"/>
      <c r="DE37" s="411"/>
      <c r="DF37" s="412"/>
      <c r="DG37" s="413"/>
      <c r="DH37" s="413"/>
      <c r="DI37" s="414"/>
      <c r="DJ37" s="411"/>
      <c r="DK37" s="412"/>
      <c r="DL37" s="413"/>
      <c r="DM37" s="413"/>
      <c r="DN37" s="414"/>
      <c r="DO37" s="411"/>
      <c r="DP37" s="412"/>
      <c r="DQ37" s="413"/>
      <c r="DR37" s="413"/>
      <c r="DS37" s="414"/>
      <c r="DT37" s="411"/>
      <c r="DU37" s="412"/>
      <c r="DV37" s="413"/>
      <c r="DW37" s="413"/>
      <c r="DX37" s="414"/>
    </row>
    <row r="38" spans="2:128" ht="18" customHeight="1" x14ac:dyDescent="0.2">
      <c r="B38" s="682" t="str">
        <f t="shared" si="0"/>
        <v>PMRS</v>
      </c>
      <c r="C38" s="683"/>
      <c r="D38" s="411"/>
      <c r="E38" s="412"/>
      <c r="F38" s="413"/>
      <c r="G38" s="413"/>
      <c r="H38" s="414"/>
      <c r="I38" s="411"/>
      <c r="J38" s="412"/>
      <c r="K38" s="413"/>
      <c r="L38" s="413"/>
      <c r="M38" s="414"/>
      <c r="N38" s="411"/>
      <c r="O38" s="412"/>
      <c r="P38" s="413"/>
      <c r="Q38" s="413"/>
      <c r="R38" s="414"/>
      <c r="S38" s="411"/>
      <c r="T38" s="412"/>
      <c r="U38" s="413"/>
      <c r="V38" s="413"/>
      <c r="W38" s="414"/>
      <c r="X38" s="411"/>
      <c r="Y38" s="412"/>
      <c r="Z38" s="413"/>
      <c r="AA38" s="413"/>
      <c r="AB38" s="414"/>
      <c r="AC38" s="411"/>
      <c r="AD38" s="412"/>
      <c r="AE38" s="413"/>
      <c r="AF38" s="413"/>
      <c r="AG38" s="414"/>
      <c r="AH38" s="411"/>
      <c r="AI38" s="412"/>
      <c r="AJ38" s="413"/>
      <c r="AK38" s="413"/>
      <c r="AL38" s="414"/>
      <c r="AM38" s="411"/>
      <c r="AN38" s="412"/>
      <c r="AO38" s="413"/>
      <c r="AP38" s="413"/>
      <c r="AQ38" s="414"/>
      <c r="AR38" s="411"/>
      <c r="AS38" s="412"/>
      <c r="AT38" s="413"/>
      <c r="AU38" s="413"/>
      <c r="AV38" s="414"/>
      <c r="AW38" s="411"/>
      <c r="AX38" s="412"/>
      <c r="AY38" s="413"/>
      <c r="AZ38" s="413"/>
      <c r="BA38" s="414"/>
      <c r="BB38" s="411"/>
      <c r="BC38" s="412"/>
      <c r="BD38" s="413"/>
      <c r="BE38" s="413"/>
      <c r="BF38" s="414"/>
      <c r="BG38" s="411"/>
      <c r="BH38" s="412"/>
      <c r="BI38" s="413"/>
      <c r="BJ38" s="413"/>
      <c r="BK38" s="414"/>
      <c r="BL38" s="411"/>
      <c r="BM38" s="412"/>
      <c r="BN38" s="413"/>
      <c r="BO38" s="413"/>
      <c r="BP38" s="414"/>
      <c r="BQ38" s="411"/>
      <c r="BR38" s="412"/>
      <c r="BS38" s="413"/>
      <c r="BT38" s="413"/>
      <c r="BU38" s="414"/>
      <c r="BV38" s="411"/>
      <c r="BW38" s="412"/>
      <c r="BX38" s="413"/>
      <c r="BY38" s="413"/>
      <c r="BZ38" s="414"/>
      <c r="CA38" s="411"/>
      <c r="CB38" s="412"/>
      <c r="CC38" s="413"/>
      <c r="CD38" s="413"/>
      <c r="CE38" s="414"/>
      <c r="CF38" s="411"/>
      <c r="CG38" s="412"/>
      <c r="CH38" s="413"/>
      <c r="CI38" s="413"/>
      <c r="CJ38" s="414"/>
      <c r="CK38" s="411"/>
      <c r="CL38" s="412"/>
      <c r="CM38" s="413"/>
      <c r="CN38" s="413"/>
      <c r="CO38" s="414"/>
      <c r="CP38" s="411"/>
      <c r="CQ38" s="412"/>
      <c r="CR38" s="413"/>
      <c r="CS38" s="413"/>
      <c r="CT38" s="414"/>
      <c r="CU38" s="411"/>
      <c r="CV38" s="412"/>
      <c r="CW38" s="413"/>
      <c r="CX38" s="413"/>
      <c r="CY38" s="414"/>
      <c r="CZ38" s="411"/>
      <c r="DA38" s="412"/>
      <c r="DB38" s="413"/>
      <c r="DC38" s="413"/>
      <c r="DD38" s="414"/>
      <c r="DE38" s="411"/>
      <c r="DF38" s="412"/>
      <c r="DG38" s="413"/>
      <c r="DH38" s="413"/>
      <c r="DI38" s="414"/>
      <c r="DJ38" s="411"/>
      <c r="DK38" s="412"/>
      <c r="DL38" s="413"/>
      <c r="DM38" s="413"/>
      <c r="DN38" s="414"/>
      <c r="DO38" s="411"/>
      <c r="DP38" s="412"/>
      <c r="DQ38" s="413"/>
      <c r="DR38" s="413"/>
      <c r="DS38" s="414"/>
      <c r="DT38" s="411"/>
      <c r="DU38" s="412"/>
      <c r="DV38" s="413"/>
      <c r="DW38" s="413"/>
      <c r="DX38" s="414"/>
    </row>
    <row r="39" spans="2:128" ht="18" customHeight="1" x14ac:dyDescent="0.2">
      <c r="B39" s="682">
        <f t="shared" si="0"/>
        <v>0</v>
      </c>
      <c r="C39" s="683"/>
      <c r="D39" s="411"/>
      <c r="E39" s="412"/>
      <c r="F39" s="413"/>
      <c r="G39" s="413"/>
      <c r="H39" s="414"/>
      <c r="I39" s="411"/>
      <c r="J39" s="412"/>
      <c r="K39" s="413"/>
      <c r="L39" s="413"/>
      <c r="M39" s="414"/>
      <c r="N39" s="411"/>
      <c r="O39" s="412"/>
      <c r="P39" s="413"/>
      <c r="Q39" s="413"/>
      <c r="R39" s="414"/>
      <c r="S39" s="411"/>
      <c r="T39" s="412"/>
      <c r="U39" s="413"/>
      <c r="V39" s="413"/>
      <c r="W39" s="414"/>
      <c r="X39" s="411"/>
      <c r="Y39" s="412"/>
      <c r="Z39" s="413"/>
      <c r="AA39" s="413"/>
      <c r="AB39" s="414"/>
      <c r="AC39" s="411"/>
      <c r="AD39" s="412"/>
      <c r="AE39" s="413"/>
      <c r="AF39" s="413"/>
      <c r="AG39" s="414"/>
      <c r="AH39" s="411"/>
      <c r="AI39" s="412"/>
      <c r="AJ39" s="413"/>
      <c r="AK39" s="413"/>
      <c r="AL39" s="414"/>
      <c r="AM39" s="411"/>
      <c r="AN39" s="412"/>
      <c r="AO39" s="413"/>
      <c r="AP39" s="413"/>
      <c r="AQ39" s="414"/>
      <c r="AR39" s="411"/>
      <c r="AS39" s="412"/>
      <c r="AT39" s="413"/>
      <c r="AU39" s="413"/>
      <c r="AV39" s="414"/>
      <c r="AW39" s="411"/>
      <c r="AX39" s="412"/>
      <c r="AY39" s="413"/>
      <c r="AZ39" s="413"/>
      <c r="BA39" s="414"/>
      <c r="BB39" s="411"/>
      <c r="BC39" s="412"/>
      <c r="BD39" s="413"/>
      <c r="BE39" s="413"/>
      <c r="BF39" s="414"/>
      <c r="BG39" s="411"/>
      <c r="BH39" s="412"/>
      <c r="BI39" s="413"/>
      <c r="BJ39" s="413"/>
      <c r="BK39" s="414"/>
      <c r="BL39" s="411"/>
      <c r="BM39" s="412"/>
      <c r="BN39" s="413"/>
      <c r="BO39" s="413"/>
      <c r="BP39" s="414"/>
      <c r="BQ39" s="411"/>
      <c r="BR39" s="412"/>
      <c r="BS39" s="413"/>
      <c r="BT39" s="413"/>
      <c r="BU39" s="414"/>
      <c r="BV39" s="411"/>
      <c r="BW39" s="412"/>
      <c r="BX39" s="413"/>
      <c r="BY39" s="413"/>
      <c r="BZ39" s="414"/>
      <c r="CA39" s="411"/>
      <c r="CB39" s="412"/>
      <c r="CC39" s="413"/>
      <c r="CD39" s="413"/>
      <c r="CE39" s="414"/>
      <c r="CF39" s="411"/>
      <c r="CG39" s="412"/>
      <c r="CH39" s="413"/>
      <c r="CI39" s="413"/>
      <c r="CJ39" s="414"/>
      <c r="CK39" s="411"/>
      <c r="CL39" s="412"/>
      <c r="CM39" s="413"/>
      <c r="CN39" s="413"/>
      <c r="CO39" s="414"/>
      <c r="CP39" s="411"/>
      <c r="CQ39" s="412"/>
      <c r="CR39" s="413"/>
      <c r="CS39" s="413"/>
      <c r="CT39" s="414"/>
      <c r="CU39" s="411"/>
      <c r="CV39" s="412"/>
      <c r="CW39" s="413"/>
      <c r="CX39" s="413"/>
      <c r="CY39" s="414"/>
      <c r="CZ39" s="411"/>
      <c r="DA39" s="412"/>
      <c r="DB39" s="413"/>
      <c r="DC39" s="413"/>
      <c r="DD39" s="414"/>
      <c r="DE39" s="411"/>
      <c r="DF39" s="412"/>
      <c r="DG39" s="413"/>
      <c r="DH39" s="413"/>
      <c r="DI39" s="414"/>
      <c r="DJ39" s="411"/>
      <c r="DK39" s="412"/>
      <c r="DL39" s="413"/>
      <c r="DM39" s="413"/>
      <c r="DN39" s="414"/>
      <c r="DO39" s="411"/>
      <c r="DP39" s="412"/>
      <c r="DQ39" s="413"/>
      <c r="DR39" s="413"/>
      <c r="DS39" s="414"/>
      <c r="DT39" s="411"/>
      <c r="DU39" s="412"/>
      <c r="DV39" s="413"/>
      <c r="DW39" s="413"/>
      <c r="DX39" s="414"/>
    </row>
    <row r="40" spans="2:128" ht="18" customHeight="1" x14ac:dyDescent="0.2">
      <c r="B40" s="682">
        <f t="shared" si="0"/>
        <v>0</v>
      </c>
      <c r="C40" s="683"/>
      <c r="D40" s="411"/>
      <c r="E40" s="412"/>
      <c r="F40" s="413"/>
      <c r="G40" s="413"/>
      <c r="H40" s="414"/>
      <c r="I40" s="411"/>
      <c r="J40" s="412"/>
      <c r="K40" s="413"/>
      <c r="L40" s="413"/>
      <c r="M40" s="414"/>
      <c r="N40" s="411"/>
      <c r="O40" s="412"/>
      <c r="P40" s="413"/>
      <c r="Q40" s="413"/>
      <c r="R40" s="414"/>
      <c r="S40" s="411"/>
      <c r="T40" s="412"/>
      <c r="U40" s="413"/>
      <c r="V40" s="413"/>
      <c r="W40" s="414"/>
      <c r="X40" s="411"/>
      <c r="Y40" s="412"/>
      <c r="Z40" s="413"/>
      <c r="AA40" s="413"/>
      <c r="AB40" s="414"/>
      <c r="AC40" s="411"/>
      <c r="AD40" s="412"/>
      <c r="AE40" s="413"/>
      <c r="AF40" s="413"/>
      <c r="AG40" s="414"/>
      <c r="AH40" s="411"/>
      <c r="AI40" s="412"/>
      <c r="AJ40" s="413"/>
      <c r="AK40" s="413"/>
      <c r="AL40" s="414"/>
      <c r="AM40" s="411"/>
      <c r="AN40" s="412"/>
      <c r="AO40" s="413"/>
      <c r="AP40" s="413"/>
      <c r="AQ40" s="414"/>
      <c r="AR40" s="411"/>
      <c r="AS40" s="412"/>
      <c r="AT40" s="413"/>
      <c r="AU40" s="413"/>
      <c r="AV40" s="414"/>
      <c r="AW40" s="411"/>
      <c r="AX40" s="412"/>
      <c r="AY40" s="413"/>
      <c r="AZ40" s="413"/>
      <c r="BA40" s="414"/>
      <c r="BB40" s="411"/>
      <c r="BC40" s="412"/>
      <c r="BD40" s="413"/>
      <c r="BE40" s="413"/>
      <c r="BF40" s="414"/>
      <c r="BG40" s="411"/>
      <c r="BH40" s="412"/>
      <c r="BI40" s="413"/>
      <c r="BJ40" s="413"/>
      <c r="BK40" s="414"/>
      <c r="BL40" s="411"/>
      <c r="BM40" s="412"/>
      <c r="BN40" s="413"/>
      <c r="BO40" s="413"/>
      <c r="BP40" s="414"/>
      <c r="BQ40" s="411"/>
      <c r="BR40" s="412"/>
      <c r="BS40" s="413"/>
      <c r="BT40" s="413"/>
      <c r="BU40" s="414"/>
      <c r="BV40" s="411"/>
      <c r="BW40" s="412"/>
      <c r="BX40" s="413"/>
      <c r="BY40" s="413"/>
      <c r="BZ40" s="414"/>
      <c r="CA40" s="411"/>
      <c r="CB40" s="412"/>
      <c r="CC40" s="413"/>
      <c r="CD40" s="413"/>
      <c r="CE40" s="414"/>
      <c r="CF40" s="411"/>
      <c r="CG40" s="412"/>
      <c r="CH40" s="413"/>
      <c r="CI40" s="413"/>
      <c r="CJ40" s="414"/>
      <c r="CK40" s="411"/>
      <c r="CL40" s="412"/>
      <c r="CM40" s="413"/>
      <c r="CN40" s="413"/>
      <c r="CO40" s="414"/>
      <c r="CP40" s="411"/>
      <c r="CQ40" s="412"/>
      <c r="CR40" s="413"/>
      <c r="CS40" s="413"/>
      <c r="CT40" s="414"/>
      <c r="CU40" s="411"/>
      <c r="CV40" s="412"/>
      <c r="CW40" s="413"/>
      <c r="CX40" s="413"/>
      <c r="CY40" s="414"/>
      <c r="CZ40" s="411"/>
      <c r="DA40" s="412"/>
      <c r="DB40" s="413"/>
      <c r="DC40" s="413"/>
      <c r="DD40" s="414"/>
      <c r="DE40" s="411"/>
      <c r="DF40" s="412"/>
      <c r="DG40" s="413"/>
      <c r="DH40" s="413"/>
      <c r="DI40" s="414"/>
      <c r="DJ40" s="411"/>
      <c r="DK40" s="412"/>
      <c r="DL40" s="413"/>
      <c r="DM40" s="413"/>
      <c r="DN40" s="414"/>
      <c r="DO40" s="411"/>
      <c r="DP40" s="412"/>
      <c r="DQ40" s="413"/>
      <c r="DR40" s="413"/>
      <c r="DS40" s="414"/>
      <c r="DT40" s="411"/>
      <c r="DU40" s="412"/>
      <c r="DV40" s="413"/>
      <c r="DW40" s="413"/>
      <c r="DX40" s="414"/>
    </row>
    <row r="41" spans="2:128" ht="18" customHeight="1" x14ac:dyDescent="0.2">
      <c r="B41" s="682">
        <f t="shared" si="0"/>
        <v>0</v>
      </c>
      <c r="C41" s="683"/>
      <c r="D41" s="411"/>
      <c r="E41" s="412"/>
      <c r="F41" s="413"/>
      <c r="G41" s="413"/>
      <c r="H41" s="414"/>
      <c r="I41" s="411"/>
      <c r="J41" s="412"/>
      <c r="K41" s="413"/>
      <c r="L41" s="413"/>
      <c r="M41" s="414"/>
      <c r="N41" s="411"/>
      <c r="O41" s="412"/>
      <c r="P41" s="413"/>
      <c r="Q41" s="413"/>
      <c r="R41" s="414"/>
      <c r="S41" s="411"/>
      <c r="T41" s="412"/>
      <c r="U41" s="413"/>
      <c r="V41" s="413"/>
      <c r="W41" s="414"/>
      <c r="X41" s="411"/>
      <c r="Y41" s="412"/>
      <c r="Z41" s="413"/>
      <c r="AA41" s="413"/>
      <c r="AB41" s="414"/>
      <c r="AC41" s="411"/>
      <c r="AD41" s="412"/>
      <c r="AE41" s="413"/>
      <c r="AF41" s="413"/>
      <c r="AG41" s="414"/>
      <c r="AH41" s="411"/>
      <c r="AI41" s="412"/>
      <c r="AJ41" s="413"/>
      <c r="AK41" s="413"/>
      <c r="AL41" s="414"/>
      <c r="AM41" s="411"/>
      <c r="AN41" s="412"/>
      <c r="AO41" s="413"/>
      <c r="AP41" s="413"/>
      <c r="AQ41" s="414"/>
      <c r="AR41" s="411"/>
      <c r="AS41" s="412"/>
      <c r="AT41" s="413"/>
      <c r="AU41" s="413"/>
      <c r="AV41" s="414"/>
      <c r="AW41" s="411"/>
      <c r="AX41" s="412"/>
      <c r="AY41" s="413"/>
      <c r="AZ41" s="413"/>
      <c r="BA41" s="414"/>
      <c r="BB41" s="411"/>
      <c r="BC41" s="412"/>
      <c r="BD41" s="413"/>
      <c r="BE41" s="413"/>
      <c r="BF41" s="414"/>
      <c r="BG41" s="411"/>
      <c r="BH41" s="412"/>
      <c r="BI41" s="413"/>
      <c r="BJ41" s="413"/>
      <c r="BK41" s="414"/>
      <c r="BL41" s="411"/>
      <c r="BM41" s="412"/>
      <c r="BN41" s="413"/>
      <c r="BO41" s="413"/>
      <c r="BP41" s="414"/>
      <c r="BQ41" s="411"/>
      <c r="BR41" s="412"/>
      <c r="BS41" s="413"/>
      <c r="BT41" s="413"/>
      <c r="BU41" s="414"/>
      <c r="BV41" s="411"/>
      <c r="BW41" s="412"/>
      <c r="BX41" s="413"/>
      <c r="BY41" s="413"/>
      <c r="BZ41" s="414"/>
      <c r="CA41" s="411"/>
      <c r="CB41" s="412"/>
      <c r="CC41" s="413"/>
      <c r="CD41" s="413"/>
      <c r="CE41" s="414"/>
      <c r="CF41" s="411"/>
      <c r="CG41" s="412"/>
      <c r="CH41" s="413"/>
      <c r="CI41" s="413"/>
      <c r="CJ41" s="414"/>
      <c r="CK41" s="411"/>
      <c r="CL41" s="412"/>
      <c r="CM41" s="413"/>
      <c r="CN41" s="413"/>
      <c r="CO41" s="414"/>
      <c r="CP41" s="411"/>
      <c r="CQ41" s="412"/>
      <c r="CR41" s="413"/>
      <c r="CS41" s="413"/>
      <c r="CT41" s="414"/>
      <c r="CU41" s="411"/>
      <c r="CV41" s="412"/>
      <c r="CW41" s="413"/>
      <c r="CX41" s="413"/>
      <c r="CY41" s="414"/>
      <c r="CZ41" s="411"/>
      <c r="DA41" s="412"/>
      <c r="DB41" s="413"/>
      <c r="DC41" s="413"/>
      <c r="DD41" s="414"/>
      <c r="DE41" s="411"/>
      <c r="DF41" s="412"/>
      <c r="DG41" s="413"/>
      <c r="DH41" s="413"/>
      <c r="DI41" s="414"/>
      <c r="DJ41" s="411"/>
      <c r="DK41" s="412"/>
      <c r="DL41" s="413"/>
      <c r="DM41" s="413"/>
      <c r="DN41" s="414"/>
      <c r="DO41" s="411"/>
      <c r="DP41" s="412"/>
      <c r="DQ41" s="413"/>
      <c r="DR41" s="413"/>
      <c r="DS41" s="414"/>
      <c r="DT41" s="411"/>
      <c r="DU41" s="412"/>
      <c r="DV41" s="413"/>
      <c r="DW41" s="413"/>
      <c r="DX41" s="414"/>
    </row>
    <row r="42" spans="2:128" ht="18" customHeight="1" x14ac:dyDescent="0.2">
      <c r="B42" s="682">
        <f t="shared" si="0"/>
        <v>0</v>
      </c>
      <c r="C42" s="683"/>
      <c r="D42" s="411"/>
      <c r="E42" s="412"/>
      <c r="F42" s="413"/>
      <c r="G42" s="413"/>
      <c r="H42" s="414"/>
      <c r="I42" s="411"/>
      <c r="J42" s="412"/>
      <c r="K42" s="413"/>
      <c r="L42" s="413"/>
      <c r="M42" s="414"/>
      <c r="N42" s="411"/>
      <c r="O42" s="412"/>
      <c r="P42" s="413"/>
      <c r="Q42" s="413"/>
      <c r="R42" s="414"/>
      <c r="S42" s="411"/>
      <c r="T42" s="412"/>
      <c r="U42" s="413"/>
      <c r="V42" s="413"/>
      <c r="W42" s="414"/>
      <c r="X42" s="411"/>
      <c r="Y42" s="412"/>
      <c r="Z42" s="413"/>
      <c r="AA42" s="413"/>
      <c r="AB42" s="414"/>
      <c r="AC42" s="411"/>
      <c r="AD42" s="412"/>
      <c r="AE42" s="413"/>
      <c r="AF42" s="413"/>
      <c r="AG42" s="414"/>
      <c r="AH42" s="411"/>
      <c r="AI42" s="412"/>
      <c r="AJ42" s="413"/>
      <c r="AK42" s="413"/>
      <c r="AL42" s="414"/>
      <c r="AM42" s="411"/>
      <c r="AN42" s="412"/>
      <c r="AO42" s="413"/>
      <c r="AP42" s="413"/>
      <c r="AQ42" s="414"/>
      <c r="AR42" s="411"/>
      <c r="AS42" s="412"/>
      <c r="AT42" s="413"/>
      <c r="AU42" s="413"/>
      <c r="AV42" s="414"/>
      <c r="AW42" s="411"/>
      <c r="AX42" s="412"/>
      <c r="AY42" s="413"/>
      <c r="AZ42" s="413"/>
      <c r="BA42" s="414"/>
      <c r="BB42" s="411"/>
      <c r="BC42" s="412"/>
      <c r="BD42" s="413"/>
      <c r="BE42" s="413"/>
      <c r="BF42" s="414"/>
      <c r="BG42" s="411"/>
      <c r="BH42" s="412"/>
      <c r="BI42" s="413"/>
      <c r="BJ42" s="413"/>
      <c r="BK42" s="414"/>
      <c r="BL42" s="411"/>
      <c r="BM42" s="412"/>
      <c r="BN42" s="413"/>
      <c r="BO42" s="413"/>
      <c r="BP42" s="414"/>
      <c r="BQ42" s="411"/>
      <c r="BR42" s="412"/>
      <c r="BS42" s="413"/>
      <c r="BT42" s="413"/>
      <c r="BU42" s="414"/>
      <c r="BV42" s="411"/>
      <c r="BW42" s="412"/>
      <c r="BX42" s="413"/>
      <c r="BY42" s="413"/>
      <c r="BZ42" s="414"/>
      <c r="CA42" s="411"/>
      <c r="CB42" s="412"/>
      <c r="CC42" s="413"/>
      <c r="CD42" s="413"/>
      <c r="CE42" s="414"/>
      <c r="CF42" s="411"/>
      <c r="CG42" s="412"/>
      <c r="CH42" s="413"/>
      <c r="CI42" s="413"/>
      <c r="CJ42" s="414"/>
      <c r="CK42" s="411"/>
      <c r="CL42" s="412"/>
      <c r="CM42" s="413"/>
      <c r="CN42" s="413"/>
      <c r="CO42" s="414"/>
      <c r="CP42" s="411"/>
      <c r="CQ42" s="412"/>
      <c r="CR42" s="413"/>
      <c r="CS42" s="413"/>
      <c r="CT42" s="414"/>
      <c r="CU42" s="411"/>
      <c r="CV42" s="412"/>
      <c r="CW42" s="413"/>
      <c r="CX42" s="413"/>
      <c r="CY42" s="414"/>
      <c r="CZ42" s="411"/>
      <c r="DA42" s="412"/>
      <c r="DB42" s="413"/>
      <c r="DC42" s="413"/>
      <c r="DD42" s="414"/>
      <c r="DE42" s="411"/>
      <c r="DF42" s="412"/>
      <c r="DG42" s="413"/>
      <c r="DH42" s="413"/>
      <c r="DI42" s="414"/>
      <c r="DJ42" s="411"/>
      <c r="DK42" s="412"/>
      <c r="DL42" s="413"/>
      <c r="DM42" s="413"/>
      <c r="DN42" s="414"/>
      <c r="DO42" s="411"/>
      <c r="DP42" s="412"/>
      <c r="DQ42" s="413"/>
      <c r="DR42" s="413"/>
      <c r="DS42" s="414"/>
      <c r="DT42" s="411"/>
      <c r="DU42" s="412"/>
      <c r="DV42" s="413"/>
      <c r="DW42" s="413"/>
      <c r="DX42" s="414"/>
    </row>
    <row r="43" spans="2:128" ht="18" customHeight="1" x14ac:dyDescent="0.2">
      <c r="B43" s="682">
        <f t="shared" si="0"/>
        <v>0</v>
      </c>
      <c r="C43" s="683"/>
      <c r="D43" s="411"/>
      <c r="E43" s="412"/>
      <c r="F43" s="413"/>
      <c r="G43" s="413"/>
      <c r="H43" s="414"/>
      <c r="I43" s="411"/>
      <c r="J43" s="412"/>
      <c r="K43" s="413"/>
      <c r="L43" s="413"/>
      <c r="M43" s="414"/>
      <c r="N43" s="411"/>
      <c r="O43" s="412"/>
      <c r="P43" s="413"/>
      <c r="Q43" s="413"/>
      <c r="R43" s="414"/>
      <c r="S43" s="411"/>
      <c r="T43" s="412"/>
      <c r="U43" s="413"/>
      <c r="V43" s="413"/>
      <c r="W43" s="414"/>
      <c r="X43" s="411"/>
      <c r="Y43" s="412"/>
      <c r="Z43" s="413"/>
      <c r="AA43" s="413"/>
      <c r="AB43" s="414"/>
      <c r="AC43" s="411"/>
      <c r="AD43" s="412"/>
      <c r="AE43" s="413"/>
      <c r="AF43" s="413"/>
      <c r="AG43" s="414"/>
      <c r="AH43" s="411"/>
      <c r="AI43" s="412"/>
      <c r="AJ43" s="413"/>
      <c r="AK43" s="413"/>
      <c r="AL43" s="414"/>
      <c r="AM43" s="411"/>
      <c r="AN43" s="412"/>
      <c r="AO43" s="413"/>
      <c r="AP43" s="413"/>
      <c r="AQ43" s="414"/>
      <c r="AR43" s="411"/>
      <c r="AS43" s="412"/>
      <c r="AT43" s="413"/>
      <c r="AU43" s="413"/>
      <c r="AV43" s="414"/>
      <c r="AW43" s="411"/>
      <c r="AX43" s="412"/>
      <c r="AY43" s="413"/>
      <c r="AZ43" s="413"/>
      <c r="BA43" s="414"/>
      <c r="BB43" s="411"/>
      <c r="BC43" s="412"/>
      <c r="BD43" s="413"/>
      <c r="BE43" s="413"/>
      <c r="BF43" s="414"/>
      <c r="BG43" s="411"/>
      <c r="BH43" s="412"/>
      <c r="BI43" s="413"/>
      <c r="BJ43" s="413"/>
      <c r="BK43" s="414"/>
      <c r="BL43" s="411"/>
      <c r="BM43" s="412"/>
      <c r="BN43" s="413"/>
      <c r="BO43" s="413"/>
      <c r="BP43" s="414"/>
      <c r="BQ43" s="411"/>
      <c r="BR43" s="412"/>
      <c r="BS43" s="413"/>
      <c r="BT43" s="413"/>
      <c r="BU43" s="414"/>
      <c r="BV43" s="411"/>
      <c r="BW43" s="412"/>
      <c r="BX43" s="413"/>
      <c r="BY43" s="413"/>
      <c r="BZ43" s="414"/>
      <c r="CA43" s="411"/>
      <c r="CB43" s="412"/>
      <c r="CC43" s="413"/>
      <c r="CD43" s="413"/>
      <c r="CE43" s="414"/>
      <c r="CF43" s="411"/>
      <c r="CG43" s="412"/>
      <c r="CH43" s="413"/>
      <c r="CI43" s="413"/>
      <c r="CJ43" s="414"/>
      <c r="CK43" s="411"/>
      <c r="CL43" s="412"/>
      <c r="CM43" s="413"/>
      <c r="CN43" s="413"/>
      <c r="CO43" s="414"/>
      <c r="CP43" s="411"/>
      <c r="CQ43" s="412"/>
      <c r="CR43" s="413"/>
      <c r="CS43" s="413"/>
      <c r="CT43" s="414"/>
      <c r="CU43" s="411"/>
      <c r="CV43" s="412"/>
      <c r="CW43" s="413"/>
      <c r="CX43" s="413"/>
      <c r="CY43" s="414"/>
      <c r="CZ43" s="411"/>
      <c r="DA43" s="412"/>
      <c r="DB43" s="413"/>
      <c r="DC43" s="413"/>
      <c r="DD43" s="414"/>
      <c r="DE43" s="411"/>
      <c r="DF43" s="412"/>
      <c r="DG43" s="413"/>
      <c r="DH43" s="413"/>
      <c r="DI43" s="414"/>
      <c r="DJ43" s="411"/>
      <c r="DK43" s="412"/>
      <c r="DL43" s="413"/>
      <c r="DM43" s="413"/>
      <c r="DN43" s="414"/>
      <c r="DO43" s="411"/>
      <c r="DP43" s="412"/>
      <c r="DQ43" s="413"/>
      <c r="DR43" s="413"/>
      <c r="DS43" s="414"/>
      <c r="DT43" s="411"/>
      <c r="DU43" s="412"/>
      <c r="DV43" s="413"/>
      <c r="DW43" s="413"/>
      <c r="DX43" s="414"/>
    </row>
    <row r="44" spans="2:128" ht="18" customHeight="1" x14ac:dyDescent="0.2">
      <c r="B44" s="682">
        <f t="shared" si="0"/>
        <v>0</v>
      </c>
      <c r="C44" s="683"/>
      <c r="D44" s="411"/>
      <c r="E44" s="412"/>
      <c r="F44" s="413"/>
      <c r="G44" s="413"/>
      <c r="H44" s="414"/>
      <c r="I44" s="411"/>
      <c r="J44" s="412"/>
      <c r="K44" s="413"/>
      <c r="L44" s="413"/>
      <c r="M44" s="414"/>
      <c r="N44" s="411"/>
      <c r="O44" s="412"/>
      <c r="P44" s="413"/>
      <c r="Q44" s="413"/>
      <c r="R44" s="414"/>
      <c r="S44" s="411"/>
      <c r="T44" s="412"/>
      <c r="U44" s="413"/>
      <c r="V44" s="413"/>
      <c r="W44" s="414"/>
      <c r="X44" s="411"/>
      <c r="Y44" s="412"/>
      <c r="Z44" s="413"/>
      <c r="AA44" s="413"/>
      <c r="AB44" s="414"/>
      <c r="AC44" s="411"/>
      <c r="AD44" s="412"/>
      <c r="AE44" s="413"/>
      <c r="AF44" s="413"/>
      <c r="AG44" s="414"/>
      <c r="AH44" s="411"/>
      <c r="AI44" s="412"/>
      <c r="AJ44" s="413"/>
      <c r="AK44" s="413"/>
      <c r="AL44" s="414"/>
      <c r="AM44" s="411"/>
      <c r="AN44" s="412"/>
      <c r="AO44" s="413"/>
      <c r="AP44" s="413"/>
      <c r="AQ44" s="414"/>
      <c r="AR44" s="411"/>
      <c r="AS44" s="412"/>
      <c r="AT44" s="413"/>
      <c r="AU44" s="413"/>
      <c r="AV44" s="414"/>
      <c r="AW44" s="411"/>
      <c r="AX44" s="412"/>
      <c r="AY44" s="413"/>
      <c r="AZ44" s="413"/>
      <c r="BA44" s="414"/>
      <c r="BB44" s="411"/>
      <c r="BC44" s="412"/>
      <c r="BD44" s="413"/>
      <c r="BE44" s="413"/>
      <c r="BF44" s="414"/>
      <c r="BG44" s="411"/>
      <c r="BH44" s="412"/>
      <c r="BI44" s="413"/>
      <c r="BJ44" s="413"/>
      <c r="BK44" s="414"/>
      <c r="BL44" s="411"/>
      <c r="BM44" s="412"/>
      <c r="BN44" s="413"/>
      <c r="BO44" s="413"/>
      <c r="BP44" s="414"/>
      <c r="BQ44" s="411"/>
      <c r="BR44" s="412"/>
      <c r="BS44" s="413"/>
      <c r="BT44" s="413"/>
      <c r="BU44" s="414"/>
      <c r="BV44" s="411"/>
      <c r="BW44" s="412"/>
      <c r="BX44" s="413"/>
      <c r="BY44" s="413"/>
      <c r="BZ44" s="414"/>
      <c r="CA44" s="411"/>
      <c r="CB44" s="412"/>
      <c r="CC44" s="413"/>
      <c r="CD44" s="413"/>
      <c r="CE44" s="414"/>
      <c r="CF44" s="411"/>
      <c r="CG44" s="412"/>
      <c r="CH44" s="413"/>
      <c r="CI44" s="413"/>
      <c r="CJ44" s="414"/>
      <c r="CK44" s="411"/>
      <c r="CL44" s="412"/>
      <c r="CM44" s="413"/>
      <c r="CN44" s="413"/>
      <c r="CO44" s="414"/>
      <c r="CP44" s="411"/>
      <c r="CQ44" s="412"/>
      <c r="CR44" s="413"/>
      <c r="CS44" s="413"/>
      <c r="CT44" s="414"/>
      <c r="CU44" s="411"/>
      <c r="CV44" s="412"/>
      <c r="CW44" s="413"/>
      <c r="CX44" s="413"/>
      <c r="CY44" s="414"/>
      <c r="CZ44" s="411"/>
      <c r="DA44" s="412"/>
      <c r="DB44" s="413"/>
      <c r="DC44" s="413"/>
      <c r="DD44" s="414"/>
      <c r="DE44" s="411"/>
      <c r="DF44" s="412"/>
      <c r="DG44" s="413"/>
      <c r="DH44" s="413"/>
      <c r="DI44" s="414"/>
      <c r="DJ44" s="411"/>
      <c r="DK44" s="412"/>
      <c r="DL44" s="413"/>
      <c r="DM44" s="413"/>
      <c r="DN44" s="414"/>
      <c r="DO44" s="411"/>
      <c r="DP44" s="412"/>
      <c r="DQ44" s="413"/>
      <c r="DR44" s="413"/>
      <c r="DS44" s="414"/>
      <c r="DT44" s="411"/>
      <c r="DU44" s="412"/>
      <c r="DV44" s="413"/>
      <c r="DW44" s="413"/>
      <c r="DX44" s="414"/>
    </row>
    <row r="45" spans="2:128" ht="18" customHeight="1" x14ac:dyDescent="0.2">
      <c r="B45" s="682">
        <f t="shared" si="0"/>
        <v>0</v>
      </c>
      <c r="C45" s="683"/>
      <c r="D45" s="411"/>
      <c r="E45" s="413"/>
      <c r="F45" s="413"/>
      <c r="G45" s="413"/>
      <c r="H45" s="414"/>
      <c r="I45" s="411"/>
      <c r="J45" s="413"/>
      <c r="K45" s="413"/>
      <c r="L45" s="413"/>
      <c r="M45" s="414"/>
      <c r="N45" s="411"/>
      <c r="O45" s="413"/>
      <c r="P45" s="413"/>
      <c r="Q45" s="413"/>
      <c r="R45" s="414"/>
      <c r="S45" s="411"/>
      <c r="T45" s="413"/>
      <c r="U45" s="413"/>
      <c r="V45" s="413"/>
      <c r="W45" s="414"/>
      <c r="X45" s="411"/>
      <c r="Y45" s="413"/>
      <c r="Z45" s="413"/>
      <c r="AA45" s="413"/>
      <c r="AB45" s="414"/>
      <c r="AC45" s="411"/>
      <c r="AD45" s="413"/>
      <c r="AE45" s="413"/>
      <c r="AF45" s="413"/>
      <c r="AG45" s="414"/>
      <c r="AH45" s="411"/>
      <c r="AI45" s="413"/>
      <c r="AJ45" s="413"/>
      <c r="AK45" s="413"/>
      <c r="AL45" s="414"/>
      <c r="AM45" s="411"/>
      <c r="AN45" s="413"/>
      <c r="AO45" s="413"/>
      <c r="AP45" s="413"/>
      <c r="AQ45" s="414"/>
      <c r="AR45" s="411"/>
      <c r="AS45" s="413"/>
      <c r="AT45" s="413"/>
      <c r="AU45" s="413"/>
      <c r="AV45" s="414"/>
      <c r="AW45" s="411"/>
      <c r="AX45" s="413"/>
      <c r="AY45" s="413"/>
      <c r="AZ45" s="413"/>
      <c r="BA45" s="414"/>
      <c r="BB45" s="411"/>
      <c r="BC45" s="413"/>
      <c r="BD45" s="413"/>
      <c r="BE45" s="413"/>
      <c r="BF45" s="414"/>
      <c r="BG45" s="411"/>
      <c r="BH45" s="413"/>
      <c r="BI45" s="413"/>
      <c r="BJ45" s="413"/>
      <c r="BK45" s="414"/>
      <c r="BL45" s="411"/>
      <c r="BM45" s="413"/>
      <c r="BN45" s="413"/>
      <c r="BO45" s="413"/>
      <c r="BP45" s="414"/>
      <c r="BQ45" s="411"/>
      <c r="BR45" s="413"/>
      <c r="BS45" s="413"/>
      <c r="BT45" s="413"/>
      <c r="BU45" s="414"/>
      <c r="BV45" s="411"/>
      <c r="BW45" s="413"/>
      <c r="BX45" s="413"/>
      <c r="BY45" s="413"/>
      <c r="BZ45" s="414"/>
      <c r="CA45" s="411"/>
      <c r="CB45" s="413"/>
      <c r="CC45" s="413"/>
      <c r="CD45" s="413"/>
      <c r="CE45" s="414"/>
      <c r="CF45" s="411"/>
      <c r="CG45" s="413"/>
      <c r="CH45" s="413"/>
      <c r="CI45" s="413"/>
      <c r="CJ45" s="414"/>
      <c r="CK45" s="411"/>
      <c r="CL45" s="413"/>
      <c r="CM45" s="413"/>
      <c r="CN45" s="413"/>
      <c r="CO45" s="414"/>
      <c r="CP45" s="411"/>
      <c r="CQ45" s="413"/>
      <c r="CR45" s="413"/>
      <c r="CS45" s="413"/>
      <c r="CT45" s="414"/>
      <c r="CU45" s="411"/>
      <c r="CV45" s="413"/>
      <c r="CW45" s="413"/>
      <c r="CX45" s="413"/>
      <c r="CY45" s="414"/>
      <c r="CZ45" s="411"/>
      <c r="DA45" s="413"/>
      <c r="DB45" s="413"/>
      <c r="DC45" s="413"/>
      <c r="DD45" s="414"/>
      <c r="DE45" s="411"/>
      <c r="DF45" s="413"/>
      <c r="DG45" s="413"/>
      <c r="DH45" s="413"/>
      <c r="DI45" s="414"/>
      <c r="DJ45" s="411"/>
      <c r="DK45" s="413"/>
      <c r="DL45" s="413"/>
      <c r="DM45" s="413"/>
      <c r="DN45" s="414"/>
      <c r="DO45" s="411"/>
      <c r="DP45" s="413"/>
      <c r="DQ45" s="413"/>
      <c r="DR45" s="413"/>
      <c r="DS45" s="414"/>
      <c r="DT45" s="411"/>
      <c r="DU45" s="413"/>
      <c r="DV45" s="413"/>
      <c r="DW45" s="413"/>
      <c r="DX45" s="414"/>
    </row>
    <row r="46" spans="2:128" ht="18" customHeight="1" x14ac:dyDescent="0.2">
      <c r="B46" s="682">
        <f t="shared" si="0"/>
        <v>0</v>
      </c>
      <c r="C46" s="683"/>
      <c r="D46" s="411"/>
      <c r="E46" s="413"/>
      <c r="F46" s="413"/>
      <c r="G46" s="413"/>
      <c r="H46" s="414"/>
      <c r="I46" s="411"/>
      <c r="J46" s="413"/>
      <c r="K46" s="413"/>
      <c r="L46" s="413"/>
      <c r="M46" s="414"/>
      <c r="N46" s="411"/>
      <c r="O46" s="413"/>
      <c r="P46" s="413"/>
      <c r="Q46" s="413"/>
      <c r="R46" s="414"/>
      <c r="S46" s="411"/>
      <c r="T46" s="413"/>
      <c r="U46" s="413"/>
      <c r="V46" s="413"/>
      <c r="W46" s="414"/>
      <c r="X46" s="411"/>
      <c r="Y46" s="413"/>
      <c r="Z46" s="413"/>
      <c r="AA46" s="413"/>
      <c r="AB46" s="414"/>
      <c r="AC46" s="411"/>
      <c r="AD46" s="413"/>
      <c r="AE46" s="413"/>
      <c r="AF46" s="413"/>
      <c r="AG46" s="414"/>
      <c r="AH46" s="411"/>
      <c r="AI46" s="413"/>
      <c r="AJ46" s="413"/>
      <c r="AK46" s="413"/>
      <c r="AL46" s="414"/>
      <c r="AM46" s="411"/>
      <c r="AN46" s="413"/>
      <c r="AO46" s="413"/>
      <c r="AP46" s="413"/>
      <c r="AQ46" s="414"/>
      <c r="AR46" s="411"/>
      <c r="AS46" s="413"/>
      <c r="AT46" s="413"/>
      <c r="AU46" s="413"/>
      <c r="AV46" s="414"/>
      <c r="AW46" s="411"/>
      <c r="AX46" s="413"/>
      <c r="AY46" s="413"/>
      <c r="AZ46" s="413"/>
      <c r="BA46" s="414"/>
      <c r="BB46" s="411"/>
      <c r="BC46" s="413"/>
      <c r="BD46" s="413"/>
      <c r="BE46" s="413"/>
      <c r="BF46" s="414"/>
      <c r="BG46" s="411"/>
      <c r="BH46" s="413"/>
      <c r="BI46" s="413"/>
      <c r="BJ46" s="413"/>
      <c r="BK46" s="414"/>
      <c r="BL46" s="411"/>
      <c r="BM46" s="413"/>
      <c r="BN46" s="413"/>
      <c r="BO46" s="413"/>
      <c r="BP46" s="414"/>
      <c r="BQ46" s="411"/>
      <c r="BR46" s="413"/>
      <c r="BS46" s="413"/>
      <c r="BT46" s="413"/>
      <c r="BU46" s="414"/>
      <c r="BV46" s="411"/>
      <c r="BW46" s="413"/>
      <c r="BX46" s="413"/>
      <c r="BY46" s="413"/>
      <c r="BZ46" s="414"/>
      <c r="CA46" s="411"/>
      <c r="CB46" s="413"/>
      <c r="CC46" s="413"/>
      <c r="CD46" s="413"/>
      <c r="CE46" s="414"/>
      <c r="CF46" s="411"/>
      <c r="CG46" s="413"/>
      <c r="CH46" s="413"/>
      <c r="CI46" s="413"/>
      <c r="CJ46" s="414"/>
      <c r="CK46" s="411"/>
      <c r="CL46" s="413"/>
      <c r="CM46" s="413"/>
      <c r="CN46" s="413"/>
      <c r="CO46" s="414"/>
      <c r="CP46" s="411"/>
      <c r="CQ46" s="413"/>
      <c r="CR46" s="413"/>
      <c r="CS46" s="413"/>
      <c r="CT46" s="414"/>
      <c r="CU46" s="411"/>
      <c r="CV46" s="413"/>
      <c r="CW46" s="413"/>
      <c r="CX46" s="413"/>
      <c r="CY46" s="414"/>
      <c r="CZ46" s="411"/>
      <c r="DA46" s="413"/>
      <c r="DB46" s="413"/>
      <c r="DC46" s="413"/>
      <c r="DD46" s="414"/>
      <c r="DE46" s="411"/>
      <c r="DF46" s="413"/>
      <c r="DG46" s="413"/>
      <c r="DH46" s="413"/>
      <c r="DI46" s="414"/>
      <c r="DJ46" s="411"/>
      <c r="DK46" s="413"/>
      <c r="DL46" s="413"/>
      <c r="DM46" s="413"/>
      <c r="DN46" s="414"/>
      <c r="DO46" s="411"/>
      <c r="DP46" s="413"/>
      <c r="DQ46" s="413"/>
      <c r="DR46" s="413"/>
      <c r="DS46" s="414"/>
      <c r="DT46" s="411"/>
      <c r="DU46" s="413"/>
      <c r="DV46" s="413"/>
      <c r="DW46" s="413"/>
      <c r="DX46" s="414"/>
    </row>
    <row r="47" spans="2:128" ht="18" customHeight="1" x14ac:dyDescent="0.2">
      <c r="B47" s="682">
        <f t="shared" si="0"/>
        <v>0</v>
      </c>
      <c r="C47" s="683"/>
      <c r="D47" s="411"/>
      <c r="E47" s="413"/>
      <c r="F47" s="413"/>
      <c r="G47" s="413"/>
      <c r="H47" s="414"/>
      <c r="I47" s="411"/>
      <c r="J47" s="413"/>
      <c r="K47" s="413"/>
      <c r="L47" s="413"/>
      <c r="M47" s="414"/>
      <c r="N47" s="411"/>
      <c r="O47" s="413"/>
      <c r="P47" s="413"/>
      <c r="Q47" s="413"/>
      <c r="R47" s="414"/>
      <c r="S47" s="411"/>
      <c r="T47" s="413"/>
      <c r="U47" s="413"/>
      <c r="V47" s="413"/>
      <c r="W47" s="414"/>
      <c r="X47" s="411"/>
      <c r="Y47" s="413"/>
      <c r="Z47" s="413"/>
      <c r="AA47" s="413"/>
      <c r="AB47" s="414"/>
      <c r="AC47" s="411"/>
      <c r="AD47" s="413"/>
      <c r="AE47" s="413"/>
      <c r="AF47" s="413"/>
      <c r="AG47" s="414"/>
      <c r="AH47" s="411"/>
      <c r="AI47" s="413"/>
      <c r="AJ47" s="413"/>
      <c r="AK47" s="413"/>
      <c r="AL47" s="414"/>
      <c r="AM47" s="411"/>
      <c r="AN47" s="413"/>
      <c r="AO47" s="413"/>
      <c r="AP47" s="413"/>
      <c r="AQ47" s="414"/>
      <c r="AR47" s="411"/>
      <c r="AS47" s="413"/>
      <c r="AT47" s="413"/>
      <c r="AU47" s="413"/>
      <c r="AV47" s="414"/>
      <c r="AW47" s="411"/>
      <c r="AX47" s="413"/>
      <c r="AY47" s="413"/>
      <c r="AZ47" s="413"/>
      <c r="BA47" s="414"/>
      <c r="BB47" s="411"/>
      <c r="BC47" s="413"/>
      <c r="BD47" s="413"/>
      <c r="BE47" s="413"/>
      <c r="BF47" s="414"/>
      <c r="BG47" s="411"/>
      <c r="BH47" s="413"/>
      <c r="BI47" s="413"/>
      <c r="BJ47" s="413"/>
      <c r="BK47" s="414"/>
      <c r="BL47" s="411"/>
      <c r="BM47" s="413"/>
      <c r="BN47" s="413"/>
      <c r="BO47" s="413"/>
      <c r="BP47" s="414"/>
      <c r="BQ47" s="411"/>
      <c r="BR47" s="413"/>
      <c r="BS47" s="413"/>
      <c r="BT47" s="413"/>
      <c r="BU47" s="414"/>
      <c r="BV47" s="411"/>
      <c r="BW47" s="413"/>
      <c r="BX47" s="413"/>
      <c r="BY47" s="413"/>
      <c r="BZ47" s="414"/>
      <c r="CA47" s="411"/>
      <c r="CB47" s="413"/>
      <c r="CC47" s="413"/>
      <c r="CD47" s="413"/>
      <c r="CE47" s="414"/>
      <c r="CF47" s="411"/>
      <c r="CG47" s="413"/>
      <c r="CH47" s="413"/>
      <c r="CI47" s="413"/>
      <c r="CJ47" s="414"/>
      <c r="CK47" s="411"/>
      <c r="CL47" s="413"/>
      <c r="CM47" s="413"/>
      <c r="CN47" s="413"/>
      <c r="CO47" s="414"/>
      <c r="CP47" s="411"/>
      <c r="CQ47" s="413"/>
      <c r="CR47" s="413"/>
      <c r="CS47" s="413"/>
      <c r="CT47" s="414"/>
      <c r="CU47" s="411"/>
      <c r="CV47" s="413"/>
      <c r="CW47" s="413"/>
      <c r="CX47" s="413"/>
      <c r="CY47" s="414"/>
      <c r="CZ47" s="411"/>
      <c r="DA47" s="413"/>
      <c r="DB47" s="413"/>
      <c r="DC47" s="413"/>
      <c r="DD47" s="414"/>
      <c r="DE47" s="411"/>
      <c r="DF47" s="413"/>
      <c r="DG47" s="413"/>
      <c r="DH47" s="413"/>
      <c r="DI47" s="414"/>
      <c r="DJ47" s="411"/>
      <c r="DK47" s="413"/>
      <c r="DL47" s="413"/>
      <c r="DM47" s="413"/>
      <c r="DN47" s="414"/>
      <c r="DO47" s="411"/>
      <c r="DP47" s="413"/>
      <c r="DQ47" s="413"/>
      <c r="DR47" s="413"/>
      <c r="DS47" s="414"/>
      <c r="DT47" s="411"/>
      <c r="DU47" s="413"/>
      <c r="DV47" s="413"/>
      <c r="DW47" s="413"/>
      <c r="DX47" s="414"/>
    </row>
    <row r="48" spans="2:128" ht="18" customHeight="1" x14ac:dyDescent="0.2">
      <c r="B48" s="682">
        <f t="shared" si="0"/>
        <v>0</v>
      </c>
      <c r="C48" s="683"/>
      <c r="D48" s="411"/>
      <c r="E48" s="413"/>
      <c r="F48" s="413"/>
      <c r="G48" s="413"/>
      <c r="H48" s="414"/>
      <c r="I48" s="411"/>
      <c r="J48" s="413"/>
      <c r="K48" s="413"/>
      <c r="L48" s="413"/>
      <c r="M48" s="414"/>
      <c r="N48" s="411"/>
      <c r="O48" s="413"/>
      <c r="P48" s="413"/>
      <c r="Q48" s="413"/>
      <c r="R48" s="414"/>
      <c r="S48" s="411"/>
      <c r="T48" s="413"/>
      <c r="U48" s="413"/>
      <c r="V48" s="413"/>
      <c r="W48" s="414"/>
      <c r="X48" s="411"/>
      <c r="Y48" s="413"/>
      <c r="Z48" s="413"/>
      <c r="AA48" s="413"/>
      <c r="AB48" s="414"/>
      <c r="AC48" s="411"/>
      <c r="AD48" s="413"/>
      <c r="AE48" s="413"/>
      <c r="AF48" s="413"/>
      <c r="AG48" s="414"/>
      <c r="AH48" s="411"/>
      <c r="AI48" s="413"/>
      <c r="AJ48" s="413"/>
      <c r="AK48" s="413"/>
      <c r="AL48" s="414"/>
      <c r="AM48" s="411"/>
      <c r="AN48" s="413"/>
      <c r="AO48" s="413"/>
      <c r="AP48" s="413"/>
      <c r="AQ48" s="414"/>
      <c r="AR48" s="411"/>
      <c r="AS48" s="413"/>
      <c r="AT48" s="413"/>
      <c r="AU48" s="413"/>
      <c r="AV48" s="414"/>
      <c r="AW48" s="411"/>
      <c r="AX48" s="413"/>
      <c r="AY48" s="413"/>
      <c r="AZ48" s="413"/>
      <c r="BA48" s="414"/>
      <c r="BB48" s="411"/>
      <c r="BC48" s="413"/>
      <c r="BD48" s="413"/>
      <c r="BE48" s="413"/>
      <c r="BF48" s="414"/>
      <c r="BG48" s="411"/>
      <c r="BH48" s="413"/>
      <c r="BI48" s="413"/>
      <c r="BJ48" s="413"/>
      <c r="BK48" s="414"/>
      <c r="BL48" s="411"/>
      <c r="BM48" s="413"/>
      <c r="BN48" s="413"/>
      <c r="BO48" s="413"/>
      <c r="BP48" s="414"/>
      <c r="BQ48" s="411"/>
      <c r="BR48" s="413"/>
      <c r="BS48" s="413"/>
      <c r="BT48" s="413"/>
      <c r="BU48" s="414"/>
      <c r="BV48" s="411"/>
      <c r="BW48" s="413"/>
      <c r="BX48" s="413"/>
      <c r="BY48" s="413"/>
      <c r="BZ48" s="414"/>
      <c r="CA48" s="411"/>
      <c r="CB48" s="413"/>
      <c r="CC48" s="413"/>
      <c r="CD48" s="413"/>
      <c r="CE48" s="414"/>
      <c r="CF48" s="411"/>
      <c r="CG48" s="413"/>
      <c r="CH48" s="413"/>
      <c r="CI48" s="413"/>
      <c r="CJ48" s="414"/>
      <c r="CK48" s="411"/>
      <c r="CL48" s="413"/>
      <c r="CM48" s="413"/>
      <c r="CN48" s="413"/>
      <c r="CO48" s="414"/>
      <c r="CP48" s="411"/>
      <c r="CQ48" s="413"/>
      <c r="CR48" s="413"/>
      <c r="CS48" s="413"/>
      <c r="CT48" s="414"/>
      <c r="CU48" s="411"/>
      <c r="CV48" s="413"/>
      <c r="CW48" s="413"/>
      <c r="CX48" s="413"/>
      <c r="CY48" s="414"/>
      <c r="CZ48" s="411"/>
      <c r="DA48" s="413"/>
      <c r="DB48" s="413"/>
      <c r="DC48" s="413"/>
      <c r="DD48" s="414"/>
      <c r="DE48" s="411"/>
      <c r="DF48" s="413"/>
      <c r="DG48" s="413"/>
      <c r="DH48" s="413"/>
      <c r="DI48" s="414"/>
      <c r="DJ48" s="411"/>
      <c r="DK48" s="413"/>
      <c r="DL48" s="413"/>
      <c r="DM48" s="413"/>
      <c r="DN48" s="414"/>
      <c r="DO48" s="411"/>
      <c r="DP48" s="413"/>
      <c r="DQ48" s="413"/>
      <c r="DR48" s="413"/>
      <c r="DS48" s="414"/>
      <c r="DT48" s="411"/>
      <c r="DU48" s="413"/>
      <c r="DV48" s="413"/>
      <c r="DW48" s="413"/>
      <c r="DX48" s="414"/>
    </row>
    <row r="49" spans="2:128" ht="18" customHeight="1" x14ac:dyDescent="0.2">
      <c r="B49" s="682">
        <f t="shared" si="0"/>
        <v>0</v>
      </c>
      <c r="C49" s="683"/>
      <c r="D49" s="411"/>
      <c r="E49" s="413"/>
      <c r="F49" s="413"/>
      <c r="G49" s="413"/>
      <c r="H49" s="414"/>
      <c r="I49" s="411"/>
      <c r="J49" s="413"/>
      <c r="K49" s="413"/>
      <c r="L49" s="413"/>
      <c r="M49" s="414"/>
      <c r="N49" s="411"/>
      <c r="O49" s="413"/>
      <c r="P49" s="413"/>
      <c r="Q49" s="413"/>
      <c r="R49" s="414"/>
      <c r="S49" s="411"/>
      <c r="T49" s="413"/>
      <c r="U49" s="413"/>
      <c r="V49" s="413"/>
      <c r="W49" s="414"/>
      <c r="X49" s="411"/>
      <c r="Y49" s="413"/>
      <c r="Z49" s="413"/>
      <c r="AA49" s="413"/>
      <c r="AB49" s="414"/>
      <c r="AC49" s="411"/>
      <c r="AD49" s="413"/>
      <c r="AE49" s="413"/>
      <c r="AF49" s="413"/>
      <c r="AG49" s="414"/>
      <c r="AH49" s="411"/>
      <c r="AI49" s="413"/>
      <c r="AJ49" s="413"/>
      <c r="AK49" s="413"/>
      <c r="AL49" s="414"/>
      <c r="AM49" s="411"/>
      <c r="AN49" s="413"/>
      <c r="AO49" s="413"/>
      <c r="AP49" s="413"/>
      <c r="AQ49" s="414"/>
      <c r="AR49" s="411"/>
      <c r="AS49" s="413"/>
      <c r="AT49" s="413"/>
      <c r="AU49" s="413"/>
      <c r="AV49" s="414"/>
      <c r="AW49" s="411"/>
      <c r="AX49" s="413"/>
      <c r="AY49" s="413"/>
      <c r="AZ49" s="413"/>
      <c r="BA49" s="414"/>
      <c r="BB49" s="411"/>
      <c r="BC49" s="413"/>
      <c r="BD49" s="413"/>
      <c r="BE49" s="413"/>
      <c r="BF49" s="414"/>
      <c r="BG49" s="411"/>
      <c r="BH49" s="413"/>
      <c r="BI49" s="413"/>
      <c r="BJ49" s="413"/>
      <c r="BK49" s="414"/>
      <c r="BL49" s="411"/>
      <c r="BM49" s="413"/>
      <c r="BN49" s="413"/>
      <c r="BO49" s="413"/>
      <c r="BP49" s="414"/>
      <c r="BQ49" s="411"/>
      <c r="BR49" s="413"/>
      <c r="BS49" s="413"/>
      <c r="BT49" s="413"/>
      <c r="BU49" s="414"/>
      <c r="BV49" s="411"/>
      <c r="BW49" s="413"/>
      <c r="BX49" s="413"/>
      <c r="BY49" s="413"/>
      <c r="BZ49" s="414"/>
      <c r="CA49" s="411"/>
      <c r="CB49" s="413"/>
      <c r="CC49" s="413"/>
      <c r="CD49" s="413"/>
      <c r="CE49" s="414"/>
      <c r="CF49" s="411"/>
      <c r="CG49" s="413"/>
      <c r="CH49" s="413"/>
      <c r="CI49" s="413"/>
      <c r="CJ49" s="414"/>
      <c r="CK49" s="411"/>
      <c r="CL49" s="413"/>
      <c r="CM49" s="413"/>
      <c r="CN49" s="413"/>
      <c r="CO49" s="414"/>
      <c r="CP49" s="411"/>
      <c r="CQ49" s="413"/>
      <c r="CR49" s="413"/>
      <c r="CS49" s="413"/>
      <c r="CT49" s="414"/>
      <c r="CU49" s="411"/>
      <c r="CV49" s="413"/>
      <c r="CW49" s="413"/>
      <c r="CX49" s="413"/>
      <c r="CY49" s="414"/>
      <c r="CZ49" s="411"/>
      <c r="DA49" s="413"/>
      <c r="DB49" s="413"/>
      <c r="DC49" s="413"/>
      <c r="DD49" s="414"/>
      <c r="DE49" s="411"/>
      <c r="DF49" s="413"/>
      <c r="DG49" s="413"/>
      <c r="DH49" s="413"/>
      <c r="DI49" s="414"/>
      <c r="DJ49" s="411"/>
      <c r="DK49" s="413"/>
      <c r="DL49" s="413"/>
      <c r="DM49" s="413"/>
      <c r="DN49" s="414"/>
      <c r="DO49" s="411"/>
      <c r="DP49" s="413"/>
      <c r="DQ49" s="413"/>
      <c r="DR49" s="413"/>
      <c r="DS49" s="414"/>
      <c r="DT49" s="411"/>
      <c r="DU49" s="413"/>
      <c r="DV49" s="413"/>
      <c r="DW49" s="413"/>
      <c r="DX49" s="414"/>
    </row>
    <row r="50" spans="2:128" ht="18" customHeight="1" thickBot="1" x14ac:dyDescent="0.25">
      <c r="B50" s="702">
        <f t="shared" si="0"/>
        <v>0</v>
      </c>
      <c r="C50" s="703"/>
      <c r="D50" s="415"/>
      <c r="E50" s="416"/>
      <c r="F50" s="416"/>
      <c r="G50" s="416"/>
      <c r="H50" s="417"/>
      <c r="I50" s="415"/>
      <c r="J50" s="416"/>
      <c r="K50" s="416"/>
      <c r="L50" s="416"/>
      <c r="M50" s="417"/>
      <c r="N50" s="415"/>
      <c r="O50" s="416"/>
      <c r="P50" s="416"/>
      <c r="Q50" s="416"/>
      <c r="R50" s="417"/>
      <c r="S50" s="415"/>
      <c r="T50" s="416"/>
      <c r="U50" s="416"/>
      <c r="V50" s="416"/>
      <c r="W50" s="417"/>
      <c r="X50" s="415"/>
      <c r="Y50" s="416"/>
      <c r="Z50" s="416"/>
      <c r="AA50" s="416"/>
      <c r="AB50" s="417"/>
      <c r="AC50" s="415"/>
      <c r="AD50" s="416"/>
      <c r="AE50" s="416"/>
      <c r="AF50" s="416"/>
      <c r="AG50" s="417"/>
      <c r="AH50" s="415"/>
      <c r="AI50" s="416"/>
      <c r="AJ50" s="416"/>
      <c r="AK50" s="416"/>
      <c r="AL50" s="417"/>
      <c r="AM50" s="415"/>
      <c r="AN50" s="416"/>
      <c r="AO50" s="416"/>
      <c r="AP50" s="416"/>
      <c r="AQ50" s="417"/>
      <c r="AR50" s="415"/>
      <c r="AS50" s="416"/>
      <c r="AT50" s="416"/>
      <c r="AU50" s="416"/>
      <c r="AV50" s="417"/>
      <c r="AW50" s="415"/>
      <c r="AX50" s="416"/>
      <c r="AY50" s="416"/>
      <c r="AZ50" s="416"/>
      <c r="BA50" s="417"/>
      <c r="BB50" s="415"/>
      <c r="BC50" s="416"/>
      <c r="BD50" s="416"/>
      <c r="BE50" s="416"/>
      <c r="BF50" s="417"/>
      <c r="BG50" s="415"/>
      <c r="BH50" s="416"/>
      <c r="BI50" s="416"/>
      <c r="BJ50" s="416"/>
      <c r="BK50" s="417"/>
      <c r="BL50" s="415"/>
      <c r="BM50" s="416"/>
      <c r="BN50" s="416"/>
      <c r="BO50" s="416"/>
      <c r="BP50" s="417"/>
      <c r="BQ50" s="415"/>
      <c r="BR50" s="416"/>
      <c r="BS50" s="416"/>
      <c r="BT50" s="416"/>
      <c r="BU50" s="417"/>
      <c r="BV50" s="415"/>
      <c r="BW50" s="416"/>
      <c r="BX50" s="416"/>
      <c r="BY50" s="416"/>
      <c r="BZ50" s="417"/>
      <c r="CA50" s="415"/>
      <c r="CB50" s="416"/>
      <c r="CC50" s="416"/>
      <c r="CD50" s="416"/>
      <c r="CE50" s="417"/>
      <c r="CF50" s="415"/>
      <c r="CG50" s="416"/>
      <c r="CH50" s="416"/>
      <c r="CI50" s="416"/>
      <c r="CJ50" s="417"/>
      <c r="CK50" s="415"/>
      <c r="CL50" s="416"/>
      <c r="CM50" s="416"/>
      <c r="CN50" s="416"/>
      <c r="CO50" s="417"/>
      <c r="CP50" s="415"/>
      <c r="CQ50" s="416"/>
      <c r="CR50" s="416"/>
      <c r="CS50" s="416"/>
      <c r="CT50" s="417"/>
      <c r="CU50" s="415"/>
      <c r="CV50" s="416"/>
      <c r="CW50" s="416"/>
      <c r="CX50" s="416"/>
      <c r="CY50" s="417"/>
      <c r="CZ50" s="415"/>
      <c r="DA50" s="416"/>
      <c r="DB50" s="416"/>
      <c r="DC50" s="416"/>
      <c r="DD50" s="417"/>
      <c r="DE50" s="415"/>
      <c r="DF50" s="416"/>
      <c r="DG50" s="416"/>
      <c r="DH50" s="416"/>
      <c r="DI50" s="417"/>
      <c r="DJ50" s="415"/>
      <c r="DK50" s="416"/>
      <c r="DL50" s="416"/>
      <c r="DM50" s="416"/>
      <c r="DN50" s="417"/>
      <c r="DO50" s="415"/>
      <c r="DP50" s="416"/>
      <c r="DQ50" s="416"/>
      <c r="DR50" s="416"/>
      <c r="DS50" s="417"/>
      <c r="DT50" s="415"/>
      <c r="DU50" s="416"/>
      <c r="DV50" s="416"/>
      <c r="DW50" s="416"/>
      <c r="DX50" s="417"/>
    </row>
    <row r="51" spans="2:128" ht="39.75" customHeight="1" thickBot="1" x14ac:dyDescent="0.25">
      <c r="B51" s="704" t="s">
        <v>341</v>
      </c>
      <c r="C51" s="705"/>
      <c r="D51" s="699"/>
      <c r="E51" s="700"/>
      <c r="F51" s="700"/>
      <c r="G51" s="700"/>
      <c r="H51" s="701"/>
      <c r="I51" s="699"/>
      <c r="J51" s="700"/>
      <c r="K51" s="700"/>
      <c r="L51" s="700"/>
      <c r="M51" s="701"/>
      <c r="N51" s="699"/>
      <c r="O51" s="700"/>
      <c r="P51" s="700"/>
      <c r="Q51" s="700"/>
      <c r="R51" s="701"/>
      <c r="S51" s="699"/>
      <c r="T51" s="700"/>
      <c r="U51" s="700"/>
      <c r="V51" s="700"/>
      <c r="W51" s="701"/>
      <c r="X51" s="699"/>
      <c r="Y51" s="700"/>
      <c r="Z51" s="700"/>
      <c r="AA51" s="700"/>
      <c r="AB51" s="701"/>
      <c r="AC51" s="699"/>
      <c r="AD51" s="700"/>
      <c r="AE51" s="700"/>
      <c r="AF51" s="700"/>
      <c r="AG51" s="701"/>
      <c r="AH51" s="699"/>
      <c r="AI51" s="700"/>
      <c r="AJ51" s="700"/>
      <c r="AK51" s="700"/>
      <c r="AL51" s="701"/>
      <c r="AM51" s="699"/>
      <c r="AN51" s="700"/>
      <c r="AO51" s="700"/>
      <c r="AP51" s="700"/>
      <c r="AQ51" s="701"/>
      <c r="AR51" s="699"/>
      <c r="AS51" s="700"/>
      <c r="AT51" s="700"/>
      <c r="AU51" s="700"/>
      <c r="AV51" s="701"/>
      <c r="AW51" s="699"/>
      <c r="AX51" s="700"/>
      <c r="AY51" s="700"/>
      <c r="AZ51" s="700"/>
      <c r="BA51" s="701"/>
      <c r="BB51" s="699"/>
      <c r="BC51" s="700"/>
      <c r="BD51" s="700"/>
      <c r="BE51" s="700"/>
      <c r="BF51" s="701"/>
      <c r="BG51" s="699"/>
      <c r="BH51" s="700"/>
      <c r="BI51" s="700"/>
      <c r="BJ51" s="700"/>
      <c r="BK51" s="701"/>
      <c r="BL51" s="699"/>
      <c r="BM51" s="700"/>
      <c r="BN51" s="700"/>
      <c r="BO51" s="700"/>
      <c r="BP51" s="701"/>
      <c r="BQ51" s="699"/>
      <c r="BR51" s="700"/>
      <c r="BS51" s="700"/>
      <c r="BT51" s="700"/>
      <c r="BU51" s="701"/>
      <c r="BV51" s="699"/>
      <c r="BW51" s="700"/>
      <c r="BX51" s="700"/>
      <c r="BY51" s="700"/>
      <c r="BZ51" s="701"/>
      <c r="CA51" s="699"/>
      <c r="CB51" s="700"/>
      <c r="CC51" s="700"/>
      <c r="CD51" s="700"/>
      <c r="CE51" s="701"/>
      <c r="CF51" s="699"/>
      <c r="CG51" s="700"/>
      <c r="CH51" s="700"/>
      <c r="CI51" s="700"/>
      <c r="CJ51" s="701"/>
      <c r="CK51" s="699"/>
      <c r="CL51" s="700"/>
      <c r="CM51" s="700"/>
      <c r="CN51" s="700"/>
      <c r="CO51" s="701"/>
      <c r="CP51" s="699"/>
      <c r="CQ51" s="700"/>
      <c r="CR51" s="700"/>
      <c r="CS51" s="700"/>
      <c r="CT51" s="701"/>
      <c r="CU51" s="699"/>
      <c r="CV51" s="700"/>
      <c r="CW51" s="700"/>
      <c r="CX51" s="700"/>
      <c r="CY51" s="701"/>
      <c r="CZ51" s="699"/>
      <c r="DA51" s="700"/>
      <c r="DB51" s="700"/>
      <c r="DC51" s="700"/>
      <c r="DD51" s="701"/>
      <c r="DE51" s="699"/>
      <c r="DF51" s="700"/>
      <c r="DG51" s="700"/>
      <c r="DH51" s="700"/>
      <c r="DI51" s="701"/>
      <c r="DJ51" s="699"/>
      <c r="DK51" s="700"/>
      <c r="DL51" s="700"/>
      <c r="DM51" s="700"/>
      <c r="DN51" s="701"/>
      <c r="DO51" s="699"/>
      <c r="DP51" s="700"/>
      <c r="DQ51" s="700"/>
      <c r="DR51" s="700"/>
      <c r="DS51" s="701"/>
      <c r="DT51" s="699"/>
      <c r="DU51" s="700"/>
      <c r="DV51" s="700"/>
      <c r="DW51" s="700"/>
      <c r="DX51" s="701"/>
    </row>
  </sheetData>
  <sheetProtection password="C560" sheet="1" objects="1" scenarios="1" formatCells="0" formatColumns="0" formatRows="0" sort="0" autoFilter="0"/>
  <mergeCells count="294">
    <mergeCell ref="DT33:DX33"/>
    <mergeCell ref="DT51:DX51"/>
    <mergeCell ref="DO33:DS33"/>
    <mergeCell ref="DO51:DS51"/>
    <mergeCell ref="DT7:DX7"/>
    <mergeCell ref="DT8:DX8"/>
    <mergeCell ref="DT9:DX9"/>
    <mergeCell ref="DT10:DX10"/>
    <mergeCell ref="DT28:DX28"/>
    <mergeCell ref="DT30:DX30"/>
    <mergeCell ref="DT31:DX31"/>
    <mergeCell ref="DT32:DX32"/>
    <mergeCell ref="DJ51:DN51"/>
    <mergeCell ref="DO7:DS7"/>
    <mergeCell ref="DO8:DS8"/>
    <mergeCell ref="DO9:DS9"/>
    <mergeCell ref="DO10:DS10"/>
    <mergeCell ref="DO28:DS28"/>
    <mergeCell ref="DO30:DS30"/>
    <mergeCell ref="DO31:DS31"/>
    <mergeCell ref="DO32:DS32"/>
    <mergeCell ref="DJ7:DN7"/>
    <mergeCell ref="DJ8:DN8"/>
    <mergeCell ref="DJ9:DN9"/>
    <mergeCell ref="DJ10:DN10"/>
    <mergeCell ref="DJ28:DN28"/>
    <mergeCell ref="DJ30:DN30"/>
    <mergeCell ref="DJ31:DN31"/>
    <mergeCell ref="DJ32:DN32"/>
    <mergeCell ref="DJ33:DN33"/>
    <mergeCell ref="CZ51:DD51"/>
    <mergeCell ref="DE7:DI7"/>
    <mergeCell ref="DE8:DI8"/>
    <mergeCell ref="DE9:DI9"/>
    <mergeCell ref="DE10:DI10"/>
    <mergeCell ref="DE28:DI28"/>
    <mergeCell ref="DE30:DI30"/>
    <mergeCell ref="DE31:DI31"/>
    <mergeCell ref="DE32:DI32"/>
    <mergeCell ref="DE33:DI33"/>
    <mergeCell ref="DE51:DI51"/>
    <mergeCell ref="CZ7:DD7"/>
    <mergeCell ref="CZ8:DD8"/>
    <mergeCell ref="CZ9:DD9"/>
    <mergeCell ref="CZ10:DD10"/>
    <mergeCell ref="CZ28:DD28"/>
    <mergeCell ref="CZ30:DD30"/>
    <mergeCell ref="CZ31:DD31"/>
    <mergeCell ref="CZ32:DD32"/>
    <mergeCell ref="CZ33:DD33"/>
    <mergeCell ref="CP51:CT51"/>
    <mergeCell ref="CU7:CY7"/>
    <mergeCell ref="CU8:CY8"/>
    <mergeCell ref="CU9:CY9"/>
    <mergeCell ref="CU10:CY10"/>
    <mergeCell ref="CU28:CY28"/>
    <mergeCell ref="CU30:CY30"/>
    <mergeCell ref="CU31:CY31"/>
    <mergeCell ref="CU32:CY32"/>
    <mergeCell ref="CU33:CY33"/>
    <mergeCell ref="CU51:CY51"/>
    <mergeCell ref="CP7:CT7"/>
    <mergeCell ref="CP8:CT8"/>
    <mergeCell ref="CP9:CT9"/>
    <mergeCell ref="CP10:CT10"/>
    <mergeCell ref="CP28:CT28"/>
    <mergeCell ref="CP30:CT30"/>
    <mergeCell ref="CP31:CT31"/>
    <mergeCell ref="CP32:CT32"/>
    <mergeCell ref="CP33:CT33"/>
    <mergeCell ref="CF51:CJ51"/>
    <mergeCell ref="CK7:CO7"/>
    <mergeCell ref="CK8:CO8"/>
    <mergeCell ref="CK9:CO9"/>
    <mergeCell ref="CK10:CO10"/>
    <mergeCell ref="CK28:CO28"/>
    <mergeCell ref="CK30:CO30"/>
    <mergeCell ref="CK31:CO31"/>
    <mergeCell ref="CK32:CO32"/>
    <mergeCell ref="CK33:CO33"/>
    <mergeCell ref="CK51:CO51"/>
    <mergeCell ref="CF7:CJ7"/>
    <mergeCell ref="CF8:CJ8"/>
    <mergeCell ref="CF9:CJ9"/>
    <mergeCell ref="CF10:CJ10"/>
    <mergeCell ref="CF28:CJ28"/>
    <mergeCell ref="CF30:CJ30"/>
    <mergeCell ref="CF31:CJ31"/>
    <mergeCell ref="CF32:CJ32"/>
    <mergeCell ref="CF33:CJ33"/>
    <mergeCell ref="BQ51:BU51"/>
    <mergeCell ref="BV51:BZ51"/>
    <mergeCell ref="CA7:CE7"/>
    <mergeCell ref="CA8:CE8"/>
    <mergeCell ref="CA9:CE9"/>
    <mergeCell ref="CA10:CE10"/>
    <mergeCell ref="CA28:CE28"/>
    <mergeCell ref="CA30:CE30"/>
    <mergeCell ref="CA31:CE31"/>
    <mergeCell ref="CA32:CE32"/>
    <mergeCell ref="BQ33:BU33"/>
    <mergeCell ref="BV33:BZ33"/>
    <mergeCell ref="BV7:BZ7"/>
    <mergeCell ref="BV8:BZ8"/>
    <mergeCell ref="BV9:BZ9"/>
    <mergeCell ref="BV10:BZ10"/>
    <mergeCell ref="BV28:BZ28"/>
    <mergeCell ref="CA33:CE33"/>
    <mergeCell ref="CA51:CE51"/>
    <mergeCell ref="BQ31:BU31"/>
    <mergeCell ref="BV31:BZ31"/>
    <mergeCell ref="AM51:AQ51"/>
    <mergeCell ref="AR51:AV51"/>
    <mergeCell ref="AW51:BA51"/>
    <mergeCell ref="BB51:BF51"/>
    <mergeCell ref="BG51:BK51"/>
    <mergeCell ref="BL51:BP51"/>
    <mergeCell ref="I51:M51"/>
    <mergeCell ref="N51:R51"/>
    <mergeCell ref="S51:W51"/>
    <mergeCell ref="X51:AB51"/>
    <mergeCell ref="AC51:AG51"/>
    <mergeCell ref="AH51:AL51"/>
    <mergeCell ref="B47:C47"/>
    <mergeCell ref="B48:C48"/>
    <mergeCell ref="B49:C49"/>
    <mergeCell ref="B50:C50"/>
    <mergeCell ref="B51:C51"/>
    <mergeCell ref="D51:H51"/>
    <mergeCell ref="B41:C41"/>
    <mergeCell ref="B42:C42"/>
    <mergeCell ref="B43:C43"/>
    <mergeCell ref="B44:C44"/>
    <mergeCell ref="B45:C45"/>
    <mergeCell ref="B46:C46"/>
    <mergeCell ref="B35:C35"/>
    <mergeCell ref="B36:C36"/>
    <mergeCell ref="B37:C37"/>
    <mergeCell ref="B38:C38"/>
    <mergeCell ref="B39:C39"/>
    <mergeCell ref="B40:C40"/>
    <mergeCell ref="BB33:BF33"/>
    <mergeCell ref="BG33:BK33"/>
    <mergeCell ref="BL33:BP33"/>
    <mergeCell ref="B34:C34"/>
    <mergeCell ref="X33:AB33"/>
    <mergeCell ref="AC33:AG33"/>
    <mergeCell ref="AH33:AL33"/>
    <mergeCell ref="AM33:AQ33"/>
    <mergeCell ref="AR33:AV33"/>
    <mergeCell ref="AW33:BA33"/>
    <mergeCell ref="BB32:BF32"/>
    <mergeCell ref="BG32:BK32"/>
    <mergeCell ref="BL32:BP32"/>
    <mergeCell ref="BQ32:BU32"/>
    <mergeCell ref="BV32:BZ32"/>
    <mergeCell ref="B33:C33"/>
    <mergeCell ref="D33:H33"/>
    <mergeCell ref="I33:M33"/>
    <mergeCell ref="N33:R33"/>
    <mergeCell ref="S33:W33"/>
    <mergeCell ref="X32:AB32"/>
    <mergeCell ref="AC32:AG32"/>
    <mergeCell ref="AH32:AL32"/>
    <mergeCell ref="AM32:AQ32"/>
    <mergeCell ref="AR32:AV32"/>
    <mergeCell ref="AW32:BA32"/>
    <mergeCell ref="B32:C32"/>
    <mergeCell ref="D32:H32"/>
    <mergeCell ref="I32:M32"/>
    <mergeCell ref="N32:R32"/>
    <mergeCell ref="S32:W32"/>
    <mergeCell ref="X31:AB31"/>
    <mergeCell ref="AC31:AG31"/>
    <mergeCell ref="AH31:AL31"/>
    <mergeCell ref="AM31:AQ31"/>
    <mergeCell ref="BV30:BZ30"/>
    <mergeCell ref="B31:C31"/>
    <mergeCell ref="D31:H31"/>
    <mergeCell ref="I31:M31"/>
    <mergeCell ref="N31:R31"/>
    <mergeCell ref="S31:W31"/>
    <mergeCell ref="X30:AB30"/>
    <mergeCell ref="AC30:AG30"/>
    <mergeCell ref="AH30:AL30"/>
    <mergeCell ref="AM30:AQ30"/>
    <mergeCell ref="AR30:AV30"/>
    <mergeCell ref="AW30:BA30"/>
    <mergeCell ref="B30:C30"/>
    <mergeCell ref="D30:H30"/>
    <mergeCell ref="I30:M30"/>
    <mergeCell ref="N30:R30"/>
    <mergeCell ref="S30:W30"/>
    <mergeCell ref="BB31:BF31"/>
    <mergeCell ref="BG31:BK31"/>
    <mergeCell ref="BL31:BP31"/>
    <mergeCell ref="AR31:AV31"/>
    <mergeCell ref="AW31:BA31"/>
    <mergeCell ref="BQ7:BU7"/>
    <mergeCell ref="BQ8:BU8"/>
    <mergeCell ref="BQ9:BU9"/>
    <mergeCell ref="BQ10:BU10"/>
    <mergeCell ref="BQ28:BU28"/>
    <mergeCell ref="BB30:BF30"/>
    <mergeCell ref="BG30:BK30"/>
    <mergeCell ref="BL30:BP30"/>
    <mergeCell ref="BQ30:BU30"/>
    <mergeCell ref="BG7:BK7"/>
    <mergeCell ref="BG8:BK8"/>
    <mergeCell ref="BG9:BK9"/>
    <mergeCell ref="BG10:BK10"/>
    <mergeCell ref="BG28:BK28"/>
    <mergeCell ref="BL7:BP7"/>
    <mergeCell ref="BL8:BP8"/>
    <mergeCell ref="BL9:BP9"/>
    <mergeCell ref="BL10:BP10"/>
    <mergeCell ref="BL28:BP28"/>
    <mergeCell ref="AW7:BA7"/>
    <mergeCell ref="AW8:BA8"/>
    <mergeCell ref="AW9:BA9"/>
    <mergeCell ref="AW10:BA10"/>
    <mergeCell ref="AW28:BA28"/>
    <mergeCell ref="BB7:BF7"/>
    <mergeCell ref="BB8:BF8"/>
    <mergeCell ref="BB9:BF9"/>
    <mergeCell ref="BB10:BF10"/>
    <mergeCell ref="BB28:BF28"/>
    <mergeCell ref="AM7:AQ7"/>
    <mergeCell ref="AM8:AQ8"/>
    <mergeCell ref="AM9:AQ9"/>
    <mergeCell ref="AM10:AQ10"/>
    <mergeCell ref="AM28:AQ28"/>
    <mergeCell ref="AR7:AV7"/>
    <mergeCell ref="AR8:AV8"/>
    <mergeCell ref="AR9:AV9"/>
    <mergeCell ref="AR10:AV10"/>
    <mergeCell ref="AR28:AV28"/>
    <mergeCell ref="AC7:AG7"/>
    <mergeCell ref="AC8:AG8"/>
    <mergeCell ref="AC9:AG9"/>
    <mergeCell ref="AC10:AG10"/>
    <mergeCell ref="AC28:AG28"/>
    <mergeCell ref="AH7:AL7"/>
    <mergeCell ref="AH8:AL8"/>
    <mergeCell ref="AH9:AL9"/>
    <mergeCell ref="AH10:AL10"/>
    <mergeCell ref="AH28:AL28"/>
    <mergeCell ref="S7:W7"/>
    <mergeCell ref="S8:W8"/>
    <mergeCell ref="S9:W9"/>
    <mergeCell ref="S10:W10"/>
    <mergeCell ref="S28:W28"/>
    <mergeCell ref="X7:AB7"/>
    <mergeCell ref="X8:AB8"/>
    <mergeCell ref="X9:AB9"/>
    <mergeCell ref="X10:AB10"/>
    <mergeCell ref="X28:AB28"/>
    <mergeCell ref="N28:R28"/>
    <mergeCell ref="B27:C27"/>
    <mergeCell ref="B26:C26"/>
    <mergeCell ref="B25:C25"/>
    <mergeCell ref="B24:C24"/>
    <mergeCell ref="B23:C23"/>
    <mergeCell ref="B28:C28"/>
    <mergeCell ref="D28:H28"/>
    <mergeCell ref="I7:M7"/>
    <mergeCell ref="I8:M8"/>
    <mergeCell ref="I9:M9"/>
    <mergeCell ref="I10:M10"/>
    <mergeCell ref="I28:M28"/>
    <mergeCell ref="B16:C16"/>
    <mergeCell ref="B15:C15"/>
    <mergeCell ref="B14:C14"/>
    <mergeCell ref="B13:C13"/>
    <mergeCell ref="B12:C12"/>
    <mergeCell ref="D7:H7"/>
    <mergeCell ref="D8:H8"/>
    <mergeCell ref="B11:C11"/>
    <mergeCell ref="B22:C22"/>
    <mergeCell ref="B21:C21"/>
    <mergeCell ref="B20:C20"/>
    <mergeCell ref="B19:C19"/>
    <mergeCell ref="B18:C18"/>
    <mergeCell ref="B17:C17"/>
    <mergeCell ref="N7:R7"/>
    <mergeCell ref="N8:R8"/>
    <mergeCell ref="N9:R9"/>
    <mergeCell ref="N10:R10"/>
    <mergeCell ref="B7:C7"/>
    <mergeCell ref="B8:C8"/>
    <mergeCell ref="B9:C9"/>
    <mergeCell ref="B10:C10"/>
    <mergeCell ref="D9:H9"/>
    <mergeCell ref="D10:H10"/>
  </mergeCells>
  <phoneticPr fontId="47" type="noConversion"/>
  <conditionalFormatting sqref="B12:B27">
    <cfRule type="containsText" dxfId="5" priority="3" operator="containsText" text="0">
      <formula>NOT(ISERROR(SEARCH("0",B12)))</formula>
    </cfRule>
  </conditionalFormatting>
  <conditionalFormatting sqref="B35:B50">
    <cfRule type="containsText" dxfId="4" priority="1" operator="containsText" text="0">
      <formula>NOT(ISERROR(SEARCH("0",B35)))</formula>
    </cfRule>
  </conditionalFormatting>
  <dataValidations count="1">
    <dataValidation allowBlank="1" showInputMessage="1" showErrorMessage="1" promptTitle="Enter Season Dates here" prompt="See Instructions tab for more details!_x000a_" sqref="D11:DX11 D34:DX3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14:formula1>
            <xm:f>DropDown!$R$3:$R$5</xm:f>
          </x14:formula1>
          <xm:sqref>D8 I8 N8 S8 X8 AC8 AH8 AM8 AR8 AW8 BB8 BG8 BL8 BQ8 BV8 D31 I31 N31 S31 X31 AC31 AH31 AM31 AR31 AW31 BB31 BG31 BL31 BQ31 BV31 CA8 CA31 CF8 CF31 CK8 CK31 CP8 CP31 CU8 CU31 CZ8 CZ31 DE8 DE31 DJ8 DJ31 DO8 DO31 DT8 DT31</xm:sqref>
        </x14:dataValidation>
        <x14:dataValidation type="list" showInputMessage="1" showErrorMessage="1">
          <x14:formula1>
            <xm:f>DropDown!$S$3:$S$5</xm:f>
          </x14:formula1>
          <xm:sqref>D9 I9 N9 S9 X9 AC9 AH9 AM9 AR9 AW9 BB9 BG9 BL9 BQ9 BV9 D32 I32 N32 S32 X32 AC32 AH32 AM32 AR32 AW32 BB32 BG32 BL32 BQ32 BV32 CA9 CA32 CF9 CF32 CK9 CK32 CP9 CP32 CU9 CU32 CZ9 CZ32 DE9 DE32 DJ9 DJ32 DO9 DO32 DT9 DT32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pCorpES"/>
  <dimension ref="A2:EA53"/>
  <sheetViews>
    <sheetView zoomScale="70" zoomScaleNormal="70" workbookViewId="0">
      <selection activeCell="B3" sqref="B3"/>
    </sheetView>
  </sheetViews>
  <sheetFormatPr defaultRowHeight="12.75" x14ac:dyDescent="0.2"/>
  <cols>
    <col min="1" max="1" width="4.7109375" style="5" customWidth="1"/>
    <col min="2" max="2" width="10.7109375" style="5" customWidth="1"/>
    <col min="3" max="4" width="9.140625" style="5" customWidth="1"/>
    <col min="5" max="16384" width="9.140625" style="5"/>
  </cols>
  <sheetData>
    <row r="2" spans="1:131" ht="18" x14ac:dyDescent="0.25">
      <c r="A2" s="34" t="s">
        <v>392</v>
      </c>
      <c r="B2" s="41" t="s">
        <v>610</v>
      </c>
    </row>
    <row r="3" spans="1:131" ht="15" x14ac:dyDescent="0.2">
      <c r="B3" s="476" t="s">
        <v>615</v>
      </c>
    </row>
    <row r="5" spans="1:131" x14ac:dyDescent="0.2">
      <c r="F5" s="34"/>
    </row>
    <row r="6" spans="1:131" ht="13.5" thickBot="1" x14ac:dyDescent="0.25"/>
    <row r="7" spans="1:131" ht="25.35" customHeight="1" x14ac:dyDescent="0.2">
      <c r="A7" s="34"/>
      <c r="B7" s="693" t="s">
        <v>333</v>
      </c>
      <c r="C7" s="694"/>
      <c r="D7" s="708" t="s">
        <v>346</v>
      </c>
      <c r="E7" s="709"/>
      <c r="F7" s="709"/>
      <c r="G7" s="709"/>
      <c r="H7" s="710"/>
      <c r="I7" s="710"/>
      <c r="J7" s="710"/>
      <c r="K7" s="711"/>
      <c r="L7" s="708" t="s">
        <v>346</v>
      </c>
      <c r="M7" s="709"/>
      <c r="N7" s="709"/>
      <c r="O7" s="709"/>
      <c r="P7" s="710"/>
      <c r="Q7" s="710"/>
      <c r="R7" s="710"/>
      <c r="S7" s="711"/>
      <c r="T7" s="708" t="s">
        <v>346</v>
      </c>
      <c r="U7" s="709"/>
      <c r="V7" s="709"/>
      <c r="W7" s="709"/>
      <c r="X7" s="710"/>
      <c r="Y7" s="710"/>
      <c r="Z7" s="710"/>
      <c r="AA7" s="711"/>
      <c r="AB7" s="708" t="s">
        <v>346</v>
      </c>
      <c r="AC7" s="709"/>
      <c r="AD7" s="709"/>
      <c r="AE7" s="709"/>
      <c r="AF7" s="710"/>
      <c r="AG7" s="710"/>
      <c r="AH7" s="710"/>
      <c r="AI7" s="711"/>
      <c r="AJ7" s="708" t="s">
        <v>346</v>
      </c>
      <c r="AK7" s="709"/>
      <c r="AL7" s="709"/>
      <c r="AM7" s="709"/>
      <c r="AN7" s="710"/>
      <c r="AO7" s="710"/>
      <c r="AP7" s="710"/>
      <c r="AQ7" s="711"/>
      <c r="AR7" s="708" t="s">
        <v>346</v>
      </c>
      <c r="AS7" s="709"/>
      <c r="AT7" s="709"/>
      <c r="AU7" s="709"/>
      <c r="AV7" s="710"/>
      <c r="AW7" s="710"/>
      <c r="AX7" s="710"/>
      <c r="AY7" s="711"/>
      <c r="AZ7" s="708" t="s">
        <v>346</v>
      </c>
      <c r="BA7" s="709"/>
      <c r="BB7" s="709"/>
      <c r="BC7" s="709"/>
      <c r="BD7" s="710"/>
      <c r="BE7" s="710"/>
      <c r="BF7" s="710"/>
      <c r="BG7" s="711"/>
      <c r="BH7" s="708" t="s">
        <v>346</v>
      </c>
      <c r="BI7" s="709"/>
      <c r="BJ7" s="709"/>
      <c r="BK7" s="709"/>
      <c r="BL7" s="710"/>
      <c r="BM7" s="710"/>
      <c r="BN7" s="710"/>
      <c r="BO7" s="711"/>
      <c r="BP7" s="708" t="s">
        <v>346</v>
      </c>
      <c r="BQ7" s="709"/>
      <c r="BR7" s="709"/>
      <c r="BS7" s="709"/>
      <c r="BT7" s="710"/>
      <c r="BU7" s="710"/>
      <c r="BV7" s="710"/>
      <c r="BW7" s="711"/>
      <c r="BX7" s="708" t="s">
        <v>346</v>
      </c>
      <c r="BY7" s="709"/>
      <c r="BZ7" s="709"/>
      <c r="CA7" s="709"/>
      <c r="CB7" s="710"/>
      <c r="CC7" s="710"/>
      <c r="CD7" s="710"/>
      <c r="CE7" s="711"/>
      <c r="CF7" s="708" t="s">
        <v>346</v>
      </c>
      <c r="CG7" s="709"/>
      <c r="CH7" s="709"/>
      <c r="CI7" s="709"/>
      <c r="CJ7" s="710"/>
      <c r="CK7" s="710"/>
      <c r="CL7" s="710"/>
      <c r="CM7" s="711"/>
      <c r="CN7" s="708" t="s">
        <v>346</v>
      </c>
      <c r="CO7" s="709"/>
      <c r="CP7" s="709"/>
      <c r="CQ7" s="709"/>
      <c r="CR7" s="710"/>
      <c r="CS7" s="710"/>
      <c r="CT7" s="710"/>
      <c r="CU7" s="711"/>
      <c r="CV7" s="708" t="s">
        <v>346</v>
      </c>
      <c r="CW7" s="709"/>
      <c r="CX7" s="709"/>
      <c r="CY7" s="709"/>
      <c r="CZ7" s="710"/>
      <c r="DA7" s="710"/>
      <c r="DB7" s="710"/>
      <c r="DC7" s="711"/>
      <c r="DD7" s="708" t="s">
        <v>346</v>
      </c>
      <c r="DE7" s="709"/>
      <c r="DF7" s="709"/>
      <c r="DG7" s="709"/>
      <c r="DH7" s="710"/>
      <c r="DI7" s="710"/>
      <c r="DJ7" s="710"/>
      <c r="DK7" s="711"/>
      <c r="DL7" s="708" t="s">
        <v>346</v>
      </c>
      <c r="DM7" s="709"/>
      <c r="DN7" s="709"/>
      <c r="DO7" s="709"/>
      <c r="DP7" s="710"/>
      <c r="DQ7" s="710"/>
      <c r="DR7" s="710"/>
      <c r="DS7" s="711"/>
      <c r="DT7" s="708" t="s">
        <v>346</v>
      </c>
      <c r="DU7" s="709"/>
      <c r="DV7" s="709"/>
      <c r="DW7" s="709"/>
      <c r="DX7" s="710"/>
      <c r="DY7" s="710"/>
      <c r="DZ7" s="710"/>
      <c r="EA7" s="711"/>
    </row>
    <row r="8" spans="1:131" ht="25.35" customHeight="1" x14ac:dyDescent="0.2">
      <c r="A8" s="34"/>
      <c r="B8" s="695" t="s">
        <v>334</v>
      </c>
      <c r="C8" s="696"/>
      <c r="D8" s="720"/>
      <c r="E8" s="721"/>
      <c r="F8" s="721"/>
      <c r="G8" s="721"/>
      <c r="H8" s="722"/>
      <c r="I8" s="722"/>
      <c r="J8" s="722"/>
      <c r="K8" s="723"/>
      <c r="L8" s="720"/>
      <c r="M8" s="721"/>
      <c r="N8" s="721"/>
      <c r="O8" s="721"/>
      <c r="P8" s="722"/>
      <c r="Q8" s="722"/>
      <c r="R8" s="722"/>
      <c r="S8" s="723"/>
      <c r="T8" s="720"/>
      <c r="U8" s="721"/>
      <c r="V8" s="721"/>
      <c r="W8" s="721"/>
      <c r="X8" s="722"/>
      <c r="Y8" s="722"/>
      <c r="Z8" s="722"/>
      <c r="AA8" s="723"/>
      <c r="AB8" s="720"/>
      <c r="AC8" s="721"/>
      <c r="AD8" s="721"/>
      <c r="AE8" s="721"/>
      <c r="AF8" s="722"/>
      <c r="AG8" s="722"/>
      <c r="AH8" s="722"/>
      <c r="AI8" s="723"/>
      <c r="AJ8" s="720"/>
      <c r="AK8" s="721"/>
      <c r="AL8" s="721"/>
      <c r="AM8" s="721"/>
      <c r="AN8" s="722"/>
      <c r="AO8" s="722"/>
      <c r="AP8" s="722"/>
      <c r="AQ8" s="723"/>
      <c r="AR8" s="720"/>
      <c r="AS8" s="721"/>
      <c r="AT8" s="721"/>
      <c r="AU8" s="721"/>
      <c r="AV8" s="722"/>
      <c r="AW8" s="722"/>
      <c r="AX8" s="722"/>
      <c r="AY8" s="723"/>
      <c r="AZ8" s="720"/>
      <c r="BA8" s="721"/>
      <c r="BB8" s="721"/>
      <c r="BC8" s="721"/>
      <c r="BD8" s="722"/>
      <c r="BE8" s="722"/>
      <c r="BF8" s="722"/>
      <c r="BG8" s="723"/>
      <c r="BH8" s="720"/>
      <c r="BI8" s="721"/>
      <c r="BJ8" s="721"/>
      <c r="BK8" s="721"/>
      <c r="BL8" s="722"/>
      <c r="BM8" s="722"/>
      <c r="BN8" s="722"/>
      <c r="BO8" s="723"/>
      <c r="BP8" s="720"/>
      <c r="BQ8" s="721"/>
      <c r="BR8" s="721"/>
      <c r="BS8" s="721"/>
      <c r="BT8" s="722"/>
      <c r="BU8" s="722"/>
      <c r="BV8" s="722"/>
      <c r="BW8" s="723"/>
      <c r="BX8" s="720"/>
      <c r="BY8" s="721"/>
      <c r="BZ8" s="721"/>
      <c r="CA8" s="721"/>
      <c r="CB8" s="722"/>
      <c r="CC8" s="722"/>
      <c r="CD8" s="722"/>
      <c r="CE8" s="723"/>
      <c r="CF8" s="720"/>
      <c r="CG8" s="721"/>
      <c r="CH8" s="721"/>
      <c r="CI8" s="721"/>
      <c r="CJ8" s="722"/>
      <c r="CK8" s="722"/>
      <c r="CL8" s="722"/>
      <c r="CM8" s="723"/>
      <c r="CN8" s="720"/>
      <c r="CO8" s="721"/>
      <c r="CP8" s="721"/>
      <c r="CQ8" s="721"/>
      <c r="CR8" s="722"/>
      <c r="CS8" s="722"/>
      <c r="CT8" s="722"/>
      <c r="CU8" s="723"/>
      <c r="CV8" s="720"/>
      <c r="CW8" s="721"/>
      <c r="CX8" s="721"/>
      <c r="CY8" s="721"/>
      <c r="CZ8" s="722"/>
      <c r="DA8" s="722"/>
      <c r="DB8" s="722"/>
      <c r="DC8" s="723"/>
      <c r="DD8" s="720"/>
      <c r="DE8" s="721"/>
      <c r="DF8" s="721"/>
      <c r="DG8" s="721"/>
      <c r="DH8" s="722"/>
      <c r="DI8" s="722"/>
      <c r="DJ8" s="722"/>
      <c r="DK8" s="723"/>
      <c r="DL8" s="720"/>
      <c r="DM8" s="721"/>
      <c r="DN8" s="721"/>
      <c r="DO8" s="721"/>
      <c r="DP8" s="722"/>
      <c r="DQ8" s="722"/>
      <c r="DR8" s="722"/>
      <c r="DS8" s="723"/>
      <c r="DT8" s="720"/>
      <c r="DU8" s="721"/>
      <c r="DV8" s="721"/>
      <c r="DW8" s="721"/>
      <c r="DX8" s="722"/>
      <c r="DY8" s="722"/>
      <c r="DZ8" s="722"/>
      <c r="EA8" s="723"/>
    </row>
    <row r="9" spans="1:131" ht="25.35" customHeight="1" x14ac:dyDescent="0.2">
      <c r="A9" s="34"/>
      <c r="B9" s="695" t="s">
        <v>335</v>
      </c>
      <c r="C9" s="696"/>
      <c r="D9" s="720" t="s">
        <v>344</v>
      </c>
      <c r="E9" s="721"/>
      <c r="F9" s="721"/>
      <c r="G9" s="721"/>
      <c r="H9" s="722"/>
      <c r="I9" s="722"/>
      <c r="J9" s="722"/>
      <c r="K9" s="723"/>
      <c r="L9" s="716" t="s">
        <v>344</v>
      </c>
      <c r="M9" s="717"/>
      <c r="N9" s="717"/>
      <c r="O9" s="717"/>
      <c r="P9" s="718"/>
      <c r="Q9" s="718"/>
      <c r="R9" s="718"/>
      <c r="S9" s="719"/>
      <c r="T9" s="716" t="s">
        <v>344</v>
      </c>
      <c r="U9" s="717"/>
      <c r="V9" s="717"/>
      <c r="W9" s="717"/>
      <c r="X9" s="718"/>
      <c r="Y9" s="718"/>
      <c r="Z9" s="718"/>
      <c r="AA9" s="719"/>
      <c r="AB9" s="716" t="s">
        <v>344</v>
      </c>
      <c r="AC9" s="717"/>
      <c r="AD9" s="717"/>
      <c r="AE9" s="717"/>
      <c r="AF9" s="718"/>
      <c r="AG9" s="718"/>
      <c r="AH9" s="718"/>
      <c r="AI9" s="719"/>
      <c r="AJ9" s="716" t="s">
        <v>344</v>
      </c>
      <c r="AK9" s="717"/>
      <c r="AL9" s="717"/>
      <c r="AM9" s="717"/>
      <c r="AN9" s="718"/>
      <c r="AO9" s="718"/>
      <c r="AP9" s="718"/>
      <c r="AQ9" s="719"/>
      <c r="AR9" s="716" t="s">
        <v>344</v>
      </c>
      <c r="AS9" s="717"/>
      <c r="AT9" s="717"/>
      <c r="AU9" s="717"/>
      <c r="AV9" s="718"/>
      <c r="AW9" s="718"/>
      <c r="AX9" s="718"/>
      <c r="AY9" s="719"/>
      <c r="AZ9" s="716" t="s">
        <v>344</v>
      </c>
      <c r="BA9" s="717"/>
      <c r="BB9" s="717"/>
      <c r="BC9" s="717"/>
      <c r="BD9" s="718"/>
      <c r="BE9" s="718"/>
      <c r="BF9" s="718"/>
      <c r="BG9" s="719"/>
      <c r="BH9" s="716" t="s">
        <v>344</v>
      </c>
      <c r="BI9" s="717"/>
      <c r="BJ9" s="717"/>
      <c r="BK9" s="717"/>
      <c r="BL9" s="718"/>
      <c r="BM9" s="718"/>
      <c r="BN9" s="718"/>
      <c r="BO9" s="719"/>
      <c r="BP9" s="716" t="s">
        <v>344</v>
      </c>
      <c r="BQ9" s="717"/>
      <c r="BR9" s="717"/>
      <c r="BS9" s="717"/>
      <c r="BT9" s="718"/>
      <c r="BU9" s="718"/>
      <c r="BV9" s="718"/>
      <c r="BW9" s="719"/>
      <c r="BX9" s="716" t="s">
        <v>344</v>
      </c>
      <c r="BY9" s="717"/>
      <c r="BZ9" s="717"/>
      <c r="CA9" s="717"/>
      <c r="CB9" s="718"/>
      <c r="CC9" s="718"/>
      <c r="CD9" s="718"/>
      <c r="CE9" s="719"/>
      <c r="CF9" s="716" t="s">
        <v>344</v>
      </c>
      <c r="CG9" s="717"/>
      <c r="CH9" s="717"/>
      <c r="CI9" s="717"/>
      <c r="CJ9" s="718"/>
      <c r="CK9" s="718"/>
      <c r="CL9" s="718"/>
      <c r="CM9" s="719"/>
      <c r="CN9" s="716" t="s">
        <v>344</v>
      </c>
      <c r="CO9" s="717"/>
      <c r="CP9" s="717"/>
      <c r="CQ9" s="717"/>
      <c r="CR9" s="718"/>
      <c r="CS9" s="718"/>
      <c r="CT9" s="718"/>
      <c r="CU9" s="719"/>
      <c r="CV9" s="716" t="s">
        <v>344</v>
      </c>
      <c r="CW9" s="717"/>
      <c r="CX9" s="717"/>
      <c r="CY9" s="717"/>
      <c r="CZ9" s="718"/>
      <c r="DA9" s="718"/>
      <c r="DB9" s="718"/>
      <c r="DC9" s="719"/>
      <c r="DD9" s="716" t="s">
        <v>344</v>
      </c>
      <c r="DE9" s="717"/>
      <c r="DF9" s="717"/>
      <c r="DG9" s="717"/>
      <c r="DH9" s="718"/>
      <c r="DI9" s="718"/>
      <c r="DJ9" s="718"/>
      <c r="DK9" s="719"/>
      <c r="DL9" s="716" t="s">
        <v>344</v>
      </c>
      <c r="DM9" s="717"/>
      <c r="DN9" s="717"/>
      <c r="DO9" s="717"/>
      <c r="DP9" s="718"/>
      <c r="DQ9" s="718"/>
      <c r="DR9" s="718"/>
      <c r="DS9" s="719"/>
      <c r="DT9" s="716" t="s">
        <v>344</v>
      </c>
      <c r="DU9" s="717"/>
      <c r="DV9" s="717"/>
      <c r="DW9" s="717"/>
      <c r="DX9" s="718"/>
      <c r="DY9" s="718"/>
      <c r="DZ9" s="718"/>
      <c r="EA9" s="719"/>
    </row>
    <row r="10" spans="1:131" ht="25.35" customHeight="1" thickBot="1" x14ac:dyDescent="0.25">
      <c r="A10" s="34"/>
      <c r="B10" s="697" t="s">
        <v>336</v>
      </c>
      <c r="C10" s="698"/>
      <c r="D10" s="712"/>
      <c r="E10" s="713"/>
      <c r="F10" s="713"/>
      <c r="G10" s="713"/>
      <c r="H10" s="714"/>
      <c r="I10" s="714"/>
      <c r="J10" s="714"/>
      <c r="K10" s="715"/>
      <c r="L10" s="712"/>
      <c r="M10" s="713"/>
      <c r="N10" s="713"/>
      <c r="O10" s="713"/>
      <c r="P10" s="714"/>
      <c r="Q10" s="714"/>
      <c r="R10" s="714"/>
      <c r="S10" s="715"/>
      <c r="T10" s="712"/>
      <c r="U10" s="713"/>
      <c r="V10" s="713"/>
      <c r="W10" s="713"/>
      <c r="X10" s="714"/>
      <c r="Y10" s="714"/>
      <c r="Z10" s="714"/>
      <c r="AA10" s="715"/>
      <c r="AB10" s="712"/>
      <c r="AC10" s="713"/>
      <c r="AD10" s="713"/>
      <c r="AE10" s="713"/>
      <c r="AF10" s="714"/>
      <c r="AG10" s="714"/>
      <c r="AH10" s="714"/>
      <c r="AI10" s="715"/>
      <c r="AJ10" s="712"/>
      <c r="AK10" s="713"/>
      <c r="AL10" s="713"/>
      <c r="AM10" s="713"/>
      <c r="AN10" s="714"/>
      <c r="AO10" s="714"/>
      <c r="AP10" s="714"/>
      <c r="AQ10" s="715"/>
      <c r="AR10" s="712"/>
      <c r="AS10" s="713"/>
      <c r="AT10" s="713"/>
      <c r="AU10" s="713"/>
      <c r="AV10" s="714"/>
      <c r="AW10" s="714"/>
      <c r="AX10" s="714"/>
      <c r="AY10" s="715"/>
      <c r="AZ10" s="712"/>
      <c r="BA10" s="713"/>
      <c r="BB10" s="713"/>
      <c r="BC10" s="713"/>
      <c r="BD10" s="714"/>
      <c r="BE10" s="714"/>
      <c r="BF10" s="714"/>
      <c r="BG10" s="715"/>
      <c r="BH10" s="712"/>
      <c r="BI10" s="713"/>
      <c r="BJ10" s="713"/>
      <c r="BK10" s="713"/>
      <c r="BL10" s="714"/>
      <c r="BM10" s="714"/>
      <c r="BN10" s="714"/>
      <c r="BO10" s="715"/>
      <c r="BP10" s="712"/>
      <c r="BQ10" s="713"/>
      <c r="BR10" s="713"/>
      <c r="BS10" s="713"/>
      <c r="BT10" s="714"/>
      <c r="BU10" s="714"/>
      <c r="BV10" s="714"/>
      <c r="BW10" s="715"/>
      <c r="BX10" s="712"/>
      <c r="BY10" s="713"/>
      <c r="BZ10" s="713"/>
      <c r="CA10" s="713"/>
      <c r="CB10" s="714"/>
      <c r="CC10" s="714"/>
      <c r="CD10" s="714"/>
      <c r="CE10" s="715"/>
      <c r="CF10" s="712"/>
      <c r="CG10" s="713"/>
      <c r="CH10" s="713"/>
      <c r="CI10" s="713"/>
      <c r="CJ10" s="714"/>
      <c r="CK10" s="714"/>
      <c r="CL10" s="714"/>
      <c r="CM10" s="715"/>
      <c r="CN10" s="712"/>
      <c r="CO10" s="713"/>
      <c r="CP10" s="713"/>
      <c r="CQ10" s="713"/>
      <c r="CR10" s="714"/>
      <c r="CS10" s="714"/>
      <c r="CT10" s="714"/>
      <c r="CU10" s="715"/>
      <c r="CV10" s="712"/>
      <c r="CW10" s="713"/>
      <c r="CX10" s="713"/>
      <c r="CY10" s="713"/>
      <c r="CZ10" s="714"/>
      <c r="DA10" s="714"/>
      <c r="DB10" s="714"/>
      <c r="DC10" s="715"/>
      <c r="DD10" s="712"/>
      <c r="DE10" s="713"/>
      <c r="DF10" s="713"/>
      <c r="DG10" s="713"/>
      <c r="DH10" s="714"/>
      <c r="DI10" s="714"/>
      <c r="DJ10" s="714"/>
      <c r="DK10" s="715"/>
      <c r="DL10" s="712"/>
      <c r="DM10" s="713"/>
      <c r="DN10" s="713"/>
      <c r="DO10" s="713"/>
      <c r="DP10" s="714"/>
      <c r="DQ10" s="714"/>
      <c r="DR10" s="714"/>
      <c r="DS10" s="715"/>
      <c r="DT10" s="712"/>
      <c r="DU10" s="713"/>
      <c r="DV10" s="713"/>
      <c r="DW10" s="713"/>
      <c r="DX10" s="714"/>
      <c r="DY10" s="714"/>
      <c r="DZ10" s="714"/>
      <c r="EA10" s="715"/>
    </row>
    <row r="11" spans="1:131" s="33" customFormat="1" ht="39" customHeight="1" thickBot="1" x14ac:dyDescent="0.25">
      <c r="A11" s="59"/>
      <c r="B11" s="731" t="s">
        <v>347</v>
      </c>
      <c r="C11" s="735"/>
      <c r="D11" s="728" t="s">
        <v>345</v>
      </c>
      <c r="E11" s="729"/>
      <c r="F11" s="729"/>
      <c r="G11" s="730"/>
      <c r="H11" s="728" t="s">
        <v>467</v>
      </c>
      <c r="I11" s="729"/>
      <c r="J11" s="729"/>
      <c r="K11" s="730"/>
      <c r="L11" s="728" t="s">
        <v>345</v>
      </c>
      <c r="M11" s="729"/>
      <c r="N11" s="729"/>
      <c r="O11" s="730"/>
      <c r="P11" s="728" t="s">
        <v>467</v>
      </c>
      <c r="Q11" s="729"/>
      <c r="R11" s="729"/>
      <c r="S11" s="730"/>
      <c r="T11" s="728" t="s">
        <v>345</v>
      </c>
      <c r="U11" s="729"/>
      <c r="V11" s="729"/>
      <c r="W11" s="730"/>
      <c r="X11" s="728" t="s">
        <v>467</v>
      </c>
      <c r="Y11" s="729"/>
      <c r="Z11" s="729"/>
      <c r="AA11" s="730"/>
      <c r="AB11" s="728" t="s">
        <v>345</v>
      </c>
      <c r="AC11" s="729"/>
      <c r="AD11" s="729"/>
      <c r="AE11" s="730"/>
      <c r="AF11" s="728" t="s">
        <v>467</v>
      </c>
      <c r="AG11" s="729"/>
      <c r="AH11" s="729"/>
      <c r="AI11" s="730"/>
      <c r="AJ11" s="728" t="s">
        <v>345</v>
      </c>
      <c r="AK11" s="729"/>
      <c r="AL11" s="729"/>
      <c r="AM11" s="730"/>
      <c r="AN11" s="728" t="s">
        <v>467</v>
      </c>
      <c r="AO11" s="729"/>
      <c r="AP11" s="729"/>
      <c r="AQ11" s="730"/>
      <c r="AR11" s="728" t="s">
        <v>345</v>
      </c>
      <c r="AS11" s="729"/>
      <c r="AT11" s="729"/>
      <c r="AU11" s="730"/>
      <c r="AV11" s="728" t="s">
        <v>467</v>
      </c>
      <c r="AW11" s="729"/>
      <c r="AX11" s="729"/>
      <c r="AY11" s="730"/>
      <c r="AZ11" s="728" t="s">
        <v>345</v>
      </c>
      <c r="BA11" s="729"/>
      <c r="BB11" s="729"/>
      <c r="BC11" s="730"/>
      <c r="BD11" s="728" t="s">
        <v>467</v>
      </c>
      <c r="BE11" s="729"/>
      <c r="BF11" s="729"/>
      <c r="BG11" s="730"/>
      <c r="BH11" s="728" t="s">
        <v>345</v>
      </c>
      <c r="BI11" s="729"/>
      <c r="BJ11" s="729"/>
      <c r="BK11" s="730"/>
      <c r="BL11" s="728" t="s">
        <v>467</v>
      </c>
      <c r="BM11" s="729"/>
      <c r="BN11" s="729"/>
      <c r="BO11" s="730"/>
      <c r="BP11" s="728" t="s">
        <v>345</v>
      </c>
      <c r="BQ11" s="729"/>
      <c r="BR11" s="729"/>
      <c r="BS11" s="730"/>
      <c r="BT11" s="728" t="s">
        <v>467</v>
      </c>
      <c r="BU11" s="729"/>
      <c r="BV11" s="729"/>
      <c r="BW11" s="730"/>
      <c r="BX11" s="728" t="s">
        <v>345</v>
      </c>
      <c r="BY11" s="729"/>
      <c r="BZ11" s="729"/>
      <c r="CA11" s="730"/>
      <c r="CB11" s="728" t="s">
        <v>467</v>
      </c>
      <c r="CC11" s="729"/>
      <c r="CD11" s="729"/>
      <c r="CE11" s="730"/>
      <c r="CF11" s="728" t="s">
        <v>345</v>
      </c>
      <c r="CG11" s="729"/>
      <c r="CH11" s="729"/>
      <c r="CI11" s="730"/>
      <c r="CJ11" s="728" t="s">
        <v>467</v>
      </c>
      <c r="CK11" s="729"/>
      <c r="CL11" s="729"/>
      <c r="CM11" s="730"/>
      <c r="CN11" s="728" t="s">
        <v>345</v>
      </c>
      <c r="CO11" s="729"/>
      <c r="CP11" s="729"/>
      <c r="CQ11" s="730"/>
      <c r="CR11" s="728" t="s">
        <v>467</v>
      </c>
      <c r="CS11" s="729"/>
      <c r="CT11" s="729"/>
      <c r="CU11" s="730"/>
      <c r="CV11" s="728" t="s">
        <v>345</v>
      </c>
      <c r="CW11" s="729"/>
      <c r="CX11" s="729"/>
      <c r="CY11" s="730"/>
      <c r="CZ11" s="728" t="s">
        <v>467</v>
      </c>
      <c r="DA11" s="729"/>
      <c r="DB11" s="729"/>
      <c r="DC11" s="730"/>
      <c r="DD11" s="728" t="s">
        <v>345</v>
      </c>
      <c r="DE11" s="729"/>
      <c r="DF11" s="729"/>
      <c r="DG11" s="730"/>
      <c r="DH11" s="728" t="s">
        <v>467</v>
      </c>
      <c r="DI11" s="729"/>
      <c r="DJ11" s="729"/>
      <c r="DK11" s="730"/>
      <c r="DL11" s="728" t="s">
        <v>345</v>
      </c>
      <c r="DM11" s="729"/>
      <c r="DN11" s="729"/>
      <c r="DO11" s="730"/>
      <c r="DP11" s="728" t="s">
        <v>467</v>
      </c>
      <c r="DQ11" s="729"/>
      <c r="DR11" s="729"/>
      <c r="DS11" s="730"/>
      <c r="DT11" s="728" t="s">
        <v>345</v>
      </c>
      <c r="DU11" s="729"/>
      <c r="DV11" s="729"/>
      <c r="DW11" s="730"/>
      <c r="DX11" s="728" t="s">
        <v>467</v>
      </c>
      <c r="DY11" s="729"/>
      <c r="DZ11" s="729"/>
      <c r="EA11" s="730"/>
    </row>
    <row r="12" spans="1:131" s="33" customFormat="1" ht="39" customHeight="1" thickBot="1" x14ac:dyDescent="0.25">
      <c r="A12" s="59"/>
      <c r="B12" s="733"/>
      <c r="C12" s="736"/>
      <c r="D12" s="136" t="s">
        <v>458</v>
      </c>
      <c r="E12" s="137" t="s">
        <v>459</v>
      </c>
      <c r="F12" s="137" t="s">
        <v>460</v>
      </c>
      <c r="G12" s="138" t="s">
        <v>461</v>
      </c>
      <c r="H12" s="136" t="s">
        <v>458</v>
      </c>
      <c r="I12" s="137" t="s">
        <v>459</v>
      </c>
      <c r="J12" s="137" t="s">
        <v>460</v>
      </c>
      <c r="K12" s="138" t="s">
        <v>461</v>
      </c>
      <c r="L12" s="136" t="s">
        <v>458</v>
      </c>
      <c r="M12" s="137" t="s">
        <v>459</v>
      </c>
      <c r="N12" s="137" t="s">
        <v>460</v>
      </c>
      <c r="O12" s="138" t="s">
        <v>461</v>
      </c>
      <c r="P12" s="136" t="s">
        <v>458</v>
      </c>
      <c r="Q12" s="137" t="s">
        <v>459</v>
      </c>
      <c r="R12" s="137" t="s">
        <v>460</v>
      </c>
      <c r="S12" s="138" t="s">
        <v>461</v>
      </c>
      <c r="T12" s="136" t="s">
        <v>458</v>
      </c>
      <c r="U12" s="137" t="s">
        <v>459</v>
      </c>
      <c r="V12" s="137" t="s">
        <v>460</v>
      </c>
      <c r="W12" s="138" t="s">
        <v>461</v>
      </c>
      <c r="X12" s="136" t="s">
        <v>458</v>
      </c>
      <c r="Y12" s="137" t="s">
        <v>459</v>
      </c>
      <c r="Z12" s="137" t="s">
        <v>460</v>
      </c>
      <c r="AA12" s="138" t="s">
        <v>461</v>
      </c>
      <c r="AB12" s="136" t="s">
        <v>458</v>
      </c>
      <c r="AC12" s="137" t="s">
        <v>459</v>
      </c>
      <c r="AD12" s="137" t="s">
        <v>460</v>
      </c>
      <c r="AE12" s="138" t="s">
        <v>461</v>
      </c>
      <c r="AF12" s="136" t="s">
        <v>458</v>
      </c>
      <c r="AG12" s="137" t="s">
        <v>459</v>
      </c>
      <c r="AH12" s="137" t="s">
        <v>460</v>
      </c>
      <c r="AI12" s="138" t="s">
        <v>461</v>
      </c>
      <c r="AJ12" s="136" t="s">
        <v>458</v>
      </c>
      <c r="AK12" s="137" t="s">
        <v>459</v>
      </c>
      <c r="AL12" s="137" t="s">
        <v>460</v>
      </c>
      <c r="AM12" s="138" t="s">
        <v>461</v>
      </c>
      <c r="AN12" s="136" t="s">
        <v>458</v>
      </c>
      <c r="AO12" s="137" t="s">
        <v>459</v>
      </c>
      <c r="AP12" s="137" t="s">
        <v>460</v>
      </c>
      <c r="AQ12" s="138" t="s">
        <v>461</v>
      </c>
      <c r="AR12" s="136" t="s">
        <v>458</v>
      </c>
      <c r="AS12" s="137" t="s">
        <v>459</v>
      </c>
      <c r="AT12" s="137" t="s">
        <v>460</v>
      </c>
      <c r="AU12" s="138" t="s">
        <v>461</v>
      </c>
      <c r="AV12" s="136" t="s">
        <v>458</v>
      </c>
      <c r="AW12" s="137" t="s">
        <v>459</v>
      </c>
      <c r="AX12" s="137" t="s">
        <v>460</v>
      </c>
      <c r="AY12" s="138" t="s">
        <v>461</v>
      </c>
      <c r="AZ12" s="136" t="s">
        <v>458</v>
      </c>
      <c r="BA12" s="137" t="s">
        <v>459</v>
      </c>
      <c r="BB12" s="137" t="s">
        <v>460</v>
      </c>
      <c r="BC12" s="138" t="s">
        <v>461</v>
      </c>
      <c r="BD12" s="136" t="s">
        <v>458</v>
      </c>
      <c r="BE12" s="137" t="s">
        <v>459</v>
      </c>
      <c r="BF12" s="137" t="s">
        <v>460</v>
      </c>
      <c r="BG12" s="138" t="s">
        <v>461</v>
      </c>
      <c r="BH12" s="136" t="s">
        <v>458</v>
      </c>
      <c r="BI12" s="137" t="s">
        <v>459</v>
      </c>
      <c r="BJ12" s="137" t="s">
        <v>460</v>
      </c>
      <c r="BK12" s="138" t="s">
        <v>461</v>
      </c>
      <c r="BL12" s="136" t="s">
        <v>458</v>
      </c>
      <c r="BM12" s="137" t="s">
        <v>459</v>
      </c>
      <c r="BN12" s="137" t="s">
        <v>460</v>
      </c>
      <c r="BO12" s="138" t="s">
        <v>461</v>
      </c>
      <c r="BP12" s="136" t="s">
        <v>458</v>
      </c>
      <c r="BQ12" s="137" t="s">
        <v>459</v>
      </c>
      <c r="BR12" s="137" t="s">
        <v>460</v>
      </c>
      <c r="BS12" s="138" t="s">
        <v>461</v>
      </c>
      <c r="BT12" s="136" t="s">
        <v>458</v>
      </c>
      <c r="BU12" s="137" t="s">
        <v>459</v>
      </c>
      <c r="BV12" s="137" t="s">
        <v>460</v>
      </c>
      <c r="BW12" s="138" t="s">
        <v>461</v>
      </c>
      <c r="BX12" s="136" t="s">
        <v>458</v>
      </c>
      <c r="BY12" s="137" t="s">
        <v>459</v>
      </c>
      <c r="BZ12" s="137" t="s">
        <v>460</v>
      </c>
      <c r="CA12" s="138" t="s">
        <v>461</v>
      </c>
      <c r="CB12" s="136" t="s">
        <v>458</v>
      </c>
      <c r="CC12" s="137" t="s">
        <v>459</v>
      </c>
      <c r="CD12" s="137" t="s">
        <v>460</v>
      </c>
      <c r="CE12" s="138" t="s">
        <v>461</v>
      </c>
      <c r="CF12" s="136" t="s">
        <v>458</v>
      </c>
      <c r="CG12" s="137" t="s">
        <v>459</v>
      </c>
      <c r="CH12" s="137" t="s">
        <v>460</v>
      </c>
      <c r="CI12" s="138" t="s">
        <v>461</v>
      </c>
      <c r="CJ12" s="136" t="s">
        <v>458</v>
      </c>
      <c r="CK12" s="137" t="s">
        <v>459</v>
      </c>
      <c r="CL12" s="137" t="s">
        <v>460</v>
      </c>
      <c r="CM12" s="138" t="s">
        <v>461</v>
      </c>
      <c r="CN12" s="136" t="s">
        <v>458</v>
      </c>
      <c r="CO12" s="137" t="s">
        <v>459</v>
      </c>
      <c r="CP12" s="137" t="s">
        <v>460</v>
      </c>
      <c r="CQ12" s="138" t="s">
        <v>461</v>
      </c>
      <c r="CR12" s="136" t="s">
        <v>458</v>
      </c>
      <c r="CS12" s="137" t="s">
        <v>459</v>
      </c>
      <c r="CT12" s="137" t="s">
        <v>460</v>
      </c>
      <c r="CU12" s="138" t="s">
        <v>461</v>
      </c>
      <c r="CV12" s="136" t="s">
        <v>458</v>
      </c>
      <c r="CW12" s="137" t="s">
        <v>459</v>
      </c>
      <c r="CX12" s="137" t="s">
        <v>460</v>
      </c>
      <c r="CY12" s="138" t="s">
        <v>461</v>
      </c>
      <c r="CZ12" s="136" t="s">
        <v>458</v>
      </c>
      <c r="DA12" s="137" t="s">
        <v>459</v>
      </c>
      <c r="DB12" s="137" t="s">
        <v>460</v>
      </c>
      <c r="DC12" s="138" t="s">
        <v>461</v>
      </c>
      <c r="DD12" s="136" t="s">
        <v>458</v>
      </c>
      <c r="DE12" s="137" t="s">
        <v>459</v>
      </c>
      <c r="DF12" s="137" t="s">
        <v>460</v>
      </c>
      <c r="DG12" s="138" t="s">
        <v>461</v>
      </c>
      <c r="DH12" s="136" t="s">
        <v>458</v>
      </c>
      <c r="DI12" s="137" t="s">
        <v>459</v>
      </c>
      <c r="DJ12" s="137" t="s">
        <v>460</v>
      </c>
      <c r="DK12" s="138" t="s">
        <v>461</v>
      </c>
      <c r="DL12" s="136" t="s">
        <v>458</v>
      </c>
      <c r="DM12" s="137" t="s">
        <v>459</v>
      </c>
      <c r="DN12" s="137" t="s">
        <v>460</v>
      </c>
      <c r="DO12" s="138" t="s">
        <v>461</v>
      </c>
      <c r="DP12" s="136" t="s">
        <v>458</v>
      </c>
      <c r="DQ12" s="137" t="s">
        <v>459</v>
      </c>
      <c r="DR12" s="137" t="s">
        <v>460</v>
      </c>
      <c r="DS12" s="138" t="s">
        <v>461</v>
      </c>
      <c r="DT12" s="136" t="s">
        <v>458</v>
      </c>
      <c r="DU12" s="137" t="s">
        <v>459</v>
      </c>
      <c r="DV12" s="137" t="s">
        <v>460</v>
      </c>
      <c r="DW12" s="138" t="s">
        <v>461</v>
      </c>
      <c r="DX12" s="136" t="s">
        <v>458</v>
      </c>
      <c r="DY12" s="137" t="s">
        <v>459</v>
      </c>
      <c r="DZ12" s="137" t="s">
        <v>460</v>
      </c>
      <c r="EA12" s="138" t="s">
        <v>461</v>
      </c>
    </row>
    <row r="13" spans="1:131" ht="18" customHeight="1" x14ac:dyDescent="0.2">
      <c r="A13" s="34"/>
      <c r="B13" s="706" t="str">
        <f>'General Set-Up'!$B$7</f>
        <v>KING</v>
      </c>
      <c r="C13" s="707"/>
      <c r="D13" s="142"/>
      <c r="E13" s="143"/>
      <c r="F13" s="144"/>
      <c r="G13" s="145"/>
      <c r="H13" s="139"/>
      <c r="I13" s="133"/>
      <c r="J13" s="133"/>
      <c r="K13" s="53"/>
      <c r="L13" s="142"/>
      <c r="M13" s="143"/>
      <c r="N13" s="144"/>
      <c r="O13" s="145"/>
      <c r="P13" s="139"/>
      <c r="Q13" s="133"/>
      <c r="R13" s="133"/>
      <c r="S13" s="53"/>
      <c r="T13" s="142"/>
      <c r="U13" s="143"/>
      <c r="V13" s="144"/>
      <c r="W13" s="145"/>
      <c r="X13" s="139"/>
      <c r="Y13" s="133"/>
      <c r="Z13" s="133"/>
      <c r="AA13" s="53"/>
      <c r="AB13" s="142"/>
      <c r="AC13" s="143"/>
      <c r="AD13" s="144"/>
      <c r="AE13" s="145"/>
      <c r="AF13" s="139"/>
      <c r="AG13" s="133"/>
      <c r="AH13" s="133"/>
      <c r="AI13" s="53"/>
      <c r="AJ13" s="142"/>
      <c r="AK13" s="143"/>
      <c r="AL13" s="144"/>
      <c r="AM13" s="145"/>
      <c r="AN13" s="139"/>
      <c r="AO13" s="133"/>
      <c r="AP13" s="133"/>
      <c r="AQ13" s="53"/>
      <c r="AR13" s="142"/>
      <c r="AS13" s="143"/>
      <c r="AT13" s="144"/>
      <c r="AU13" s="145"/>
      <c r="AV13" s="139"/>
      <c r="AW13" s="133"/>
      <c r="AX13" s="133"/>
      <c r="AY13" s="53"/>
      <c r="AZ13" s="142"/>
      <c r="BA13" s="143"/>
      <c r="BB13" s="144"/>
      <c r="BC13" s="145"/>
      <c r="BD13" s="139"/>
      <c r="BE13" s="133"/>
      <c r="BF13" s="133"/>
      <c r="BG13" s="53"/>
      <c r="BH13" s="142"/>
      <c r="BI13" s="143"/>
      <c r="BJ13" s="144"/>
      <c r="BK13" s="145"/>
      <c r="BL13" s="139"/>
      <c r="BM13" s="133"/>
      <c r="BN13" s="133"/>
      <c r="BO13" s="53"/>
      <c r="BP13" s="142"/>
      <c r="BQ13" s="143"/>
      <c r="BR13" s="144"/>
      <c r="BS13" s="145"/>
      <c r="BT13" s="139"/>
      <c r="BU13" s="133"/>
      <c r="BV13" s="133"/>
      <c r="BW13" s="53"/>
      <c r="BX13" s="142"/>
      <c r="BY13" s="143"/>
      <c r="BZ13" s="144"/>
      <c r="CA13" s="145"/>
      <c r="CB13" s="139"/>
      <c r="CC13" s="133"/>
      <c r="CD13" s="133"/>
      <c r="CE13" s="53"/>
      <c r="CF13" s="142"/>
      <c r="CG13" s="143"/>
      <c r="CH13" s="144"/>
      <c r="CI13" s="145"/>
      <c r="CJ13" s="139"/>
      <c r="CK13" s="133"/>
      <c r="CL13" s="133"/>
      <c r="CM13" s="53"/>
      <c r="CN13" s="142"/>
      <c r="CO13" s="143"/>
      <c r="CP13" s="144"/>
      <c r="CQ13" s="145"/>
      <c r="CR13" s="139"/>
      <c r="CS13" s="133"/>
      <c r="CT13" s="133"/>
      <c r="CU13" s="53"/>
      <c r="CV13" s="142"/>
      <c r="CW13" s="143"/>
      <c r="CX13" s="144"/>
      <c r="CY13" s="145"/>
      <c r="CZ13" s="139"/>
      <c r="DA13" s="133"/>
      <c r="DB13" s="133"/>
      <c r="DC13" s="53"/>
      <c r="DD13" s="142"/>
      <c r="DE13" s="143"/>
      <c r="DF13" s="144"/>
      <c r="DG13" s="145"/>
      <c r="DH13" s="139"/>
      <c r="DI13" s="133"/>
      <c r="DJ13" s="133"/>
      <c r="DK13" s="53"/>
      <c r="DL13" s="142"/>
      <c r="DM13" s="143"/>
      <c r="DN13" s="144"/>
      <c r="DO13" s="145"/>
      <c r="DP13" s="139"/>
      <c r="DQ13" s="133"/>
      <c r="DR13" s="133"/>
      <c r="DS13" s="53"/>
      <c r="DT13" s="142"/>
      <c r="DU13" s="143"/>
      <c r="DV13" s="144"/>
      <c r="DW13" s="145"/>
      <c r="DX13" s="139"/>
      <c r="DY13" s="133"/>
      <c r="DZ13" s="133"/>
      <c r="EA13" s="53"/>
    </row>
    <row r="14" spans="1:131" ht="18" customHeight="1" x14ac:dyDescent="0.2">
      <c r="B14" s="682" t="str">
        <f>'General Set-Up'!B8</f>
        <v>DBDB</v>
      </c>
      <c r="C14" s="683"/>
      <c r="D14" s="48"/>
      <c r="E14" s="47"/>
      <c r="F14" s="46"/>
      <c r="G14" s="49"/>
      <c r="H14" s="140"/>
      <c r="I14" s="134"/>
      <c r="J14" s="134"/>
      <c r="K14" s="49"/>
      <c r="L14" s="48"/>
      <c r="M14" s="47"/>
      <c r="N14" s="46"/>
      <c r="O14" s="49"/>
      <c r="P14" s="140"/>
      <c r="Q14" s="134"/>
      <c r="R14" s="134"/>
      <c r="S14" s="49"/>
      <c r="T14" s="48"/>
      <c r="U14" s="47"/>
      <c r="V14" s="46"/>
      <c r="W14" s="49"/>
      <c r="X14" s="140"/>
      <c r="Y14" s="134"/>
      <c r="Z14" s="134"/>
      <c r="AA14" s="49"/>
      <c r="AB14" s="48"/>
      <c r="AC14" s="47"/>
      <c r="AD14" s="46"/>
      <c r="AE14" s="49"/>
      <c r="AF14" s="140"/>
      <c r="AG14" s="134"/>
      <c r="AH14" s="134"/>
      <c r="AI14" s="49"/>
      <c r="AJ14" s="48"/>
      <c r="AK14" s="47"/>
      <c r="AL14" s="46"/>
      <c r="AM14" s="49"/>
      <c r="AN14" s="140"/>
      <c r="AO14" s="134"/>
      <c r="AP14" s="134"/>
      <c r="AQ14" s="49"/>
      <c r="AR14" s="48"/>
      <c r="AS14" s="47"/>
      <c r="AT14" s="46"/>
      <c r="AU14" s="49"/>
      <c r="AV14" s="140"/>
      <c r="AW14" s="134"/>
      <c r="AX14" s="134"/>
      <c r="AY14" s="49"/>
      <c r="AZ14" s="48"/>
      <c r="BA14" s="47"/>
      <c r="BB14" s="46"/>
      <c r="BC14" s="49"/>
      <c r="BD14" s="140"/>
      <c r="BE14" s="134"/>
      <c r="BF14" s="134"/>
      <c r="BG14" s="49"/>
      <c r="BH14" s="48"/>
      <c r="BI14" s="47"/>
      <c r="BJ14" s="46"/>
      <c r="BK14" s="49"/>
      <c r="BL14" s="140"/>
      <c r="BM14" s="134"/>
      <c r="BN14" s="134"/>
      <c r="BO14" s="49"/>
      <c r="BP14" s="48"/>
      <c r="BQ14" s="47"/>
      <c r="BR14" s="46"/>
      <c r="BS14" s="49"/>
      <c r="BT14" s="140"/>
      <c r="BU14" s="134"/>
      <c r="BV14" s="134"/>
      <c r="BW14" s="49"/>
      <c r="BX14" s="48"/>
      <c r="BY14" s="47"/>
      <c r="BZ14" s="46"/>
      <c r="CA14" s="49"/>
      <c r="CB14" s="140"/>
      <c r="CC14" s="134"/>
      <c r="CD14" s="134"/>
      <c r="CE14" s="49"/>
      <c r="CF14" s="48"/>
      <c r="CG14" s="47"/>
      <c r="CH14" s="46"/>
      <c r="CI14" s="49"/>
      <c r="CJ14" s="140"/>
      <c r="CK14" s="134"/>
      <c r="CL14" s="134"/>
      <c r="CM14" s="49"/>
      <c r="CN14" s="48"/>
      <c r="CO14" s="47"/>
      <c r="CP14" s="46"/>
      <c r="CQ14" s="49"/>
      <c r="CR14" s="140"/>
      <c r="CS14" s="134"/>
      <c r="CT14" s="134"/>
      <c r="CU14" s="49"/>
      <c r="CV14" s="48"/>
      <c r="CW14" s="47"/>
      <c r="CX14" s="46"/>
      <c r="CY14" s="49"/>
      <c r="CZ14" s="140"/>
      <c r="DA14" s="134"/>
      <c r="DB14" s="134"/>
      <c r="DC14" s="49"/>
      <c r="DD14" s="48"/>
      <c r="DE14" s="47"/>
      <c r="DF14" s="46"/>
      <c r="DG14" s="49"/>
      <c r="DH14" s="140"/>
      <c r="DI14" s="134"/>
      <c r="DJ14" s="134"/>
      <c r="DK14" s="49"/>
      <c r="DL14" s="48"/>
      <c r="DM14" s="47"/>
      <c r="DN14" s="46"/>
      <c r="DO14" s="49"/>
      <c r="DP14" s="140"/>
      <c r="DQ14" s="134"/>
      <c r="DR14" s="134"/>
      <c r="DS14" s="49"/>
      <c r="DT14" s="48"/>
      <c r="DU14" s="47"/>
      <c r="DV14" s="46"/>
      <c r="DW14" s="49"/>
      <c r="DX14" s="140"/>
      <c r="DY14" s="134"/>
      <c r="DZ14" s="134"/>
      <c r="EA14" s="49"/>
    </row>
    <row r="15" spans="1:131" ht="18" customHeight="1" x14ac:dyDescent="0.2">
      <c r="B15" s="682" t="str">
        <f>'General Set-Up'!B9</f>
        <v>PMRS</v>
      </c>
      <c r="C15" s="683"/>
      <c r="D15" s="48"/>
      <c r="E15" s="47"/>
      <c r="F15" s="46"/>
      <c r="G15" s="49"/>
      <c r="H15" s="140"/>
      <c r="I15" s="134"/>
      <c r="J15" s="134"/>
      <c r="K15" s="49"/>
      <c r="L15" s="48"/>
      <c r="M15" s="47"/>
      <c r="N15" s="46"/>
      <c r="O15" s="49"/>
      <c r="P15" s="140"/>
      <c r="Q15" s="134"/>
      <c r="R15" s="134"/>
      <c r="S15" s="49"/>
      <c r="T15" s="48"/>
      <c r="U15" s="47"/>
      <c r="V15" s="46"/>
      <c r="W15" s="49"/>
      <c r="X15" s="140"/>
      <c r="Y15" s="134"/>
      <c r="Z15" s="134"/>
      <c r="AA15" s="49"/>
      <c r="AB15" s="48"/>
      <c r="AC15" s="47"/>
      <c r="AD15" s="46"/>
      <c r="AE15" s="49"/>
      <c r="AF15" s="140"/>
      <c r="AG15" s="134"/>
      <c r="AH15" s="134"/>
      <c r="AI15" s="49"/>
      <c r="AJ15" s="48"/>
      <c r="AK15" s="47"/>
      <c r="AL15" s="46"/>
      <c r="AM15" s="49"/>
      <c r="AN15" s="140"/>
      <c r="AO15" s="134"/>
      <c r="AP15" s="134"/>
      <c r="AQ15" s="49"/>
      <c r="AR15" s="48"/>
      <c r="AS15" s="47"/>
      <c r="AT15" s="46"/>
      <c r="AU15" s="49"/>
      <c r="AV15" s="140"/>
      <c r="AW15" s="134"/>
      <c r="AX15" s="134"/>
      <c r="AY15" s="49"/>
      <c r="AZ15" s="48"/>
      <c r="BA15" s="47"/>
      <c r="BB15" s="46"/>
      <c r="BC15" s="49"/>
      <c r="BD15" s="140"/>
      <c r="BE15" s="134"/>
      <c r="BF15" s="134"/>
      <c r="BG15" s="49"/>
      <c r="BH15" s="48"/>
      <c r="BI15" s="47"/>
      <c r="BJ15" s="46"/>
      <c r="BK15" s="49"/>
      <c r="BL15" s="140"/>
      <c r="BM15" s="134"/>
      <c r="BN15" s="134"/>
      <c r="BO15" s="49"/>
      <c r="BP15" s="48"/>
      <c r="BQ15" s="47"/>
      <c r="BR15" s="46"/>
      <c r="BS15" s="49"/>
      <c r="BT15" s="140"/>
      <c r="BU15" s="134"/>
      <c r="BV15" s="134"/>
      <c r="BW15" s="49"/>
      <c r="BX15" s="48"/>
      <c r="BY15" s="47"/>
      <c r="BZ15" s="46"/>
      <c r="CA15" s="49"/>
      <c r="CB15" s="140"/>
      <c r="CC15" s="134"/>
      <c r="CD15" s="134"/>
      <c r="CE15" s="49"/>
      <c r="CF15" s="48"/>
      <c r="CG15" s="47"/>
      <c r="CH15" s="46"/>
      <c r="CI15" s="49"/>
      <c r="CJ15" s="140"/>
      <c r="CK15" s="134"/>
      <c r="CL15" s="134"/>
      <c r="CM15" s="49"/>
      <c r="CN15" s="48"/>
      <c r="CO15" s="47"/>
      <c r="CP15" s="46"/>
      <c r="CQ15" s="49"/>
      <c r="CR15" s="140"/>
      <c r="CS15" s="134"/>
      <c r="CT15" s="134"/>
      <c r="CU15" s="49"/>
      <c r="CV15" s="48"/>
      <c r="CW15" s="47"/>
      <c r="CX15" s="46"/>
      <c r="CY15" s="49"/>
      <c r="CZ15" s="140"/>
      <c r="DA15" s="134"/>
      <c r="DB15" s="134"/>
      <c r="DC15" s="49"/>
      <c r="DD15" s="48"/>
      <c r="DE15" s="47"/>
      <c r="DF15" s="46"/>
      <c r="DG15" s="49"/>
      <c r="DH15" s="140"/>
      <c r="DI15" s="134"/>
      <c r="DJ15" s="134"/>
      <c r="DK15" s="49"/>
      <c r="DL15" s="48"/>
      <c r="DM15" s="47"/>
      <c r="DN15" s="46"/>
      <c r="DO15" s="49"/>
      <c r="DP15" s="140"/>
      <c r="DQ15" s="134"/>
      <c r="DR15" s="134"/>
      <c r="DS15" s="49"/>
      <c r="DT15" s="48"/>
      <c r="DU15" s="47"/>
      <c r="DV15" s="46"/>
      <c r="DW15" s="49"/>
      <c r="DX15" s="140"/>
      <c r="DY15" s="134"/>
      <c r="DZ15" s="134"/>
      <c r="EA15" s="49"/>
    </row>
    <row r="16" spans="1:131" ht="18" customHeight="1" x14ac:dyDescent="0.2">
      <c r="B16" s="682" t="str">
        <f>'General Set-Up'!B10</f>
        <v>PMRS</v>
      </c>
      <c r="C16" s="683"/>
      <c r="D16" s="48"/>
      <c r="E16" s="47"/>
      <c r="F16" s="46"/>
      <c r="G16" s="49"/>
      <c r="H16" s="140"/>
      <c r="I16" s="134"/>
      <c r="J16" s="134"/>
      <c r="K16" s="49"/>
      <c r="L16" s="48"/>
      <c r="M16" s="47"/>
      <c r="N16" s="46"/>
      <c r="O16" s="49"/>
      <c r="P16" s="140"/>
      <c r="Q16" s="134"/>
      <c r="R16" s="134"/>
      <c r="S16" s="49"/>
      <c r="T16" s="48"/>
      <c r="U16" s="47"/>
      <c r="V16" s="46"/>
      <c r="W16" s="49"/>
      <c r="X16" s="140"/>
      <c r="Y16" s="134"/>
      <c r="Z16" s="134"/>
      <c r="AA16" s="49"/>
      <c r="AB16" s="48"/>
      <c r="AC16" s="47"/>
      <c r="AD16" s="46"/>
      <c r="AE16" s="49"/>
      <c r="AF16" s="140"/>
      <c r="AG16" s="134"/>
      <c r="AH16" s="134"/>
      <c r="AI16" s="49"/>
      <c r="AJ16" s="48"/>
      <c r="AK16" s="47"/>
      <c r="AL16" s="46"/>
      <c r="AM16" s="49"/>
      <c r="AN16" s="140"/>
      <c r="AO16" s="134"/>
      <c r="AP16" s="134"/>
      <c r="AQ16" s="49"/>
      <c r="AR16" s="48"/>
      <c r="AS16" s="47"/>
      <c r="AT16" s="46"/>
      <c r="AU16" s="49"/>
      <c r="AV16" s="140"/>
      <c r="AW16" s="134"/>
      <c r="AX16" s="134"/>
      <c r="AY16" s="49"/>
      <c r="AZ16" s="48"/>
      <c r="BA16" s="47"/>
      <c r="BB16" s="46"/>
      <c r="BC16" s="49"/>
      <c r="BD16" s="140"/>
      <c r="BE16" s="134"/>
      <c r="BF16" s="134"/>
      <c r="BG16" s="49"/>
      <c r="BH16" s="48"/>
      <c r="BI16" s="47"/>
      <c r="BJ16" s="46"/>
      <c r="BK16" s="49"/>
      <c r="BL16" s="140"/>
      <c r="BM16" s="134"/>
      <c r="BN16" s="134"/>
      <c r="BO16" s="49"/>
      <c r="BP16" s="48"/>
      <c r="BQ16" s="47"/>
      <c r="BR16" s="46"/>
      <c r="BS16" s="49"/>
      <c r="BT16" s="140"/>
      <c r="BU16" s="134"/>
      <c r="BV16" s="134"/>
      <c r="BW16" s="49"/>
      <c r="BX16" s="48"/>
      <c r="BY16" s="47"/>
      <c r="BZ16" s="46"/>
      <c r="CA16" s="49"/>
      <c r="CB16" s="140"/>
      <c r="CC16" s="134"/>
      <c r="CD16" s="134"/>
      <c r="CE16" s="49"/>
      <c r="CF16" s="48"/>
      <c r="CG16" s="47"/>
      <c r="CH16" s="46"/>
      <c r="CI16" s="49"/>
      <c r="CJ16" s="140"/>
      <c r="CK16" s="134"/>
      <c r="CL16" s="134"/>
      <c r="CM16" s="49"/>
      <c r="CN16" s="48"/>
      <c r="CO16" s="47"/>
      <c r="CP16" s="46"/>
      <c r="CQ16" s="49"/>
      <c r="CR16" s="140"/>
      <c r="CS16" s="134"/>
      <c r="CT16" s="134"/>
      <c r="CU16" s="49"/>
      <c r="CV16" s="48"/>
      <c r="CW16" s="47"/>
      <c r="CX16" s="46"/>
      <c r="CY16" s="49"/>
      <c r="CZ16" s="140"/>
      <c r="DA16" s="134"/>
      <c r="DB16" s="134"/>
      <c r="DC16" s="49"/>
      <c r="DD16" s="48"/>
      <c r="DE16" s="47"/>
      <c r="DF16" s="46"/>
      <c r="DG16" s="49"/>
      <c r="DH16" s="140"/>
      <c r="DI16" s="134"/>
      <c r="DJ16" s="134"/>
      <c r="DK16" s="49"/>
      <c r="DL16" s="48"/>
      <c r="DM16" s="47"/>
      <c r="DN16" s="46"/>
      <c r="DO16" s="49"/>
      <c r="DP16" s="140"/>
      <c r="DQ16" s="134"/>
      <c r="DR16" s="134"/>
      <c r="DS16" s="49"/>
      <c r="DT16" s="48"/>
      <c r="DU16" s="47"/>
      <c r="DV16" s="46"/>
      <c r="DW16" s="49"/>
      <c r="DX16" s="140"/>
      <c r="DY16" s="134"/>
      <c r="DZ16" s="134"/>
      <c r="EA16" s="49"/>
    </row>
    <row r="17" spans="1:131" ht="18" customHeight="1" x14ac:dyDescent="0.2">
      <c r="B17" s="682">
        <f>'General Set-Up'!B11</f>
        <v>0</v>
      </c>
      <c r="C17" s="683"/>
      <c r="D17" s="48"/>
      <c r="E17" s="47"/>
      <c r="F17" s="46"/>
      <c r="G17" s="49"/>
      <c r="H17" s="140"/>
      <c r="I17" s="134"/>
      <c r="J17" s="134"/>
      <c r="K17" s="49"/>
      <c r="L17" s="48"/>
      <c r="M17" s="47"/>
      <c r="N17" s="46"/>
      <c r="O17" s="49"/>
      <c r="P17" s="140"/>
      <c r="Q17" s="134"/>
      <c r="R17" s="134"/>
      <c r="S17" s="49"/>
      <c r="T17" s="48"/>
      <c r="U17" s="47"/>
      <c r="V17" s="46"/>
      <c r="W17" s="49"/>
      <c r="X17" s="140"/>
      <c r="Y17" s="134"/>
      <c r="Z17" s="134"/>
      <c r="AA17" s="49"/>
      <c r="AB17" s="48"/>
      <c r="AC17" s="47"/>
      <c r="AD17" s="46"/>
      <c r="AE17" s="49"/>
      <c r="AF17" s="140"/>
      <c r="AG17" s="134"/>
      <c r="AH17" s="134"/>
      <c r="AI17" s="49"/>
      <c r="AJ17" s="48"/>
      <c r="AK17" s="47"/>
      <c r="AL17" s="46"/>
      <c r="AM17" s="49"/>
      <c r="AN17" s="140"/>
      <c r="AO17" s="134"/>
      <c r="AP17" s="134"/>
      <c r="AQ17" s="49"/>
      <c r="AR17" s="48"/>
      <c r="AS17" s="47"/>
      <c r="AT17" s="46"/>
      <c r="AU17" s="49"/>
      <c r="AV17" s="140"/>
      <c r="AW17" s="134"/>
      <c r="AX17" s="134"/>
      <c r="AY17" s="49"/>
      <c r="AZ17" s="48"/>
      <c r="BA17" s="47"/>
      <c r="BB17" s="46"/>
      <c r="BC17" s="49"/>
      <c r="BD17" s="140"/>
      <c r="BE17" s="134"/>
      <c r="BF17" s="134"/>
      <c r="BG17" s="49"/>
      <c r="BH17" s="48"/>
      <c r="BI17" s="47"/>
      <c r="BJ17" s="46"/>
      <c r="BK17" s="49"/>
      <c r="BL17" s="140"/>
      <c r="BM17" s="134"/>
      <c r="BN17" s="134"/>
      <c r="BO17" s="49"/>
      <c r="BP17" s="48"/>
      <c r="BQ17" s="47"/>
      <c r="BR17" s="46"/>
      <c r="BS17" s="49"/>
      <c r="BT17" s="140"/>
      <c r="BU17" s="134"/>
      <c r="BV17" s="134"/>
      <c r="BW17" s="49"/>
      <c r="BX17" s="48"/>
      <c r="BY17" s="47"/>
      <c r="BZ17" s="46"/>
      <c r="CA17" s="49"/>
      <c r="CB17" s="140"/>
      <c r="CC17" s="134"/>
      <c r="CD17" s="134"/>
      <c r="CE17" s="49"/>
      <c r="CF17" s="48"/>
      <c r="CG17" s="47"/>
      <c r="CH17" s="46"/>
      <c r="CI17" s="49"/>
      <c r="CJ17" s="140"/>
      <c r="CK17" s="134"/>
      <c r="CL17" s="134"/>
      <c r="CM17" s="49"/>
      <c r="CN17" s="48"/>
      <c r="CO17" s="47"/>
      <c r="CP17" s="46"/>
      <c r="CQ17" s="49"/>
      <c r="CR17" s="140"/>
      <c r="CS17" s="134"/>
      <c r="CT17" s="134"/>
      <c r="CU17" s="49"/>
      <c r="CV17" s="48"/>
      <c r="CW17" s="47"/>
      <c r="CX17" s="46"/>
      <c r="CY17" s="49"/>
      <c r="CZ17" s="140"/>
      <c r="DA17" s="134"/>
      <c r="DB17" s="134"/>
      <c r="DC17" s="49"/>
      <c r="DD17" s="48"/>
      <c r="DE17" s="47"/>
      <c r="DF17" s="46"/>
      <c r="DG17" s="49"/>
      <c r="DH17" s="140"/>
      <c r="DI17" s="134"/>
      <c r="DJ17" s="134"/>
      <c r="DK17" s="49"/>
      <c r="DL17" s="48"/>
      <c r="DM17" s="47"/>
      <c r="DN17" s="46"/>
      <c r="DO17" s="49"/>
      <c r="DP17" s="140"/>
      <c r="DQ17" s="134"/>
      <c r="DR17" s="134"/>
      <c r="DS17" s="49"/>
      <c r="DT17" s="48"/>
      <c r="DU17" s="47"/>
      <c r="DV17" s="46"/>
      <c r="DW17" s="49"/>
      <c r="DX17" s="140"/>
      <c r="DY17" s="134"/>
      <c r="DZ17" s="134"/>
      <c r="EA17" s="49"/>
    </row>
    <row r="18" spans="1:131" ht="18" customHeight="1" x14ac:dyDescent="0.2">
      <c r="B18" s="682">
        <f>'General Set-Up'!B12</f>
        <v>0</v>
      </c>
      <c r="C18" s="683"/>
      <c r="D18" s="48"/>
      <c r="E18" s="47"/>
      <c r="F18" s="46"/>
      <c r="G18" s="49"/>
      <c r="H18" s="140"/>
      <c r="I18" s="134"/>
      <c r="J18" s="134"/>
      <c r="K18" s="49"/>
      <c r="L18" s="48"/>
      <c r="M18" s="47"/>
      <c r="N18" s="46"/>
      <c r="O18" s="49"/>
      <c r="P18" s="140"/>
      <c r="Q18" s="134"/>
      <c r="R18" s="134"/>
      <c r="S18" s="49"/>
      <c r="T18" s="48"/>
      <c r="U18" s="47"/>
      <c r="V18" s="46"/>
      <c r="W18" s="49"/>
      <c r="X18" s="140"/>
      <c r="Y18" s="134"/>
      <c r="Z18" s="134"/>
      <c r="AA18" s="49"/>
      <c r="AB18" s="48"/>
      <c r="AC18" s="47"/>
      <c r="AD18" s="46"/>
      <c r="AE18" s="49"/>
      <c r="AF18" s="140"/>
      <c r="AG18" s="134"/>
      <c r="AH18" s="134"/>
      <c r="AI18" s="49"/>
      <c r="AJ18" s="48"/>
      <c r="AK18" s="47"/>
      <c r="AL18" s="46"/>
      <c r="AM18" s="49"/>
      <c r="AN18" s="140"/>
      <c r="AO18" s="134"/>
      <c r="AP18" s="134"/>
      <c r="AQ18" s="49"/>
      <c r="AR18" s="48"/>
      <c r="AS18" s="47"/>
      <c r="AT18" s="46"/>
      <c r="AU18" s="49"/>
      <c r="AV18" s="140"/>
      <c r="AW18" s="134"/>
      <c r="AX18" s="134"/>
      <c r="AY18" s="49"/>
      <c r="AZ18" s="48"/>
      <c r="BA18" s="47"/>
      <c r="BB18" s="46"/>
      <c r="BC18" s="49"/>
      <c r="BD18" s="140"/>
      <c r="BE18" s="134"/>
      <c r="BF18" s="134"/>
      <c r="BG18" s="49"/>
      <c r="BH18" s="48"/>
      <c r="BI18" s="47"/>
      <c r="BJ18" s="46"/>
      <c r="BK18" s="49"/>
      <c r="BL18" s="140"/>
      <c r="BM18" s="134"/>
      <c r="BN18" s="134"/>
      <c r="BO18" s="49"/>
      <c r="BP18" s="48"/>
      <c r="BQ18" s="47"/>
      <c r="BR18" s="46"/>
      <c r="BS18" s="49"/>
      <c r="BT18" s="140"/>
      <c r="BU18" s="134"/>
      <c r="BV18" s="134"/>
      <c r="BW18" s="49"/>
      <c r="BX18" s="48"/>
      <c r="BY18" s="47"/>
      <c r="BZ18" s="46"/>
      <c r="CA18" s="49"/>
      <c r="CB18" s="140"/>
      <c r="CC18" s="134"/>
      <c r="CD18" s="134"/>
      <c r="CE18" s="49"/>
      <c r="CF18" s="48"/>
      <c r="CG18" s="47"/>
      <c r="CH18" s="46"/>
      <c r="CI18" s="49"/>
      <c r="CJ18" s="140"/>
      <c r="CK18" s="134"/>
      <c r="CL18" s="134"/>
      <c r="CM18" s="49"/>
      <c r="CN18" s="48"/>
      <c r="CO18" s="47"/>
      <c r="CP18" s="46"/>
      <c r="CQ18" s="49"/>
      <c r="CR18" s="140"/>
      <c r="CS18" s="134"/>
      <c r="CT18" s="134"/>
      <c r="CU18" s="49"/>
      <c r="CV18" s="48"/>
      <c r="CW18" s="47"/>
      <c r="CX18" s="46"/>
      <c r="CY18" s="49"/>
      <c r="CZ18" s="140"/>
      <c r="DA18" s="134"/>
      <c r="DB18" s="134"/>
      <c r="DC18" s="49"/>
      <c r="DD18" s="48"/>
      <c r="DE18" s="47"/>
      <c r="DF18" s="46"/>
      <c r="DG18" s="49"/>
      <c r="DH18" s="140"/>
      <c r="DI18" s="134"/>
      <c r="DJ18" s="134"/>
      <c r="DK18" s="49"/>
      <c r="DL18" s="48"/>
      <c r="DM18" s="47"/>
      <c r="DN18" s="46"/>
      <c r="DO18" s="49"/>
      <c r="DP18" s="140"/>
      <c r="DQ18" s="134"/>
      <c r="DR18" s="134"/>
      <c r="DS18" s="49"/>
      <c r="DT18" s="48"/>
      <c r="DU18" s="47"/>
      <c r="DV18" s="46"/>
      <c r="DW18" s="49"/>
      <c r="DX18" s="140"/>
      <c r="DY18" s="134"/>
      <c r="DZ18" s="134"/>
      <c r="EA18" s="49"/>
    </row>
    <row r="19" spans="1:131" ht="18" customHeight="1" x14ac:dyDescent="0.2">
      <c r="B19" s="682">
        <f>'General Set-Up'!B13</f>
        <v>0</v>
      </c>
      <c r="C19" s="683"/>
      <c r="D19" s="48"/>
      <c r="E19" s="47"/>
      <c r="F19" s="46"/>
      <c r="G19" s="49"/>
      <c r="H19" s="140"/>
      <c r="I19" s="134"/>
      <c r="J19" s="134"/>
      <c r="K19" s="49"/>
      <c r="L19" s="48"/>
      <c r="M19" s="47"/>
      <c r="N19" s="46"/>
      <c r="O19" s="49"/>
      <c r="P19" s="140"/>
      <c r="Q19" s="134"/>
      <c r="R19" s="134"/>
      <c r="S19" s="49"/>
      <c r="T19" s="48"/>
      <c r="U19" s="47"/>
      <c r="V19" s="46"/>
      <c r="W19" s="49"/>
      <c r="X19" s="140"/>
      <c r="Y19" s="134"/>
      <c r="Z19" s="134"/>
      <c r="AA19" s="49"/>
      <c r="AB19" s="48"/>
      <c r="AC19" s="47"/>
      <c r="AD19" s="46"/>
      <c r="AE19" s="49"/>
      <c r="AF19" s="140"/>
      <c r="AG19" s="134"/>
      <c r="AH19" s="134"/>
      <c r="AI19" s="49"/>
      <c r="AJ19" s="48"/>
      <c r="AK19" s="47"/>
      <c r="AL19" s="46"/>
      <c r="AM19" s="49"/>
      <c r="AN19" s="140"/>
      <c r="AO19" s="134"/>
      <c r="AP19" s="134"/>
      <c r="AQ19" s="49"/>
      <c r="AR19" s="48"/>
      <c r="AS19" s="47"/>
      <c r="AT19" s="46"/>
      <c r="AU19" s="49"/>
      <c r="AV19" s="140"/>
      <c r="AW19" s="134"/>
      <c r="AX19" s="134"/>
      <c r="AY19" s="49"/>
      <c r="AZ19" s="48"/>
      <c r="BA19" s="47"/>
      <c r="BB19" s="46"/>
      <c r="BC19" s="49"/>
      <c r="BD19" s="140"/>
      <c r="BE19" s="134"/>
      <c r="BF19" s="134"/>
      <c r="BG19" s="49"/>
      <c r="BH19" s="48"/>
      <c r="BI19" s="47"/>
      <c r="BJ19" s="46"/>
      <c r="BK19" s="49"/>
      <c r="BL19" s="140"/>
      <c r="BM19" s="134"/>
      <c r="BN19" s="134"/>
      <c r="BO19" s="49"/>
      <c r="BP19" s="48"/>
      <c r="BQ19" s="47"/>
      <c r="BR19" s="46"/>
      <c r="BS19" s="49"/>
      <c r="BT19" s="140"/>
      <c r="BU19" s="134"/>
      <c r="BV19" s="134"/>
      <c r="BW19" s="49"/>
      <c r="BX19" s="48"/>
      <c r="BY19" s="47"/>
      <c r="BZ19" s="46"/>
      <c r="CA19" s="49"/>
      <c r="CB19" s="140"/>
      <c r="CC19" s="134"/>
      <c r="CD19" s="134"/>
      <c r="CE19" s="49"/>
      <c r="CF19" s="48"/>
      <c r="CG19" s="47"/>
      <c r="CH19" s="46"/>
      <c r="CI19" s="49"/>
      <c r="CJ19" s="140"/>
      <c r="CK19" s="134"/>
      <c r="CL19" s="134"/>
      <c r="CM19" s="49"/>
      <c r="CN19" s="48"/>
      <c r="CO19" s="47"/>
      <c r="CP19" s="46"/>
      <c r="CQ19" s="49"/>
      <c r="CR19" s="140"/>
      <c r="CS19" s="134"/>
      <c r="CT19" s="134"/>
      <c r="CU19" s="49"/>
      <c r="CV19" s="48"/>
      <c r="CW19" s="47"/>
      <c r="CX19" s="46"/>
      <c r="CY19" s="49"/>
      <c r="CZ19" s="140"/>
      <c r="DA19" s="134"/>
      <c r="DB19" s="134"/>
      <c r="DC19" s="49"/>
      <c r="DD19" s="48"/>
      <c r="DE19" s="47"/>
      <c r="DF19" s="46"/>
      <c r="DG19" s="49"/>
      <c r="DH19" s="140"/>
      <c r="DI19" s="134"/>
      <c r="DJ19" s="134"/>
      <c r="DK19" s="49"/>
      <c r="DL19" s="48"/>
      <c r="DM19" s="47"/>
      <c r="DN19" s="46"/>
      <c r="DO19" s="49"/>
      <c r="DP19" s="140"/>
      <c r="DQ19" s="134"/>
      <c r="DR19" s="134"/>
      <c r="DS19" s="49"/>
      <c r="DT19" s="48"/>
      <c r="DU19" s="47"/>
      <c r="DV19" s="46"/>
      <c r="DW19" s="49"/>
      <c r="DX19" s="140"/>
      <c r="DY19" s="134"/>
      <c r="DZ19" s="134"/>
      <c r="EA19" s="49"/>
    </row>
    <row r="20" spans="1:131" ht="18" customHeight="1" x14ac:dyDescent="0.2">
      <c r="B20" s="682">
        <f>'General Set-Up'!B14</f>
        <v>0</v>
      </c>
      <c r="C20" s="683"/>
      <c r="D20" s="48"/>
      <c r="E20" s="47"/>
      <c r="F20" s="46"/>
      <c r="G20" s="49"/>
      <c r="H20" s="140"/>
      <c r="I20" s="134"/>
      <c r="J20" s="134"/>
      <c r="K20" s="49"/>
      <c r="L20" s="48"/>
      <c r="M20" s="47"/>
      <c r="N20" s="46"/>
      <c r="O20" s="49"/>
      <c r="P20" s="140"/>
      <c r="Q20" s="134"/>
      <c r="R20" s="134"/>
      <c r="S20" s="49"/>
      <c r="T20" s="48"/>
      <c r="U20" s="47"/>
      <c r="V20" s="46"/>
      <c r="W20" s="49"/>
      <c r="X20" s="140"/>
      <c r="Y20" s="134"/>
      <c r="Z20" s="134"/>
      <c r="AA20" s="49"/>
      <c r="AB20" s="48"/>
      <c r="AC20" s="47"/>
      <c r="AD20" s="46"/>
      <c r="AE20" s="49"/>
      <c r="AF20" s="140"/>
      <c r="AG20" s="134"/>
      <c r="AH20" s="134"/>
      <c r="AI20" s="49"/>
      <c r="AJ20" s="48"/>
      <c r="AK20" s="47"/>
      <c r="AL20" s="46"/>
      <c r="AM20" s="49"/>
      <c r="AN20" s="140"/>
      <c r="AO20" s="134"/>
      <c r="AP20" s="134"/>
      <c r="AQ20" s="49"/>
      <c r="AR20" s="48"/>
      <c r="AS20" s="47"/>
      <c r="AT20" s="46"/>
      <c r="AU20" s="49"/>
      <c r="AV20" s="140"/>
      <c r="AW20" s="134"/>
      <c r="AX20" s="134"/>
      <c r="AY20" s="49"/>
      <c r="AZ20" s="48"/>
      <c r="BA20" s="47"/>
      <c r="BB20" s="46"/>
      <c r="BC20" s="49"/>
      <c r="BD20" s="140"/>
      <c r="BE20" s="134"/>
      <c r="BF20" s="134"/>
      <c r="BG20" s="49"/>
      <c r="BH20" s="48"/>
      <c r="BI20" s="47"/>
      <c r="BJ20" s="46"/>
      <c r="BK20" s="49"/>
      <c r="BL20" s="140"/>
      <c r="BM20" s="134"/>
      <c r="BN20" s="134"/>
      <c r="BO20" s="49"/>
      <c r="BP20" s="48"/>
      <c r="BQ20" s="47"/>
      <c r="BR20" s="46"/>
      <c r="BS20" s="49"/>
      <c r="BT20" s="140"/>
      <c r="BU20" s="134"/>
      <c r="BV20" s="134"/>
      <c r="BW20" s="49"/>
      <c r="BX20" s="48"/>
      <c r="BY20" s="47"/>
      <c r="BZ20" s="46"/>
      <c r="CA20" s="49"/>
      <c r="CB20" s="140"/>
      <c r="CC20" s="134"/>
      <c r="CD20" s="134"/>
      <c r="CE20" s="49"/>
      <c r="CF20" s="48"/>
      <c r="CG20" s="47"/>
      <c r="CH20" s="46"/>
      <c r="CI20" s="49"/>
      <c r="CJ20" s="140"/>
      <c r="CK20" s="134"/>
      <c r="CL20" s="134"/>
      <c r="CM20" s="49"/>
      <c r="CN20" s="48"/>
      <c r="CO20" s="47"/>
      <c r="CP20" s="46"/>
      <c r="CQ20" s="49"/>
      <c r="CR20" s="140"/>
      <c r="CS20" s="134"/>
      <c r="CT20" s="134"/>
      <c r="CU20" s="49"/>
      <c r="CV20" s="48"/>
      <c r="CW20" s="47"/>
      <c r="CX20" s="46"/>
      <c r="CY20" s="49"/>
      <c r="CZ20" s="140"/>
      <c r="DA20" s="134"/>
      <c r="DB20" s="134"/>
      <c r="DC20" s="49"/>
      <c r="DD20" s="48"/>
      <c r="DE20" s="47"/>
      <c r="DF20" s="46"/>
      <c r="DG20" s="49"/>
      <c r="DH20" s="140"/>
      <c r="DI20" s="134"/>
      <c r="DJ20" s="134"/>
      <c r="DK20" s="49"/>
      <c r="DL20" s="48"/>
      <c r="DM20" s="47"/>
      <c r="DN20" s="46"/>
      <c r="DO20" s="49"/>
      <c r="DP20" s="140"/>
      <c r="DQ20" s="134"/>
      <c r="DR20" s="134"/>
      <c r="DS20" s="49"/>
      <c r="DT20" s="48"/>
      <c r="DU20" s="47"/>
      <c r="DV20" s="46"/>
      <c r="DW20" s="49"/>
      <c r="DX20" s="140"/>
      <c r="DY20" s="134"/>
      <c r="DZ20" s="134"/>
      <c r="EA20" s="49"/>
    </row>
    <row r="21" spans="1:131" ht="18" customHeight="1" x14ac:dyDescent="0.2">
      <c r="B21" s="682">
        <f>'General Set-Up'!B15</f>
        <v>0</v>
      </c>
      <c r="C21" s="683"/>
      <c r="D21" s="48"/>
      <c r="E21" s="47"/>
      <c r="F21" s="46"/>
      <c r="G21" s="49"/>
      <c r="H21" s="140"/>
      <c r="I21" s="134"/>
      <c r="J21" s="134"/>
      <c r="K21" s="49"/>
      <c r="L21" s="48"/>
      <c r="M21" s="47"/>
      <c r="N21" s="46"/>
      <c r="O21" s="49"/>
      <c r="P21" s="140"/>
      <c r="Q21" s="134"/>
      <c r="R21" s="134"/>
      <c r="S21" s="49"/>
      <c r="T21" s="48"/>
      <c r="U21" s="47"/>
      <c r="V21" s="46"/>
      <c r="W21" s="49"/>
      <c r="X21" s="140"/>
      <c r="Y21" s="134"/>
      <c r="Z21" s="134"/>
      <c r="AA21" s="49"/>
      <c r="AB21" s="48"/>
      <c r="AC21" s="47"/>
      <c r="AD21" s="46"/>
      <c r="AE21" s="49"/>
      <c r="AF21" s="140"/>
      <c r="AG21" s="134"/>
      <c r="AH21" s="134"/>
      <c r="AI21" s="49"/>
      <c r="AJ21" s="48"/>
      <c r="AK21" s="47"/>
      <c r="AL21" s="46"/>
      <c r="AM21" s="49"/>
      <c r="AN21" s="140"/>
      <c r="AO21" s="134"/>
      <c r="AP21" s="134"/>
      <c r="AQ21" s="49"/>
      <c r="AR21" s="48"/>
      <c r="AS21" s="47"/>
      <c r="AT21" s="46"/>
      <c r="AU21" s="49"/>
      <c r="AV21" s="140"/>
      <c r="AW21" s="134"/>
      <c r="AX21" s="134"/>
      <c r="AY21" s="49"/>
      <c r="AZ21" s="48"/>
      <c r="BA21" s="47"/>
      <c r="BB21" s="46"/>
      <c r="BC21" s="49"/>
      <c r="BD21" s="140"/>
      <c r="BE21" s="134"/>
      <c r="BF21" s="134"/>
      <c r="BG21" s="49"/>
      <c r="BH21" s="48"/>
      <c r="BI21" s="47"/>
      <c r="BJ21" s="46"/>
      <c r="BK21" s="49"/>
      <c r="BL21" s="140"/>
      <c r="BM21" s="134"/>
      <c r="BN21" s="134"/>
      <c r="BO21" s="49"/>
      <c r="BP21" s="48"/>
      <c r="BQ21" s="47"/>
      <c r="BR21" s="46"/>
      <c r="BS21" s="49"/>
      <c r="BT21" s="140"/>
      <c r="BU21" s="134"/>
      <c r="BV21" s="134"/>
      <c r="BW21" s="49"/>
      <c r="BX21" s="48"/>
      <c r="BY21" s="47"/>
      <c r="BZ21" s="46"/>
      <c r="CA21" s="49"/>
      <c r="CB21" s="140"/>
      <c r="CC21" s="134"/>
      <c r="CD21" s="134"/>
      <c r="CE21" s="49"/>
      <c r="CF21" s="48"/>
      <c r="CG21" s="47"/>
      <c r="CH21" s="46"/>
      <c r="CI21" s="49"/>
      <c r="CJ21" s="140"/>
      <c r="CK21" s="134"/>
      <c r="CL21" s="134"/>
      <c r="CM21" s="49"/>
      <c r="CN21" s="48"/>
      <c r="CO21" s="47"/>
      <c r="CP21" s="46"/>
      <c r="CQ21" s="49"/>
      <c r="CR21" s="140"/>
      <c r="CS21" s="134"/>
      <c r="CT21" s="134"/>
      <c r="CU21" s="49"/>
      <c r="CV21" s="48"/>
      <c r="CW21" s="47"/>
      <c r="CX21" s="46"/>
      <c r="CY21" s="49"/>
      <c r="CZ21" s="140"/>
      <c r="DA21" s="134"/>
      <c r="DB21" s="134"/>
      <c r="DC21" s="49"/>
      <c r="DD21" s="48"/>
      <c r="DE21" s="47"/>
      <c r="DF21" s="46"/>
      <c r="DG21" s="49"/>
      <c r="DH21" s="140"/>
      <c r="DI21" s="134"/>
      <c r="DJ21" s="134"/>
      <c r="DK21" s="49"/>
      <c r="DL21" s="48"/>
      <c r="DM21" s="47"/>
      <c r="DN21" s="46"/>
      <c r="DO21" s="49"/>
      <c r="DP21" s="140"/>
      <c r="DQ21" s="134"/>
      <c r="DR21" s="134"/>
      <c r="DS21" s="49"/>
      <c r="DT21" s="48"/>
      <c r="DU21" s="47"/>
      <c r="DV21" s="46"/>
      <c r="DW21" s="49"/>
      <c r="DX21" s="140"/>
      <c r="DY21" s="134"/>
      <c r="DZ21" s="134"/>
      <c r="EA21" s="49"/>
    </row>
    <row r="22" spans="1:131" ht="18" customHeight="1" x14ac:dyDescent="0.2">
      <c r="B22" s="682">
        <f>'General Set-Up'!B16</f>
        <v>0</v>
      </c>
      <c r="C22" s="683"/>
      <c r="D22" s="48"/>
      <c r="E22" s="47"/>
      <c r="F22" s="46"/>
      <c r="G22" s="49"/>
      <c r="H22" s="140"/>
      <c r="I22" s="134"/>
      <c r="J22" s="134"/>
      <c r="K22" s="49"/>
      <c r="L22" s="48"/>
      <c r="M22" s="47"/>
      <c r="N22" s="46"/>
      <c r="O22" s="49"/>
      <c r="P22" s="140"/>
      <c r="Q22" s="134"/>
      <c r="R22" s="134"/>
      <c r="S22" s="49"/>
      <c r="T22" s="48"/>
      <c r="U22" s="47"/>
      <c r="V22" s="46"/>
      <c r="W22" s="49"/>
      <c r="X22" s="140"/>
      <c r="Y22" s="134"/>
      <c r="Z22" s="134"/>
      <c r="AA22" s="49"/>
      <c r="AB22" s="48"/>
      <c r="AC22" s="47"/>
      <c r="AD22" s="46"/>
      <c r="AE22" s="49"/>
      <c r="AF22" s="140"/>
      <c r="AG22" s="134"/>
      <c r="AH22" s="134"/>
      <c r="AI22" s="49"/>
      <c r="AJ22" s="48"/>
      <c r="AK22" s="47"/>
      <c r="AL22" s="46"/>
      <c r="AM22" s="49"/>
      <c r="AN22" s="140"/>
      <c r="AO22" s="134"/>
      <c r="AP22" s="134"/>
      <c r="AQ22" s="49"/>
      <c r="AR22" s="48"/>
      <c r="AS22" s="47"/>
      <c r="AT22" s="46"/>
      <c r="AU22" s="49"/>
      <c r="AV22" s="140"/>
      <c r="AW22" s="134"/>
      <c r="AX22" s="134"/>
      <c r="AY22" s="49"/>
      <c r="AZ22" s="48"/>
      <c r="BA22" s="47"/>
      <c r="BB22" s="46"/>
      <c r="BC22" s="49"/>
      <c r="BD22" s="140"/>
      <c r="BE22" s="134"/>
      <c r="BF22" s="134"/>
      <c r="BG22" s="49"/>
      <c r="BH22" s="48"/>
      <c r="BI22" s="47"/>
      <c r="BJ22" s="46"/>
      <c r="BK22" s="49"/>
      <c r="BL22" s="140"/>
      <c r="BM22" s="134"/>
      <c r="BN22" s="134"/>
      <c r="BO22" s="49"/>
      <c r="BP22" s="48"/>
      <c r="BQ22" s="47"/>
      <c r="BR22" s="46"/>
      <c r="BS22" s="49"/>
      <c r="BT22" s="140"/>
      <c r="BU22" s="134"/>
      <c r="BV22" s="134"/>
      <c r="BW22" s="49"/>
      <c r="BX22" s="48"/>
      <c r="BY22" s="47"/>
      <c r="BZ22" s="46"/>
      <c r="CA22" s="49"/>
      <c r="CB22" s="140"/>
      <c r="CC22" s="134"/>
      <c r="CD22" s="134"/>
      <c r="CE22" s="49"/>
      <c r="CF22" s="48"/>
      <c r="CG22" s="47"/>
      <c r="CH22" s="46"/>
      <c r="CI22" s="49"/>
      <c r="CJ22" s="140"/>
      <c r="CK22" s="134"/>
      <c r="CL22" s="134"/>
      <c r="CM22" s="49"/>
      <c r="CN22" s="48"/>
      <c r="CO22" s="47"/>
      <c r="CP22" s="46"/>
      <c r="CQ22" s="49"/>
      <c r="CR22" s="140"/>
      <c r="CS22" s="134"/>
      <c r="CT22" s="134"/>
      <c r="CU22" s="49"/>
      <c r="CV22" s="48"/>
      <c r="CW22" s="47"/>
      <c r="CX22" s="46"/>
      <c r="CY22" s="49"/>
      <c r="CZ22" s="140"/>
      <c r="DA22" s="134"/>
      <c r="DB22" s="134"/>
      <c r="DC22" s="49"/>
      <c r="DD22" s="48"/>
      <c r="DE22" s="47"/>
      <c r="DF22" s="46"/>
      <c r="DG22" s="49"/>
      <c r="DH22" s="140"/>
      <c r="DI22" s="134"/>
      <c r="DJ22" s="134"/>
      <c r="DK22" s="49"/>
      <c r="DL22" s="48"/>
      <c r="DM22" s="47"/>
      <c r="DN22" s="46"/>
      <c r="DO22" s="49"/>
      <c r="DP22" s="140"/>
      <c r="DQ22" s="134"/>
      <c r="DR22" s="134"/>
      <c r="DS22" s="49"/>
      <c r="DT22" s="48"/>
      <c r="DU22" s="47"/>
      <c r="DV22" s="46"/>
      <c r="DW22" s="49"/>
      <c r="DX22" s="140"/>
      <c r="DY22" s="134"/>
      <c r="DZ22" s="134"/>
      <c r="EA22" s="49"/>
    </row>
    <row r="23" spans="1:131" ht="18" customHeight="1" x14ac:dyDescent="0.2">
      <c r="B23" s="682">
        <f>'General Set-Up'!B17</f>
        <v>0</v>
      </c>
      <c r="C23" s="683"/>
      <c r="D23" s="48"/>
      <c r="E23" s="46"/>
      <c r="F23" s="46"/>
      <c r="G23" s="49"/>
      <c r="H23" s="140"/>
      <c r="I23" s="134"/>
      <c r="J23" s="134"/>
      <c r="K23" s="49"/>
      <c r="L23" s="48"/>
      <c r="M23" s="46"/>
      <c r="N23" s="46"/>
      <c r="O23" s="49"/>
      <c r="P23" s="140"/>
      <c r="Q23" s="134"/>
      <c r="R23" s="134"/>
      <c r="S23" s="49"/>
      <c r="T23" s="48"/>
      <c r="U23" s="46"/>
      <c r="V23" s="46"/>
      <c r="W23" s="49"/>
      <c r="X23" s="140"/>
      <c r="Y23" s="134"/>
      <c r="Z23" s="134"/>
      <c r="AA23" s="49"/>
      <c r="AB23" s="48"/>
      <c r="AC23" s="46"/>
      <c r="AD23" s="46"/>
      <c r="AE23" s="49"/>
      <c r="AF23" s="140"/>
      <c r="AG23" s="134"/>
      <c r="AH23" s="134"/>
      <c r="AI23" s="49"/>
      <c r="AJ23" s="48"/>
      <c r="AK23" s="46"/>
      <c r="AL23" s="46"/>
      <c r="AM23" s="49"/>
      <c r="AN23" s="140"/>
      <c r="AO23" s="134"/>
      <c r="AP23" s="134"/>
      <c r="AQ23" s="49"/>
      <c r="AR23" s="48"/>
      <c r="AS23" s="46"/>
      <c r="AT23" s="46"/>
      <c r="AU23" s="49"/>
      <c r="AV23" s="140"/>
      <c r="AW23" s="134"/>
      <c r="AX23" s="134"/>
      <c r="AY23" s="49"/>
      <c r="AZ23" s="48"/>
      <c r="BA23" s="46"/>
      <c r="BB23" s="46"/>
      <c r="BC23" s="49"/>
      <c r="BD23" s="140"/>
      <c r="BE23" s="134"/>
      <c r="BF23" s="134"/>
      <c r="BG23" s="49"/>
      <c r="BH23" s="48"/>
      <c r="BI23" s="46"/>
      <c r="BJ23" s="46"/>
      <c r="BK23" s="49"/>
      <c r="BL23" s="140"/>
      <c r="BM23" s="134"/>
      <c r="BN23" s="134"/>
      <c r="BO23" s="49"/>
      <c r="BP23" s="48"/>
      <c r="BQ23" s="46"/>
      <c r="BR23" s="46"/>
      <c r="BS23" s="49"/>
      <c r="BT23" s="140"/>
      <c r="BU23" s="134"/>
      <c r="BV23" s="134"/>
      <c r="BW23" s="49"/>
      <c r="BX23" s="48"/>
      <c r="BY23" s="46"/>
      <c r="BZ23" s="46"/>
      <c r="CA23" s="49"/>
      <c r="CB23" s="140"/>
      <c r="CC23" s="134"/>
      <c r="CD23" s="134"/>
      <c r="CE23" s="49"/>
      <c r="CF23" s="48"/>
      <c r="CG23" s="46"/>
      <c r="CH23" s="46"/>
      <c r="CI23" s="49"/>
      <c r="CJ23" s="140"/>
      <c r="CK23" s="134"/>
      <c r="CL23" s="134"/>
      <c r="CM23" s="49"/>
      <c r="CN23" s="48"/>
      <c r="CO23" s="46"/>
      <c r="CP23" s="46"/>
      <c r="CQ23" s="49"/>
      <c r="CR23" s="140"/>
      <c r="CS23" s="134"/>
      <c r="CT23" s="134"/>
      <c r="CU23" s="49"/>
      <c r="CV23" s="48"/>
      <c r="CW23" s="46"/>
      <c r="CX23" s="46"/>
      <c r="CY23" s="49"/>
      <c r="CZ23" s="140"/>
      <c r="DA23" s="134"/>
      <c r="DB23" s="134"/>
      <c r="DC23" s="49"/>
      <c r="DD23" s="48"/>
      <c r="DE23" s="46"/>
      <c r="DF23" s="46"/>
      <c r="DG23" s="49"/>
      <c r="DH23" s="140"/>
      <c r="DI23" s="134"/>
      <c r="DJ23" s="134"/>
      <c r="DK23" s="49"/>
      <c r="DL23" s="48"/>
      <c r="DM23" s="46"/>
      <c r="DN23" s="46"/>
      <c r="DO23" s="49"/>
      <c r="DP23" s="140"/>
      <c r="DQ23" s="134"/>
      <c r="DR23" s="134"/>
      <c r="DS23" s="49"/>
      <c r="DT23" s="48"/>
      <c r="DU23" s="46"/>
      <c r="DV23" s="46"/>
      <c r="DW23" s="49"/>
      <c r="DX23" s="140"/>
      <c r="DY23" s="134"/>
      <c r="DZ23" s="134"/>
      <c r="EA23" s="49"/>
    </row>
    <row r="24" spans="1:131" ht="18" customHeight="1" x14ac:dyDescent="0.2">
      <c r="B24" s="682">
        <f>'General Set-Up'!B18</f>
        <v>0</v>
      </c>
      <c r="C24" s="683"/>
      <c r="D24" s="48"/>
      <c r="E24" s="46"/>
      <c r="F24" s="46"/>
      <c r="G24" s="49"/>
      <c r="H24" s="140"/>
      <c r="I24" s="134"/>
      <c r="J24" s="134"/>
      <c r="K24" s="49"/>
      <c r="L24" s="48"/>
      <c r="M24" s="46"/>
      <c r="N24" s="46"/>
      <c r="O24" s="49"/>
      <c r="P24" s="140"/>
      <c r="Q24" s="134"/>
      <c r="R24" s="134"/>
      <c r="S24" s="49"/>
      <c r="T24" s="48"/>
      <c r="U24" s="46"/>
      <c r="V24" s="46"/>
      <c r="W24" s="49"/>
      <c r="X24" s="140"/>
      <c r="Y24" s="134"/>
      <c r="Z24" s="134"/>
      <c r="AA24" s="49"/>
      <c r="AB24" s="48"/>
      <c r="AC24" s="46"/>
      <c r="AD24" s="46"/>
      <c r="AE24" s="49"/>
      <c r="AF24" s="140"/>
      <c r="AG24" s="134"/>
      <c r="AH24" s="134"/>
      <c r="AI24" s="49"/>
      <c r="AJ24" s="48"/>
      <c r="AK24" s="46"/>
      <c r="AL24" s="46"/>
      <c r="AM24" s="49"/>
      <c r="AN24" s="140"/>
      <c r="AO24" s="134"/>
      <c r="AP24" s="134"/>
      <c r="AQ24" s="49"/>
      <c r="AR24" s="48"/>
      <c r="AS24" s="46"/>
      <c r="AT24" s="46"/>
      <c r="AU24" s="49"/>
      <c r="AV24" s="140"/>
      <c r="AW24" s="134"/>
      <c r="AX24" s="134"/>
      <c r="AY24" s="49"/>
      <c r="AZ24" s="48"/>
      <c r="BA24" s="46"/>
      <c r="BB24" s="46"/>
      <c r="BC24" s="49"/>
      <c r="BD24" s="140"/>
      <c r="BE24" s="134"/>
      <c r="BF24" s="134"/>
      <c r="BG24" s="49"/>
      <c r="BH24" s="48"/>
      <c r="BI24" s="46"/>
      <c r="BJ24" s="46"/>
      <c r="BK24" s="49"/>
      <c r="BL24" s="140"/>
      <c r="BM24" s="134"/>
      <c r="BN24" s="134"/>
      <c r="BO24" s="49"/>
      <c r="BP24" s="48"/>
      <c r="BQ24" s="46"/>
      <c r="BR24" s="46"/>
      <c r="BS24" s="49"/>
      <c r="BT24" s="140"/>
      <c r="BU24" s="134"/>
      <c r="BV24" s="134"/>
      <c r="BW24" s="49"/>
      <c r="BX24" s="48"/>
      <c r="BY24" s="46"/>
      <c r="BZ24" s="46"/>
      <c r="CA24" s="49"/>
      <c r="CB24" s="140"/>
      <c r="CC24" s="134"/>
      <c r="CD24" s="134"/>
      <c r="CE24" s="49"/>
      <c r="CF24" s="48"/>
      <c r="CG24" s="46"/>
      <c r="CH24" s="46"/>
      <c r="CI24" s="49"/>
      <c r="CJ24" s="140"/>
      <c r="CK24" s="134"/>
      <c r="CL24" s="134"/>
      <c r="CM24" s="49"/>
      <c r="CN24" s="48"/>
      <c r="CO24" s="46"/>
      <c r="CP24" s="46"/>
      <c r="CQ24" s="49"/>
      <c r="CR24" s="140"/>
      <c r="CS24" s="134"/>
      <c r="CT24" s="134"/>
      <c r="CU24" s="49"/>
      <c r="CV24" s="48"/>
      <c r="CW24" s="46"/>
      <c r="CX24" s="46"/>
      <c r="CY24" s="49"/>
      <c r="CZ24" s="140"/>
      <c r="DA24" s="134"/>
      <c r="DB24" s="134"/>
      <c r="DC24" s="49"/>
      <c r="DD24" s="48"/>
      <c r="DE24" s="46"/>
      <c r="DF24" s="46"/>
      <c r="DG24" s="49"/>
      <c r="DH24" s="140"/>
      <c r="DI24" s="134"/>
      <c r="DJ24" s="134"/>
      <c r="DK24" s="49"/>
      <c r="DL24" s="48"/>
      <c r="DM24" s="46"/>
      <c r="DN24" s="46"/>
      <c r="DO24" s="49"/>
      <c r="DP24" s="140"/>
      <c r="DQ24" s="134"/>
      <c r="DR24" s="134"/>
      <c r="DS24" s="49"/>
      <c r="DT24" s="48"/>
      <c r="DU24" s="46"/>
      <c r="DV24" s="46"/>
      <c r="DW24" s="49"/>
      <c r="DX24" s="140"/>
      <c r="DY24" s="134"/>
      <c r="DZ24" s="134"/>
      <c r="EA24" s="49"/>
    </row>
    <row r="25" spans="1:131" ht="18" customHeight="1" x14ac:dyDescent="0.2">
      <c r="B25" s="682">
        <f>'General Set-Up'!B19</f>
        <v>0</v>
      </c>
      <c r="C25" s="683"/>
      <c r="D25" s="48"/>
      <c r="E25" s="46"/>
      <c r="F25" s="46"/>
      <c r="G25" s="49"/>
      <c r="H25" s="140"/>
      <c r="I25" s="134"/>
      <c r="J25" s="134"/>
      <c r="K25" s="49"/>
      <c r="L25" s="48"/>
      <c r="M25" s="46"/>
      <c r="N25" s="46"/>
      <c r="O25" s="49"/>
      <c r="P25" s="140"/>
      <c r="Q25" s="134"/>
      <c r="R25" s="134"/>
      <c r="S25" s="49"/>
      <c r="T25" s="48"/>
      <c r="U25" s="46"/>
      <c r="V25" s="46"/>
      <c r="W25" s="49"/>
      <c r="X25" s="140"/>
      <c r="Y25" s="134"/>
      <c r="Z25" s="134"/>
      <c r="AA25" s="49"/>
      <c r="AB25" s="48"/>
      <c r="AC25" s="46"/>
      <c r="AD25" s="46"/>
      <c r="AE25" s="49"/>
      <c r="AF25" s="140"/>
      <c r="AG25" s="134"/>
      <c r="AH25" s="134"/>
      <c r="AI25" s="49"/>
      <c r="AJ25" s="48"/>
      <c r="AK25" s="46"/>
      <c r="AL25" s="46"/>
      <c r="AM25" s="49"/>
      <c r="AN25" s="140"/>
      <c r="AO25" s="134"/>
      <c r="AP25" s="134"/>
      <c r="AQ25" s="49"/>
      <c r="AR25" s="48"/>
      <c r="AS25" s="46"/>
      <c r="AT25" s="46"/>
      <c r="AU25" s="49"/>
      <c r="AV25" s="140"/>
      <c r="AW25" s="134"/>
      <c r="AX25" s="134"/>
      <c r="AY25" s="49"/>
      <c r="AZ25" s="48"/>
      <c r="BA25" s="46"/>
      <c r="BB25" s="46"/>
      <c r="BC25" s="49"/>
      <c r="BD25" s="140"/>
      <c r="BE25" s="134"/>
      <c r="BF25" s="134"/>
      <c r="BG25" s="49"/>
      <c r="BH25" s="48"/>
      <c r="BI25" s="46"/>
      <c r="BJ25" s="46"/>
      <c r="BK25" s="49"/>
      <c r="BL25" s="140"/>
      <c r="BM25" s="134"/>
      <c r="BN25" s="134"/>
      <c r="BO25" s="49"/>
      <c r="BP25" s="48"/>
      <c r="BQ25" s="46"/>
      <c r="BR25" s="46"/>
      <c r="BS25" s="49"/>
      <c r="BT25" s="140"/>
      <c r="BU25" s="134"/>
      <c r="BV25" s="134"/>
      <c r="BW25" s="49"/>
      <c r="BX25" s="48"/>
      <c r="BY25" s="46"/>
      <c r="BZ25" s="46"/>
      <c r="CA25" s="49"/>
      <c r="CB25" s="140"/>
      <c r="CC25" s="134"/>
      <c r="CD25" s="134"/>
      <c r="CE25" s="49"/>
      <c r="CF25" s="48"/>
      <c r="CG25" s="46"/>
      <c r="CH25" s="46"/>
      <c r="CI25" s="49"/>
      <c r="CJ25" s="140"/>
      <c r="CK25" s="134"/>
      <c r="CL25" s="134"/>
      <c r="CM25" s="49"/>
      <c r="CN25" s="48"/>
      <c r="CO25" s="46"/>
      <c r="CP25" s="46"/>
      <c r="CQ25" s="49"/>
      <c r="CR25" s="140"/>
      <c r="CS25" s="134"/>
      <c r="CT25" s="134"/>
      <c r="CU25" s="49"/>
      <c r="CV25" s="48"/>
      <c r="CW25" s="46"/>
      <c r="CX25" s="46"/>
      <c r="CY25" s="49"/>
      <c r="CZ25" s="140"/>
      <c r="DA25" s="134"/>
      <c r="DB25" s="134"/>
      <c r="DC25" s="49"/>
      <c r="DD25" s="48"/>
      <c r="DE25" s="46"/>
      <c r="DF25" s="46"/>
      <c r="DG25" s="49"/>
      <c r="DH25" s="140"/>
      <c r="DI25" s="134"/>
      <c r="DJ25" s="134"/>
      <c r="DK25" s="49"/>
      <c r="DL25" s="48"/>
      <c r="DM25" s="46"/>
      <c r="DN25" s="46"/>
      <c r="DO25" s="49"/>
      <c r="DP25" s="140"/>
      <c r="DQ25" s="134"/>
      <c r="DR25" s="134"/>
      <c r="DS25" s="49"/>
      <c r="DT25" s="48"/>
      <c r="DU25" s="46"/>
      <c r="DV25" s="46"/>
      <c r="DW25" s="49"/>
      <c r="DX25" s="140"/>
      <c r="DY25" s="134"/>
      <c r="DZ25" s="134"/>
      <c r="EA25" s="49"/>
    </row>
    <row r="26" spans="1:131" ht="18" customHeight="1" x14ac:dyDescent="0.2">
      <c r="B26" s="682">
        <f>'General Set-Up'!B20</f>
        <v>0</v>
      </c>
      <c r="C26" s="683"/>
      <c r="D26" s="48"/>
      <c r="E26" s="46"/>
      <c r="F26" s="46"/>
      <c r="G26" s="49"/>
      <c r="H26" s="140"/>
      <c r="I26" s="134"/>
      <c r="J26" s="134"/>
      <c r="K26" s="49"/>
      <c r="L26" s="48"/>
      <c r="M26" s="46"/>
      <c r="N26" s="46"/>
      <c r="O26" s="49"/>
      <c r="P26" s="140"/>
      <c r="Q26" s="134"/>
      <c r="R26" s="134"/>
      <c r="S26" s="49"/>
      <c r="T26" s="48"/>
      <c r="U26" s="46"/>
      <c r="V26" s="46"/>
      <c r="W26" s="49"/>
      <c r="X26" s="140"/>
      <c r="Y26" s="134"/>
      <c r="Z26" s="134"/>
      <c r="AA26" s="49"/>
      <c r="AB26" s="48"/>
      <c r="AC26" s="46"/>
      <c r="AD26" s="46"/>
      <c r="AE26" s="49"/>
      <c r="AF26" s="140"/>
      <c r="AG26" s="134"/>
      <c r="AH26" s="134"/>
      <c r="AI26" s="49"/>
      <c r="AJ26" s="48"/>
      <c r="AK26" s="46"/>
      <c r="AL26" s="46"/>
      <c r="AM26" s="49"/>
      <c r="AN26" s="140"/>
      <c r="AO26" s="134"/>
      <c r="AP26" s="134"/>
      <c r="AQ26" s="49"/>
      <c r="AR26" s="48"/>
      <c r="AS26" s="46"/>
      <c r="AT26" s="46"/>
      <c r="AU26" s="49"/>
      <c r="AV26" s="140"/>
      <c r="AW26" s="134"/>
      <c r="AX26" s="134"/>
      <c r="AY26" s="49"/>
      <c r="AZ26" s="48"/>
      <c r="BA26" s="46"/>
      <c r="BB26" s="46"/>
      <c r="BC26" s="49"/>
      <c r="BD26" s="140"/>
      <c r="BE26" s="134"/>
      <c r="BF26" s="134"/>
      <c r="BG26" s="49"/>
      <c r="BH26" s="48"/>
      <c r="BI26" s="46"/>
      <c r="BJ26" s="46"/>
      <c r="BK26" s="49"/>
      <c r="BL26" s="140"/>
      <c r="BM26" s="134"/>
      <c r="BN26" s="134"/>
      <c r="BO26" s="49"/>
      <c r="BP26" s="48"/>
      <c r="BQ26" s="46"/>
      <c r="BR26" s="46"/>
      <c r="BS26" s="49"/>
      <c r="BT26" s="140"/>
      <c r="BU26" s="134"/>
      <c r="BV26" s="134"/>
      <c r="BW26" s="49"/>
      <c r="BX26" s="48"/>
      <c r="BY26" s="46"/>
      <c r="BZ26" s="46"/>
      <c r="CA26" s="49"/>
      <c r="CB26" s="140"/>
      <c r="CC26" s="134"/>
      <c r="CD26" s="134"/>
      <c r="CE26" s="49"/>
      <c r="CF26" s="48"/>
      <c r="CG26" s="46"/>
      <c r="CH26" s="46"/>
      <c r="CI26" s="49"/>
      <c r="CJ26" s="140"/>
      <c r="CK26" s="134"/>
      <c r="CL26" s="134"/>
      <c r="CM26" s="49"/>
      <c r="CN26" s="48"/>
      <c r="CO26" s="46"/>
      <c r="CP26" s="46"/>
      <c r="CQ26" s="49"/>
      <c r="CR26" s="140"/>
      <c r="CS26" s="134"/>
      <c r="CT26" s="134"/>
      <c r="CU26" s="49"/>
      <c r="CV26" s="48"/>
      <c r="CW26" s="46"/>
      <c r="CX26" s="46"/>
      <c r="CY26" s="49"/>
      <c r="CZ26" s="140"/>
      <c r="DA26" s="134"/>
      <c r="DB26" s="134"/>
      <c r="DC26" s="49"/>
      <c r="DD26" s="48"/>
      <c r="DE26" s="46"/>
      <c r="DF26" s="46"/>
      <c r="DG26" s="49"/>
      <c r="DH26" s="140"/>
      <c r="DI26" s="134"/>
      <c r="DJ26" s="134"/>
      <c r="DK26" s="49"/>
      <c r="DL26" s="48"/>
      <c r="DM26" s="46"/>
      <c r="DN26" s="46"/>
      <c r="DO26" s="49"/>
      <c r="DP26" s="140"/>
      <c r="DQ26" s="134"/>
      <c r="DR26" s="134"/>
      <c r="DS26" s="49"/>
      <c r="DT26" s="48"/>
      <c r="DU26" s="46"/>
      <c r="DV26" s="46"/>
      <c r="DW26" s="49"/>
      <c r="DX26" s="140"/>
      <c r="DY26" s="134"/>
      <c r="DZ26" s="134"/>
      <c r="EA26" s="49"/>
    </row>
    <row r="27" spans="1:131" ht="18" customHeight="1" x14ac:dyDescent="0.2">
      <c r="B27" s="682">
        <f>'General Set-Up'!B21</f>
        <v>0</v>
      </c>
      <c r="C27" s="683"/>
      <c r="D27" s="48"/>
      <c r="E27" s="46"/>
      <c r="F27" s="46"/>
      <c r="G27" s="49"/>
      <c r="H27" s="140"/>
      <c r="I27" s="134"/>
      <c r="J27" s="134"/>
      <c r="K27" s="49"/>
      <c r="L27" s="48"/>
      <c r="M27" s="46"/>
      <c r="N27" s="46"/>
      <c r="O27" s="49"/>
      <c r="P27" s="140"/>
      <c r="Q27" s="134"/>
      <c r="R27" s="134"/>
      <c r="S27" s="49"/>
      <c r="T27" s="48"/>
      <c r="U27" s="46"/>
      <c r="V27" s="46"/>
      <c r="W27" s="49"/>
      <c r="X27" s="140"/>
      <c r="Y27" s="134"/>
      <c r="Z27" s="134"/>
      <c r="AA27" s="49"/>
      <c r="AB27" s="48"/>
      <c r="AC27" s="46"/>
      <c r="AD27" s="46"/>
      <c r="AE27" s="49"/>
      <c r="AF27" s="140"/>
      <c r="AG27" s="134"/>
      <c r="AH27" s="134"/>
      <c r="AI27" s="49"/>
      <c r="AJ27" s="48"/>
      <c r="AK27" s="46"/>
      <c r="AL27" s="46"/>
      <c r="AM27" s="49"/>
      <c r="AN27" s="140"/>
      <c r="AO27" s="134"/>
      <c r="AP27" s="134"/>
      <c r="AQ27" s="49"/>
      <c r="AR27" s="48"/>
      <c r="AS27" s="46"/>
      <c r="AT27" s="46"/>
      <c r="AU27" s="49"/>
      <c r="AV27" s="140"/>
      <c r="AW27" s="134"/>
      <c r="AX27" s="134"/>
      <c r="AY27" s="49"/>
      <c r="AZ27" s="48"/>
      <c r="BA27" s="46"/>
      <c r="BB27" s="46"/>
      <c r="BC27" s="49"/>
      <c r="BD27" s="140"/>
      <c r="BE27" s="134"/>
      <c r="BF27" s="134"/>
      <c r="BG27" s="49"/>
      <c r="BH27" s="48"/>
      <c r="BI27" s="46"/>
      <c r="BJ27" s="46"/>
      <c r="BK27" s="49"/>
      <c r="BL27" s="140"/>
      <c r="BM27" s="134"/>
      <c r="BN27" s="134"/>
      <c r="BO27" s="49"/>
      <c r="BP27" s="48"/>
      <c r="BQ27" s="46"/>
      <c r="BR27" s="46"/>
      <c r="BS27" s="49"/>
      <c r="BT27" s="140"/>
      <c r="BU27" s="134"/>
      <c r="BV27" s="134"/>
      <c r="BW27" s="49"/>
      <c r="BX27" s="48"/>
      <c r="BY27" s="46"/>
      <c r="BZ27" s="46"/>
      <c r="CA27" s="49"/>
      <c r="CB27" s="140"/>
      <c r="CC27" s="134"/>
      <c r="CD27" s="134"/>
      <c r="CE27" s="49"/>
      <c r="CF27" s="48"/>
      <c r="CG27" s="46"/>
      <c r="CH27" s="46"/>
      <c r="CI27" s="49"/>
      <c r="CJ27" s="140"/>
      <c r="CK27" s="134"/>
      <c r="CL27" s="134"/>
      <c r="CM27" s="49"/>
      <c r="CN27" s="48"/>
      <c r="CO27" s="46"/>
      <c r="CP27" s="46"/>
      <c r="CQ27" s="49"/>
      <c r="CR27" s="140"/>
      <c r="CS27" s="134"/>
      <c r="CT27" s="134"/>
      <c r="CU27" s="49"/>
      <c r="CV27" s="48"/>
      <c r="CW27" s="46"/>
      <c r="CX27" s="46"/>
      <c r="CY27" s="49"/>
      <c r="CZ27" s="140"/>
      <c r="DA27" s="134"/>
      <c r="DB27" s="134"/>
      <c r="DC27" s="49"/>
      <c r="DD27" s="48"/>
      <c r="DE27" s="46"/>
      <c r="DF27" s="46"/>
      <c r="DG27" s="49"/>
      <c r="DH27" s="140"/>
      <c r="DI27" s="134"/>
      <c r="DJ27" s="134"/>
      <c r="DK27" s="49"/>
      <c r="DL27" s="48"/>
      <c r="DM27" s="46"/>
      <c r="DN27" s="46"/>
      <c r="DO27" s="49"/>
      <c r="DP27" s="140"/>
      <c r="DQ27" s="134"/>
      <c r="DR27" s="134"/>
      <c r="DS27" s="49"/>
      <c r="DT27" s="48"/>
      <c r="DU27" s="46"/>
      <c r="DV27" s="46"/>
      <c r="DW27" s="49"/>
      <c r="DX27" s="140"/>
      <c r="DY27" s="134"/>
      <c r="DZ27" s="134"/>
      <c r="EA27" s="49"/>
    </row>
    <row r="28" spans="1:131" ht="18" customHeight="1" thickBot="1" x14ac:dyDescent="0.25">
      <c r="B28" s="702">
        <f>'General Set-Up'!B22</f>
        <v>0</v>
      </c>
      <c r="C28" s="703"/>
      <c r="D28" s="50"/>
      <c r="E28" s="51"/>
      <c r="F28" s="51"/>
      <c r="G28" s="52"/>
      <c r="H28" s="141"/>
      <c r="I28" s="135"/>
      <c r="J28" s="135"/>
      <c r="K28" s="52"/>
      <c r="L28" s="50"/>
      <c r="M28" s="51"/>
      <c r="N28" s="51"/>
      <c r="O28" s="52"/>
      <c r="P28" s="141"/>
      <c r="Q28" s="135"/>
      <c r="R28" s="135"/>
      <c r="S28" s="52"/>
      <c r="T28" s="50"/>
      <c r="U28" s="51"/>
      <c r="V28" s="51"/>
      <c r="W28" s="52"/>
      <c r="X28" s="141"/>
      <c r="Y28" s="135"/>
      <c r="Z28" s="135"/>
      <c r="AA28" s="52"/>
      <c r="AB28" s="50"/>
      <c r="AC28" s="51"/>
      <c r="AD28" s="51"/>
      <c r="AE28" s="52"/>
      <c r="AF28" s="141"/>
      <c r="AG28" s="135"/>
      <c r="AH28" s="135"/>
      <c r="AI28" s="52"/>
      <c r="AJ28" s="50"/>
      <c r="AK28" s="51"/>
      <c r="AL28" s="51"/>
      <c r="AM28" s="52"/>
      <c r="AN28" s="141"/>
      <c r="AO28" s="135"/>
      <c r="AP28" s="135"/>
      <c r="AQ28" s="52"/>
      <c r="AR28" s="50"/>
      <c r="AS28" s="51"/>
      <c r="AT28" s="51"/>
      <c r="AU28" s="52"/>
      <c r="AV28" s="141"/>
      <c r="AW28" s="135"/>
      <c r="AX28" s="135"/>
      <c r="AY28" s="52"/>
      <c r="AZ28" s="50"/>
      <c r="BA28" s="51"/>
      <c r="BB28" s="51"/>
      <c r="BC28" s="52"/>
      <c r="BD28" s="141"/>
      <c r="BE28" s="135"/>
      <c r="BF28" s="135"/>
      <c r="BG28" s="52"/>
      <c r="BH28" s="50"/>
      <c r="BI28" s="51"/>
      <c r="BJ28" s="51"/>
      <c r="BK28" s="52"/>
      <c r="BL28" s="141"/>
      <c r="BM28" s="135"/>
      <c r="BN28" s="135"/>
      <c r="BO28" s="52"/>
      <c r="BP28" s="50"/>
      <c r="BQ28" s="51"/>
      <c r="BR28" s="51"/>
      <c r="BS28" s="52"/>
      <c r="BT28" s="141"/>
      <c r="BU28" s="135"/>
      <c r="BV28" s="135"/>
      <c r="BW28" s="52"/>
      <c r="BX28" s="50"/>
      <c r="BY28" s="51"/>
      <c r="BZ28" s="51"/>
      <c r="CA28" s="52"/>
      <c r="CB28" s="141"/>
      <c r="CC28" s="135"/>
      <c r="CD28" s="135"/>
      <c r="CE28" s="52"/>
      <c r="CF28" s="50"/>
      <c r="CG28" s="51"/>
      <c r="CH28" s="51"/>
      <c r="CI28" s="52"/>
      <c r="CJ28" s="141"/>
      <c r="CK28" s="135"/>
      <c r="CL28" s="135"/>
      <c r="CM28" s="52"/>
      <c r="CN28" s="50"/>
      <c r="CO28" s="51"/>
      <c r="CP28" s="51"/>
      <c r="CQ28" s="52"/>
      <c r="CR28" s="141"/>
      <c r="CS28" s="135"/>
      <c r="CT28" s="135"/>
      <c r="CU28" s="52"/>
      <c r="CV28" s="50"/>
      <c r="CW28" s="51"/>
      <c r="CX28" s="51"/>
      <c r="CY28" s="52"/>
      <c r="CZ28" s="141"/>
      <c r="DA28" s="135"/>
      <c r="DB28" s="135"/>
      <c r="DC28" s="52"/>
      <c r="DD28" s="50"/>
      <c r="DE28" s="51"/>
      <c r="DF28" s="51"/>
      <c r="DG28" s="52"/>
      <c r="DH28" s="141"/>
      <c r="DI28" s="135"/>
      <c r="DJ28" s="135"/>
      <c r="DK28" s="52"/>
      <c r="DL28" s="50"/>
      <c r="DM28" s="51"/>
      <c r="DN28" s="51"/>
      <c r="DO28" s="52"/>
      <c r="DP28" s="141"/>
      <c r="DQ28" s="135"/>
      <c r="DR28" s="135"/>
      <c r="DS28" s="52"/>
      <c r="DT28" s="50"/>
      <c r="DU28" s="51"/>
      <c r="DV28" s="51"/>
      <c r="DW28" s="52"/>
      <c r="DX28" s="141"/>
      <c r="DY28" s="135"/>
      <c r="DZ28" s="135"/>
      <c r="EA28" s="52"/>
    </row>
    <row r="29" spans="1:131" ht="39.75" customHeight="1" thickBot="1" x14ac:dyDescent="0.25">
      <c r="A29" s="34" t="s">
        <v>402</v>
      </c>
      <c r="B29" s="704" t="s">
        <v>341</v>
      </c>
      <c r="C29" s="705"/>
      <c r="D29" s="724"/>
      <c r="E29" s="725"/>
      <c r="F29" s="725"/>
      <c r="G29" s="725"/>
      <c r="H29" s="726"/>
      <c r="I29" s="726"/>
      <c r="J29" s="726"/>
      <c r="K29" s="727"/>
      <c r="L29" s="724"/>
      <c r="M29" s="725"/>
      <c r="N29" s="725"/>
      <c r="O29" s="725"/>
      <c r="P29" s="726"/>
      <c r="Q29" s="726"/>
      <c r="R29" s="726"/>
      <c r="S29" s="727"/>
      <c r="T29" s="724"/>
      <c r="U29" s="725"/>
      <c r="V29" s="725"/>
      <c r="W29" s="725"/>
      <c r="X29" s="726"/>
      <c r="Y29" s="726"/>
      <c r="Z29" s="726"/>
      <c r="AA29" s="727"/>
      <c r="AB29" s="724"/>
      <c r="AC29" s="725"/>
      <c r="AD29" s="725"/>
      <c r="AE29" s="725"/>
      <c r="AF29" s="726"/>
      <c r="AG29" s="726"/>
      <c r="AH29" s="726"/>
      <c r="AI29" s="727"/>
      <c r="AJ29" s="724"/>
      <c r="AK29" s="725"/>
      <c r="AL29" s="725"/>
      <c r="AM29" s="725"/>
      <c r="AN29" s="726"/>
      <c r="AO29" s="726"/>
      <c r="AP29" s="726"/>
      <c r="AQ29" s="727"/>
      <c r="AR29" s="724"/>
      <c r="AS29" s="725"/>
      <c r="AT29" s="725"/>
      <c r="AU29" s="725"/>
      <c r="AV29" s="726"/>
      <c r="AW29" s="726"/>
      <c r="AX29" s="726"/>
      <c r="AY29" s="727"/>
      <c r="AZ29" s="724"/>
      <c r="BA29" s="725"/>
      <c r="BB29" s="725"/>
      <c r="BC29" s="725"/>
      <c r="BD29" s="726"/>
      <c r="BE29" s="726"/>
      <c r="BF29" s="726"/>
      <c r="BG29" s="727"/>
      <c r="BH29" s="724"/>
      <c r="BI29" s="725"/>
      <c r="BJ29" s="725"/>
      <c r="BK29" s="725"/>
      <c r="BL29" s="726"/>
      <c r="BM29" s="726"/>
      <c r="BN29" s="726"/>
      <c r="BO29" s="727"/>
      <c r="BP29" s="724"/>
      <c r="BQ29" s="725"/>
      <c r="BR29" s="725"/>
      <c r="BS29" s="725"/>
      <c r="BT29" s="726"/>
      <c r="BU29" s="726"/>
      <c r="BV29" s="726"/>
      <c r="BW29" s="727"/>
      <c r="BX29" s="724"/>
      <c r="BY29" s="725"/>
      <c r="BZ29" s="725"/>
      <c r="CA29" s="725"/>
      <c r="CB29" s="726"/>
      <c r="CC29" s="726"/>
      <c r="CD29" s="726"/>
      <c r="CE29" s="727"/>
      <c r="CF29" s="724"/>
      <c r="CG29" s="725"/>
      <c r="CH29" s="725"/>
      <c r="CI29" s="725"/>
      <c r="CJ29" s="726"/>
      <c r="CK29" s="726"/>
      <c r="CL29" s="726"/>
      <c r="CM29" s="727"/>
      <c r="CN29" s="724"/>
      <c r="CO29" s="725"/>
      <c r="CP29" s="725"/>
      <c r="CQ29" s="725"/>
      <c r="CR29" s="726"/>
      <c r="CS29" s="726"/>
      <c r="CT29" s="726"/>
      <c r="CU29" s="727"/>
      <c r="CV29" s="724"/>
      <c r="CW29" s="725"/>
      <c r="CX29" s="725"/>
      <c r="CY29" s="725"/>
      <c r="CZ29" s="726"/>
      <c r="DA29" s="726"/>
      <c r="DB29" s="726"/>
      <c r="DC29" s="727"/>
      <c r="DD29" s="724"/>
      <c r="DE29" s="725"/>
      <c r="DF29" s="725"/>
      <c r="DG29" s="725"/>
      <c r="DH29" s="726"/>
      <c r="DI29" s="726"/>
      <c r="DJ29" s="726"/>
      <c r="DK29" s="727"/>
      <c r="DL29" s="724"/>
      <c r="DM29" s="725"/>
      <c r="DN29" s="725"/>
      <c r="DO29" s="725"/>
      <c r="DP29" s="726"/>
      <c r="DQ29" s="726"/>
      <c r="DR29" s="726"/>
      <c r="DS29" s="727"/>
      <c r="DT29" s="724"/>
      <c r="DU29" s="725"/>
      <c r="DV29" s="725"/>
      <c r="DW29" s="725"/>
      <c r="DX29" s="726"/>
      <c r="DY29" s="726"/>
      <c r="DZ29" s="726"/>
      <c r="EA29" s="727"/>
    </row>
    <row r="30" spans="1:131" ht="13.5" thickBot="1" x14ac:dyDescent="0.25"/>
    <row r="31" spans="1:131" ht="25.35" customHeight="1" x14ac:dyDescent="0.2">
      <c r="B31" s="693" t="s">
        <v>333</v>
      </c>
      <c r="C31" s="694"/>
      <c r="D31" s="708" t="s">
        <v>346</v>
      </c>
      <c r="E31" s="709"/>
      <c r="F31" s="709"/>
      <c r="G31" s="709"/>
      <c r="H31" s="710"/>
      <c r="I31" s="710"/>
      <c r="J31" s="710"/>
      <c r="K31" s="711"/>
      <c r="L31" s="708" t="s">
        <v>346</v>
      </c>
      <c r="M31" s="709"/>
      <c r="N31" s="709"/>
      <c r="O31" s="709"/>
      <c r="P31" s="710"/>
      <c r="Q31" s="710"/>
      <c r="R31" s="710"/>
      <c r="S31" s="711"/>
      <c r="T31" s="708" t="s">
        <v>346</v>
      </c>
      <c r="U31" s="709"/>
      <c r="V31" s="709"/>
      <c r="W31" s="709"/>
      <c r="X31" s="710"/>
      <c r="Y31" s="710"/>
      <c r="Z31" s="710"/>
      <c r="AA31" s="711"/>
      <c r="AB31" s="708" t="s">
        <v>346</v>
      </c>
      <c r="AC31" s="709"/>
      <c r="AD31" s="709"/>
      <c r="AE31" s="709"/>
      <c r="AF31" s="710"/>
      <c r="AG31" s="710"/>
      <c r="AH31" s="710"/>
      <c r="AI31" s="711"/>
      <c r="AJ31" s="708" t="s">
        <v>346</v>
      </c>
      <c r="AK31" s="709"/>
      <c r="AL31" s="709"/>
      <c r="AM31" s="709"/>
      <c r="AN31" s="710"/>
      <c r="AO31" s="710"/>
      <c r="AP31" s="710"/>
      <c r="AQ31" s="711"/>
      <c r="AR31" s="708" t="s">
        <v>346</v>
      </c>
      <c r="AS31" s="709"/>
      <c r="AT31" s="709"/>
      <c r="AU31" s="709"/>
      <c r="AV31" s="710"/>
      <c r="AW31" s="710"/>
      <c r="AX31" s="710"/>
      <c r="AY31" s="711"/>
      <c r="AZ31" s="708" t="s">
        <v>346</v>
      </c>
      <c r="BA31" s="709"/>
      <c r="BB31" s="709"/>
      <c r="BC31" s="709"/>
      <c r="BD31" s="710"/>
      <c r="BE31" s="710"/>
      <c r="BF31" s="710"/>
      <c r="BG31" s="711"/>
      <c r="BH31" s="708" t="s">
        <v>346</v>
      </c>
      <c r="BI31" s="709"/>
      <c r="BJ31" s="709"/>
      <c r="BK31" s="709"/>
      <c r="BL31" s="710"/>
      <c r="BM31" s="710"/>
      <c r="BN31" s="710"/>
      <c r="BO31" s="711"/>
      <c r="BP31" s="708" t="s">
        <v>346</v>
      </c>
      <c r="BQ31" s="709"/>
      <c r="BR31" s="709"/>
      <c r="BS31" s="709"/>
      <c r="BT31" s="710"/>
      <c r="BU31" s="710"/>
      <c r="BV31" s="710"/>
      <c r="BW31" s="711"/>
      <c r="BX31" s="708" t="s">
        <v>346</v>
      </c>
      <c r="BY31" s="709"/>
      <c r="BZ31" s="709"/>
      <c r="CA31" s="709"/>
      <c r="CB31" s="710"/>
      <c r="CC31" s="710"/>
      <c r="CD31" s="710"/>
      <c r="CE31" s="711"/>
      <c r="CF31" s="708" t="s">
        <v>346</v>
      </c>
      <c r="CG31" s="709"/>
      <c r="CH31" s="709"/>
      <c r="CI31" s="709"/>
      <c r="CJ31" s="710"/>
      <c r="CK31" s="710"/>
      <c r="CL31" s="710"/>
      <c r="CM31" s="711"/>
      <c r="CN31" s="708" t="s">
        <v>346</v>
      </c>
      <c r="CO31" s="709"/>
      <c r="CP31" s="709"/>
      <c r="CQ31" s="709"/>
      <c r="CR31" s="710"/>
      <c r="CS31" s="710"/>
      <c r="CT31" s="710"/>
      <c r="CU31" s="711"/>
      <c r="CV31" s="708" t="s">
        <v>346</v>
      </c>
      <c r="CW31" s="709"/>
      <c r="CX31" s="709"/>
      <c r="CY31" s="709"/>
      <c r="CZ31" s="710"/>
      <c r="DA31" s="710"/>
      <c r="DB31" s="710"/>
      <c r="DC31" s="711"/>
      <c r="DD31" s="708" t="s">
        <v>346</v>
      </c>
      <c r="DE31" s="709"/>
      <c r="DF31" s="709"/>
      <c r="DG31" s="709"/>
      <c r="DH31" s="710"/>
      <c r="DI31" s="710"/>
      <c r="DJ31" s="710"/>
      <c r="DK31" s="711"/>
      <c r="DL31" s="708" t="s">
        <v>346</v>
      </c>
      <c r="DM31" s="709"/>
      <c r="DN31" s="709"/>
      <c r="DO31" s="709"/>
      <c r="DP31" s="710"/>
      <c r="DQ31" s="710"/>
      <c r="DR31" s="710"/>
      <c r="DS31" s="711"/>
      <c r="DT31" s="708" t="s">
        <v>346</v>
      </c>
      <c r="DU31" s="709"/>
      <c r="DV31" s="709"/>
      <c r="DW31" s="709"/>
      <c r="DX31" s="710"/>
      <c r="DY31" s="710"/>
      <c r="DZ31" s="710"/>
      <c r="EA31" s="711"/>
    </row>
    <row r="32" spans="1:131" ht="25.35" customHeight="1" x14ac:dyDescent="0.2">
      <c r="B32" s="695" t="s">
        <v>334</v>
      </c>
      <c r="C32" s="696"/>
      <c r="D32" s="720"/>
      <c r="E32" s="721"/>
      <c r="F32" s="721"/>
      <c r="G32" s="721"/>
      <c r="H32" s="722"/>
      <c r="I32" s="722"/>
      <c r="J32" s="722"/>
      <c r="K32" s="723"/>
      <c r="L32" s="720"/>
      <c r="M32" s="721"/>
      <c r="N32" s="721"/>
      <c r="O32" s="721"/>
      <c r="P32" s="722"/>
      <c r="Q32" s="722"/>
      <c r="R32" s="722"/>
      <c r="S32" s="723"/>
      <c r="T32" s="720"/>
      <c r="U32" s="721"/>
      <c r="V32" s="721"/>
      <c r="W32" s="721"/>
      <c r="X32" s="722"/>
      <c r="Y32" s="722"/>
      <c r="Z32" s="722"/>
      <c r="AA32" s="723"/>
      <c r="AB32" s="720"/>
      <c r="AC32" s="721"/>
      <c r="AD32" s="721"/>
      <c r="AE32" s="721"/>
      <c r="AF32" s="722"/>
      <c r="AG32" s="722"/>
      <c r="AH32" s="722"/>
      <c r="AI32" s="723"/>
      <c r="AJ32" s="720"/>
      <c r="AK32" s="721"/>
      <c r="AL32" s="721"/>
      <c r="AM32" s="721"/>
      <c r="AN32" s="722"/>
      <c r="AO32" s="722"/>
      <c r="AP32" s="722"/>
      <c r="AQ32" s="723"/>
      <c r="AR32" s="720"/>
      <c r="AS32" s="721"/>
      <c r="AT32" s="721"/>
      <c r="AU32" s="721"/>
      <c r="AV32" s="722"/>
      <c r="AW32" s="722"/>
      <c r="AX32" s="722"/>
      <c r="AY32" s="723"/>
      <c r="AZ32" s="720"/>
      <c r="BA32" s="721"/>
      <c r="BB32" s="721"/>
      <c r="BC32" s="721"/>
      <c r="BD32" s="722"/>
      <c r="BE32" s="722"/>
      <c r="BF32" s="722"/>
      <c r="BG32" s="723"/>
      <c r="BH32" s="720"/>
      <c r="BI32" s="721"/>
      <c r="BJ32" s="721"/>
      <c r="BK32" s="721"/>
      <c r="BL32" s="722"/>
      <c r="BM32" s="722"/>
      <c r="BN32" s="722"/>
      <c r="BO32" s="723"/>
      <c r="BP32" s="720"/>
      <c r="BQ32" s="721"/>
      <c r="BR32" s="721"/>
      <c r="BS32" s="721"/>
      <c r="BT32" s="722"/>
      <c r="BU32" s="722"/>
      <c r="BV32" s="722"/>
      <c r="BW32" s="723"/>
      <c r="BX32" s="720"/>
      <c r="BY32" s="721"/>
      <c r="BZ32" s="721"/>
      <c r="CA32" s="721"/>
      <c r="CB32" s="722"/>
      <c r="CC32" s="722"/>
      <c r="CD32" s="722"/>
      <c r="CE32" s="723"/>
      <c r="CF32" s="720"/>
      <c r="CG32" s="721"/>
      <c r="CH32" s="721"/>
      <c r="CI32" s="721"/>
      <c r="CJ32" s="722"/>
      <c r="CK32" s="722"/>
      <c r="CL32" s="722"/>
      <c r="CM32" s="723"/>
      <c r="CN32" s="720"/>
      <c r="CO32" s="721"/>
      <c r="CP32" s="721"/>
      <c r="CQ32" s="721"/>
      <c r="CR32" s="722"/>
      <c r="CS32" s="722"/>
      <c r="CT32" s="722"/>
      <c r="CU32" s="723"/>
      <c r="CV32" s="720"/>
      <c r="CW32" s="721"/>
      <c r="CX32" s="721"/>
      <c r="CY32" s="721"/>
      <c r="CZ32" s="722"/>
      <c r="DA32" s="722"/>
      <c r="DB32" s="722"/>
      <c r="DC32" s="723"/>
      <c r="DD32" s="720"/>
      <c r="DE32" s="721"/>
      <c r="DF32" s="721"/>
      <c r="DG32" s="721"/>
      <c r="DH32" s="722"/>
      <c r="DI32" s="722"/>
      <c r="DJ32" s="722"/>
      <c r="DK32" s="723"/>
      <c r="DL32" s="720"/>
      <c r="DM32" s="721"/>
      <c r="DN32" s="721"/>
      <c r="DO32" s="721"/>
      <c r="DP32" s="722"/>
      <c r="DQ32" s="722"/>
      <c r="DR32" s="722"/>
      <c r="DS32" s="723"/>
      <c r="DT32" s="720"/>
      <c r="DU32" s="721"/>
      <c r="DV32" s="721"/>
      <c r="DW32" s="721"/>
      <c r="DX32" s="722"/>
      <c r="DY32" s="722"/>
      <c r="DZ32" s="722"/>
      <c r="EA32" s="723"/>
    </row>
    <row r="33" spans="2:131" ht="25.35" customHeight="1" x14ac:dyDescent="0.2">
      <c r="B33" s="695" t="s">
        <v>335</v>
      </c>
      <c r="C33" s="696"/>
      <c r="D33" s="716" t="s">
        <v>344</v>
      </c>
      <c r="E33" s="717"/>
      <c r="F33" s="717"/>
      <c r="G33" s="717"/>
      <c r="H33" s="718"/>
      <c r="I33" s="718"/>
      <c r="J33" s="718"/>
      <c r="K33" s="719"/>
      <c r="L33" s="716" t="s">
        <v>344</v>
      </c>
      <c r="M33" s="717"/>
      <c r="N33" s="717"/>
      <c r="O33" s="717"/>
      <c r="P33" s="718"/>
      <c r="Q33" s="718"/>
      <c r="R33" s="718"/>
      <c r="S33" s="719"/>
      <c r="T33" s="716" t="s">
        <v>344</v>
      </c>
      <c r="U33" s="717"/>
      <c r="V33" s="717"/>
      <c r="W33" s="717"/>
      <c r="X33" s="718"/>
      <c r="Y33" s="718"/>
      <c r="Z33" s="718"/>
      <c r="AA33" s="719"/>
      <c r="AB33" s="716" t="s">
        <v>344</v>
      </c>
      <c r="AC33" s="717"/>
      <c r="AD33" s="717"/>
      <c r="AE33" s="717"/>
      <c r="AF33" s="718"/>
      <c r="AG33" s="718"/>
      <c r="AH33" s="718"/>
      <c r="AI33" s="719"/>
      <c r="AJ33" s="716" t="s">
        <v>344</v>
      </c>
      <c r="AK33" s="717"/>
      <c r="AL33" s="717"/>
      <c r="AM33" s="717"/>
      <c r="AN33" s="718"/>
      <c r="AO33" s="718"/>
      <c r="AP33" s="718"/>
      <c r="AQ33" s="719"/>
      <c r="AR33" s="716" t="s">
        <v>344</v>
      </c>
      <c r="AS33" s="717"/>
      <c r="AT33" s="717"/>
      <c r="AU33" s="717"/>
      <c r="AV33" s="718"/>
      <c r="AW33" s="718"/>
      <c r="AX33" s="718"/>
      <c r="AY33" s="719"/>
      <c r="AZ33" s="716" t="s">
        <v>344</v>
      </c>
      <c r="BA33" s="717"/>
      <c r="BB33" s="717"/>
      <c r="BC33" s="717"/>
      <c r="BD33" s="718"/>
      <c r="BE33" s="718"/>
      <c r="BF33" s="718"/>
      <c r="BG33" s="719"/>
      <c r="BH33" s="716" t="s">
        <v>344</v>
      </c>
      <c r="BI33" s="717"/>
      <c r="BJ33" s="717"/>
      <c r="BK33" s="717"/>
      <c r="BL33" s="718"/>
      <c r="BM33" s="718"/>
      <c r="BN33" s="718"/>
      <c r="BO33" s="719"/>
      <c r="BP33" s="716" t="s">
        <v>344</v>
      </c>
      <c r="BQ33" s="717"/>
      <c r="BR33" s="717"/>
      <c r="BS33" s="717"/>
      <c r="BT33" s="718"/>
      <c r="BU33" s="718"/>
      <c r="BV33" s="718"/>
      <c r="BW33" s="719"/>
      <c r="BX33" s="716" t="s">
        <v>344</v>
      </c>
      <c r="BY33" s="717"/>
      <c r="BZ33" s="717"/>
      <c r="CA33" s="717"/>
      <c r="CB33" s="718"/>
      <c r="CC33" s="718"/>
      <c r="CD33" s="718"/>
      <c r="CE33" s="719"/>
      <c r="CF33" s="716" t="s">
        <v>344</v>
      </c>
      <c r="CG33" s="717"/>
      <c r="CH33" s="717"/>
      <c r="CI33" s="717"/>
      <c r="CJ33" s="718"/>
      <c r="CK33" s="718"/>
      <c r="CL33" s="718"/>
      <c r="CM33" s="719"/>
      <c r="CN33" s="716" t="s">
        <v>344</v>
      </c>
      <c r="CO33" s="717"/>
      <c r="CP33" s="717"/>
      <c r="CQ33" s="717"/>
      <c r="CR33" s="718"/>
      <c r="CS33" s="718"/>
      <c r="CT33" s="718"/>
      <c r="CU33" s="719"/>
      <c r="CV33" s="716" t="s">
        <v>344</v>
      </c>
      <c r="CW33" s="717"/>
      <c r="CX33" s="717"/>
      <c r="CY33" s="717"/>
      <c r="CZ33" s="718"/>
      <c r="DA33" s="718"/>
      <c r="DB33" s="718"/>
      <c r="DC33" s="719"/>
      <c r="DD33" s="716" t="s">
        <v>344</v>
      </c>
      <c r="DE33" s="717"/>
      <c r="DF33" s="717"/>
      <c r="DG33" s="717"/>
      <c r="DH33" s="718"/>
      <c r="DI33" s="718"/>
      <c r="DJ33" s="718"/>
      <c r="DK33" s="719"/>
      <c r="DL33" s="716" t="s">
        <v>344</v>
      </c>
      <c r="DM33" s="717"/>
      <c r="DN33" s="717"/>
      <c r="DO33" s="717"/>
      <c r="DP33" s="718"/>
      <c r="DQ33" s="718"/>
      <c r="DR33" s="718"/>
      <c r="DS33" s="719"/>
      <c r="DT33" s="716" t="s">
        <v>344</v>
      </c>
      <c r="DU33" s="717"/>
      <c r="DV33" s="717"/>
      <c r="DW33" s="717"/>
      <c r="DX33" s="718"/>
      <c r="DY33" s="718"/>
      <c r="DZ33" s="718"/>
      <c r="EA33" s="719"/>
    </row>
    <row r="34" spans="2:131" ht="25.35" customHeight="1" thickBot="1" x14ac:dyDescent="0.25">
      <c r="B34" s="697" t="s">
        <v>336</v>
      </c>
      <c r="C34" s="698"/>
      <c r="D34" s="712"/>
      <c r="E34" s="713"/>
      <c r="F34" s="713"/>
      <c r="G34" s="713"/>
      <c r="H34" s="714"/>
      <c r="I34" s="714"/>
      <c r="J34" s="714"/>
      <c r="K34" s="715"/>
      <c r="L34" s="712"/>
      <c r="M34" s="713"/>
      <c r="N34" s="713"/>
      <c r="O34" s="713"/>
      <c r="P34" s="714"/>
      <c r="Q34" s="714"/>
      <c r="R34" s="714"/>
      <c r="S34" s="715"/>
      <c r="T34" s="712"/>
      <c r="U34" s="713"/>
      <c r="V34" s="713"/>
      <c r="W34" s="713"/>
      <c r="X34" s="714"/>
      <c r="Y34" s="714"/>
      <c r="Z34" s="714"/>
      <c r="AA34" s="715"/>
      <c r="AB34" s="712"/>
      <c r="AC34" s="713"/>
      <c r="AD34" s="713"/>
      <c r="AE34" s="713"/>
      <c r="AF34" s="714"/>
      <c r="AG34" s="714"/>
      <c r="AH34" s="714"/>
      <c r="AI34" s="715"/>
      <c r="AJ34" s="712"/>
      <c r="AK34" s="713"/>
      <c r="AL34" s="713"/>
      <c r="AM34" s="713"/>
      <c r="AN34" s="714"/>
      <c r="AO34" s="714"/>
      <c r="AP34" s="714"/>
      <c r="AQ34" s="715"/>
      <c r="AR34" s="712"/>
      <c r="AS34" s="713"/>
      <c r="AT34" s="713"/>
      <c r="AU34" s="713"/>
      <c r="AV34" s="714"/>
      <c r="AW34" s="714"/>
      <c r="AX34" s="714"/>
      <c r="AY34" s="715"/>
      <c r="AZ34" s="712"/>
      <c r="BA34" s="713"/>
      <c r="BB34" s="713"/>
      <c r="BC34" s="713"/>
      <c r="BD34" s="714"/>
      <c r="BE34" s="714"/>
      <c r="BF34" s="714"/>
      <c r="BG34" s="715"/>
      <c r="BH34" s="712"/>
      <c r="BI34" s="713"/>
      <c r="BJ34" s="713"/>
      <c r="BK34" s="713"/>
      <c r="BL34" s="714"/>
      <c r="BM34" s="714"/>
      <c r="BN34" s="714"/>
      <c r="BO34" s="715"/>
      <c r="BP34" s="712"/>
      <c r="BQ34" s="713"/>
      <c r="BR34" s="713"/>
      <c r="BS34" s="713"/>
      <c r="BT34" s="714"/>
      <c r="BU34" s="714"/>
      <c r="BV34" s="714"/>
      <c r="BW34" s="715"/>
      <c r="BX34" s="712"/>
      <c r="BY34" s="713"/>
      <c r="BZ34" s="713"/>
      <c r="CA34" s="713"/>
      <c r="CB34" s="714"/>
      <c r="CC34" s="714"/>
      <c r="CD34" s="714"/>
      <c r="CE34" s="715"/>
      <c r="CF34" s="712"/>
      <c r="CG34" s="713"/>
      <c r="CH34" s="713"/>
      <c r="CI34" s="713"/>
      <c r="CJ34" s="714"/>
      <c r="CK34" s="714"/>
      <c r="CL34" s="714"/>
      <c r="CM34" s="715"/>
      <c r="CN34" s="712"/>
      <c r="CO34" s="713"/>
      <c r="CP34" s="713"/>
      <c r="CQ34" s="713"/>
      <c r="CR34" s="714"/>
      <c r="CS34" s="714"/>
      <c r="CT34" s="714"/>
      <c r="CU34" s="715"/>
      <c r="CV34" s="712"/>
      <c r="CW34" s="713"/>
      <c r="CX34" s="713"/>
      <c r="CY34" s="713"/>
      <c r="CZ34" s="714"/>
      <c r="DA34" s="714"/>
      <c r="DB34" s="714"/>
      <c r="DC34" s="715"/>
      <c r="DD34" s="712"/>
      <c r="DE34" s="713"/>
      <c r="DF34" s="713"/>
      <c r="DG34" s="713"/>
      <c r="DH34" s="714"/>
      <c r="DI34" s="714"/>
      <c r="DJ34" s="714"/>
      <c r="DK34" s="715"/>
      <c r="DL34" s="712"/>
      <c r="DM34" s="713"/>
      <c r="DN34" s="713"/>
      <c r="DO34" s="713"/>
      <c r="DP34" s="714"/>
      <c r="DQ34" s="714"/>
      <c r="DR34" s="714"/>
      <c r="DS34" s="715"/>
      <c r="DT34" s="712"/>
      <c r="DU34" s="713"/>
      <c r="DV34" s="713"/>
      <c r="DW34" s="713"/>
      <c r="DX34" s="714"/>
      <c r="DY34" s="714"/>
      <c r="DZ34" s="714"/>
      <c r="EA34" s="715"/>
    </row>
    <row r="35" spans="2:131" s="33" customFormat="1" ht="39" customHeight="1" thickBot="1" x14ac:dyDescent="0.25">
      <c r="B35" s="731" t="s">
        <v>347</v>
      </c>
      <c r="C35" s="732"/>
      <c r="D35" s="728" t="s">
        <v>345</v>
      </c>
      <c r="E35" s="729"/>
      <c r="F35" s="729"/>
      <c r="G35" s="730"/>
      <c r="H35" s="728" t="s">
        <v>467</v>
      </c>
      <c r="I35" s="729"/>
      <c r="J35" s="729"/>
      <c r="K35" s="730"/>
      <c r="L35" s="728" t="s">
        <v>345</v>
      </c>
      <c r="M35" s="729"/>
      <c r="N35" s="729"/>
      <c r="O35" s="730"/>
      <c r="P35" s="728" t="s">
        <v>467</v>
      </c>
      <c r="Q35" s="729"/>
      <c r="R35" s="729"/>
      <c r="S35" s="730"/>
      <c r="T35" s="728" t="s">
        <v>345</v>
      </c>
      <c r="U35" s="729"/>
      <c r="V35" s="729"/>
      <c r="W35" s="730"/>
      <c r="X35" s="728" t="s">
        <v>467</v>
      </c>
      <c r="Y35" s="729"/>
      <c r="Z35" s="729"/>
      <c r="AA35" s="730"/>
      <c r="AB35" s="728" t="s">
        <v>345</v>
      </c>
      <c r="AC35" s="729"/>
      <c r="AD35" s="729"/>
      <c r="AE35" s="730"/>
      <c r="AF35" s="728" t="s">
        <v>467</v>
      </c>
      <c r="AG35" s="729"/>
      <c r="AH35" s="729"/>
      <c r="AI35" s="730"/>
      <c r="AJ35" s="728" t="s">
        <v>345</v>
      </c>
      <c r="AK35" s="729"/>
      <c r="AL35" s="729"/>
      <c r="AM35" s="730"/>
      <c r="AN35" s="728" t="s">
        <v>467</v>
      </c>
      <c r="AO35" s="729"/>
      <c r="AP35" s="729"/>
      <c r="AQ35" s="730"/>
      <c r="AR35" s="728" t="s">
        <v>345</v>
      </c>
      <c r="AS35" s="729"/>
      <c r="AT35" s="729"/>
      <c r="AU35" s="730"/>
      <c r="AV35" s="728" t="s">
        <v>467</v>
      </c>
      <c r="AW35" s="729"/>
      <c r="AX35" s="729"/>
      <c r="AY35" s="730"/>
      <c r="AZ35" s="728" t="s">
        <v>345</v>
      </c>
      <c r="BA35" s="729"/>
      <c r="BB35" s="729"/>
      <c r="BC35" s="730"/>
      <c r="BD35" s="728" t="s">
        <v>467</v>
      </c>
      <c r="BE35" s="729"/>
      <c r="BF35" s="729"/>
      <c r="BG35" s="730"/>
      <c r="BH35" s="728" t="s">
        <v>345</v>
      </c>
      <c r="BI35" s="729"/>
      <c r="BJ35" s="729"/>
      <c r="BK35" s="730"/>
      <c r="BL35" s="728" t="s">
        <v>467</v>
      </c>
      <c r="BM35" s="729"/>
      <c r="BN35" s="729"/>
      <c r="BO35" s="730"/>
      <c r="BP35" s="728" t="s">
        <v>345</v>
      </c>
      <c r="BQ35" s="729"/>
      <c r="BR35" s="729"/>
      <c r="BS35" s="730"/>
      <c r="BT35" s="728" t="s">
        <v>467</v>
      </c>
      <c r="BU35" s="729"/>
      <c r="BV35" s="729"/>
      <c r="BW35" s="730"/>
      <c r="BX35" s="728" t="s">
        <v>345</v>
      </c>
      <c r="BY35" s="729"/>
      <c r="BZ35" s="729"/>
      <c r="CA35" s="730"/>
      <c r="CB35" s="728" t="s">
        <v>467</v>
      </c>
      <c r="CC35" s="729"/>
      <c r="CD35" s="729"/>
      <c r="CE35" s="730"/>
      <c r="CF35" s="728" t="s">
        <v>345</v>
      </c>
      <c r="CG35" s="729"/>
      <c r="CH35" s="729"/>
      <c r="CI35" s="730"/>
      <c r="CJ35" s="728" t="s">
        <v>467</v>
      </c>
      <c r="CK35" s="729"/>
      <c r="CL35" s="729"/>
      <c r="CM35" s="730"/>
      <c r="CN35" s="728" t="s">
        <v>345</v>
      </c>
      <c r="CO35" s="729"/>
      <c r="CP35" s="729"/>
      <c r="CQ35" s="730"/>
      <c r="CR35" s="728" t="s">
        <v>467</v>
      </c>
      <c r="CS35" s="729"/>
      <c r="CT35" s="729"/>
      <c r="CU35" s="730"/>
      <c r="CV35" s="728" t="s">
        <v>345</v>
      </c>
      <c r="CW35" s="729"/>
      <c r="CX35" s="729"/>
      <c r="CY35" s="730"/>
      <c r="CZ35" s="728" t="s">
        <v>467</v>
      </c>
      <c r="DA35" s="729"/>
      <c r="DB35" s="729"/>
      <c r="DC35" s="730"/>
      <c r="DD35" s="728" t="s">
        <v>345</v>
      </c>
      <c r="DE35" s="729"/>
      <c r="DF35" s="729"/>
      <c r="DG35" s="730"/>
      <c r="DH35" s="728" t="s">
        <v>467</v>
      </c>
      <c r="DI35" s="729"/>
      <c r="DJ35" s="729"/>
      <c r="DK35" s="730"/>
      <c r="DL35" s="728" t="s">
        <v>345</v>
      </c>
      <c r="DM35" s="729"/>
      <c r="DN35" s="729"/>
      <c r="DO35" s="730"/>
      <c r="DP35" s="728" t="s">
        <v>467</v>
      </c>
      <c r="DQ35" s="729"/>
      <c r="DR35" s="729"/>
      <c r="DS35" s="730"/>
      <c r="DT35" s="728" t="s">
        <v>345</v>
      </c>
      <c r="DU35" s="729"/>
      <c r="DV35" s="729"/>
      <c r="DW35" s="730"/>
      <c r="DX35" s="728" t="s">
        <v>467</v>
      </c>
      <c r="DY35" s="729"/>
      <c r="DZ35" s="729"/>
      <c r="EA35" s="730"/>
    </row>
    <row r="36" spans="2:131" s="33" customFormat="1" ht="39" customHeight="1" thickBot="1" x14ac:dyDescent="0.25">
      <c r="B36" s="733"/>
      <c r="C36" s="734"/>
      <c r="D36" s="136" t="s">
        <v>458</v>
      </c>
      <c r="E36" s="137" t="s">
        <v>459</v>
      </c>
      <c r="F36" s="137" t="s">
        <v>460</v>
      </c>
      <c r="G36" s="138" t="s">
        <v>461</v>
      </c>
      <c r="H36" s="136" t="s">
        <v>458</v>
      </c>
      <c r="I36" s="137" t="s">
        <v>459</v>
      </c>
      <c r="J36" s="137" t="s">
        <v>460</v>
      </c>
      <c r="K36" s="138" t="s">
        <v>461</v>
      </c>
      <c r="L36" s="136" t="s">
        <v>458</v>
      </c>
      <c r="M36" s="137" t="s">
        <v>459</v>
      </c>
      <c r="N36" s="137" t="s">
        <v>460</v>
      </c>
      <c r="O36" s="138" t="s">
        <v>461</v>
      </c>
      <c r="P36" s="136" t="s">
        <v>458</v>
      </c>
      <c r="Q36" s="137" t="s">
        <v>459</v>
      </c>
      <c r="R36" s="137" t="s">
        <v>460</v>
      </c>
      <c r="S36" s="138" t="s">
        <v>461</v>
      </c>
      <c r="T36" s="136" t="s">
        <v>458</v>
      </c>
      <c r="U36" s="137" t="s">
        <v>459</v>
      </c>
      <c r="V36" s="137" t="s">
        <v>460</v>
      </c>
      <c r="W36" s="138" t="s">
        <v>461</v>
      </c>
      <c r="X36" s="136" t="s">
        <v>458</v>
      </c>
      <c r="Y36" s="137" t="s">
        <v>459</v>
      </c>
      <c r="Z36" s="137" t="s">
        <v>460</v>
      </c>
      <c r="AA36" s="138" t="s">
        <v>461</v>
      </c>
      <c r="AB36" s="136" t="s">
        <v>458</v>
      </c>
      <c r="AC36" s="137" t="s">
        <v>459</v>
      </c>
      <c r="AD36" s="137" t="s">
        <v>460</v>
      </c>
      <c r="AE36" s="138" t="s">
        <v>461</v>
      </c>
      <c r="AF36" s="136" t="s">
        <v>458</v>
      </c>
      <c r="AG36" s="137" t="s">
        <v>459</v>
      </c>
      <c r="AH36" s="137" t="s">
        <v>460</v>
      </c>
      <c r="AI36" s="138" t="s">
        <v>461</v>
      </c>
      <c r="AJ36" s="136" t="s">
        <v>458</v>
      </c>
      <c r="AK36" s="137" t="s">
        <v>459</v>
      </c>
      <c r="AL36" s="137" t="s">
        <v>460</v>
      </c>
      <c r="AM36" s="138" t="s">
        <v>461</v>
      </c>
      <c r="AN36" s="136" t="s">
        <v>458</v>
      </c>
      <c r="AO36" s="137" t="s">
        <v>459</v>
      </c>
      <c r="AP36" s="137" t="s">
        <v>460</v>
      </c>
      <c r="AQ36" s="138" t="s">
        <v>461</v>
      </c>
      <c r="AR36" s="136" t="s">
        <v>458</v>
      </c>
      <c r="AS36" s="137" t="s">
        <v>459</v>
      </c>
      <c r="AT36" s="137" t="s">
        <v>460</v>
      </c>
      <c r="AU36" s="138" t="s">
        <v>461</v>
      </c>
      <c r="AV36" s="136" t="s">
        <v>458</v>
      </c>
      <c r="AW36" s="137" t="s">
        <v>459</v>
      </c>
      <c r="AX36" s="137" t="s">
        <v>460</v>
      </c>
      <c r="AY36" s="138" t="s">
        <v>461</v>
      </c>
      <c r="AZ36" s="136" t="s">
        <v>458</v>
      </c>
      <c r="BA36" s="137" t="s">
        <v>459</v>
      </c>
      <c r="BB36" s="137" t="s">
        <v>460</v>
      </c>
      <c r="BC36" s="138" t="s">
        <v>461</v>
      </c>
      <c r="BD36" s="136" t="s">
        <v>458</v>
      </c>
      <c r="BE36" s="137" t="s">
        <v>459</v>
      </c>
      <c r="BF36" s="137" t="s">
        <v>460</v>
      </c>
      <c r="BG36" s="138" t="s">
        <v>461</v>
      </c>
      <c r="BH36" s="136" t="s">
        <v>458</v>
      </c>
      <c r="BI36" s="137" t="s">
        <v>459</v>
      </c>
      <c r="BJ36" s="137" t="s">
        <v>460</v>
      </c>
      <c r="BK36" s="138" t="s">
        <v>461</v>
      </c>
      <c r="BL36" s="136" t="s">
        <v>458</v>
      </c>
      <c r="BM36" s="137" t="s">
        <v>459</v>
      </c>
      <c r="BN36" s="137" t="s">
        <v>460</v>
      </c>
      <c r="BO36" s="138" t="s">
        <v>461</v>
      </c>
      <c r="BP36" s="136" t="s">
        <v>458</v>
      </c>
      <c r="BQ36" s="137" t="s">
        <v>459</v>
      </c>
      <c r="BR36" s="137" t="s">
        <v>460</v>
      </c>
      <c r="BS36" s="138" t="s">
        <v>461</v>
      </c>
      <c r="BT36" s="136" t="s">
        <v>458</v>
      </c>
      <c r="BU36" s="137" t="s">
        <v>459</v>
      </c>
      <c r="BV36" s="137" t="s">
        <v>460</v>
      </c>
      <c r="BW36" s="138" t="s">
        <v>461</v>
      </c>
      <c r="BX36" s="136" t="s">
        <v>458</v>
      </c>
      <c r="BY36" s="137" t="s">
        <v>459</v>
      </c>
      <c r="BZ36" s="137" t="s">
        <v>460</v>
      </c>
      <c r="CA36" s="138" t="s">
        <v>461</v>
      </c>
      <c r="CB36" s="136" t="s">
        <v>458</v>
      </c>
      <c r="CC36" s="137" t="s">
        <v>459</v>
      </c>
      <c r="CD36" s="137" t="s">
        <v>460</v>
      </c>
      <c r="CE36" s="138" t="s">
        <v>461</v>
      </c>
      <c r="CF36" s="136" t="s">
        <v>458</v>
      </c>
      <c r="CG36" s="137" t="s">
        <v>459</v>
      </c>
      <c r="CH36" s="137" t="s">
        <v>460</v>
      </c>
      <c r="CI36" s="138" t="s">
        <v>461</v>
      </c>
      <c r="CJ36" s="136" t="s">
        <v>458</v>
      </c>
      <c r="CK36" s="137" t="s">
        <v>459</v>
      </c>
      <c r="CL36" s="137" t="s">
        <v>460</v>
      </c>
      <c r="CM36" s="138" t="s">
        <v>461</v>
      </c>
      <c r="CN36" s="136" t="s">
        <v>458</v>
      </c>
      <c r="CO36" s="137" t="s">
        <v>459</v>
      </c>
      <c r="CP36" s="137" t="s">
        <v>460</v>
      </c>
      <c r="CQ36" s="138" t="s">
        <v>461</v>
      </c>
      <c r="CR36" s="136" t="s">
        <v>458</v>
      </c>
      <c r="CS36" s="137" t="s">
        <v>459</v>
      </c>
      <c r="CT36" s="137" t="s">
        <v>460</v>
      </c>
      <c r="CU36" s="138" t="s">
        <v>461</v>
      </c>
      <c r="CV36" s="136" t="s">
        <v>458</v>
      </c>
      <c r="CW36" s="137" t="s">
        <v>459</v>
      </c>
      <c r="CX36" s="137" t="s">
        <v>460</v>
      </c>
      <c r="CY36" s="138" t="s">
        <v>461</v>
      </c>
      <c r="CZ36" s="136" t="s">
        <v>458</v>
      </c>
      <c r="DA36" s="137" t="s">
        <v>459</v>
      </c>
      <c r="DB36" s="137" t="s">
        <v>460</v>
      </c>
      <c r="DC36" s="138" t="s">
        <v>461</v>
      </c>
      <c r="DD36" s="136" t="s">
        <v>458</v>
      </c>
      <c r="DE36" s="137" t="s">
        <v>459</v>
      </c>
      <c r="DF36" s="137" t="s">
        <v>460</v>
      </c>
      <c r="DG36" s="138" t="s">
        <v>461</v>
      </c>
      <c r="DH36" s="136" t="s">
        <v>458</v>
      </c>
      <c r="DI36" s="137" t="s">
        <v>459</v>
      </c>
      <c r="DJ36" s="137" t="s">
        <v>460</v>
      </c>
      <c r="DK36" s="138" t="s">
        <v>461</v>
      </c>
      <c r="DL36" s="136" t="s">
        <v>458</v>
      </c>
      <c r="DM36" s="137" t="s">
        <v>459</v>
      </c>
      <c r="DN36" s="137" t="s">
        <v>460</v>
      </c>
      <c r="DO36" s="138" t="s">
        <v>461</v>
      </c>
      <c r="DP36" s="136" t="s">
        <v>458</v>
      </c>
      <c r="DQ36" s="137" t="s">
        <v>459</v>
      </c>
      <c r="DR36" s="137" t="s">
        <v>460</v>
      </c>
      <c r="DS36" s="138" t="s">
        <v>461</v>
      </c>
      <c r="DT36" s="136" t="s">
        <v>458</v>
      </c>
      <c r="DU36" s="137" t="s">
        <v>459</v>
      </c>
      <c r="DV36" s="137" t="s">
        <v>460</v>
      </c>
      <c r="DW36" s="138" t="s">
        <v>461</v>
      </c>
      <c r="DX36" s="136" t="s">
        <v>458</v>
      </c>
      <c r="DY36" s="137" t="s">
        <v>459</v>
      </c>
      <c r="DZ36" s="137" t="s">
        <v>460</v>
      </c>
      <c r="EA36" s="138" t="s">
        <v>461</v>
      </c>
    </row>
    <row r="37" spans="2:131" ht="18" customHeight="1" x14ac:dyDescent="0.2">
      <c r="B37" s="706" t="str">
        <f>B13</f>
        <v>KING</v>
      </c>
      <c r="C37" s="707"/>
      <c r="D37" s="142"/>
      <c r="E37" s="143"/>
      <c r="F37" s="144"/>
      <c r="G37" s="145"/>
      <c r="H37" s="139"/>
      <c r="I37" s="133"/>
      <c r="J37" s="133"/>
      <c r="K37" s="53"/>
      <c r="L37" s="142"/>
      <c r="M37" s="143"/>
      <c r="N37" s="144"/>
      <c r="O37" s="145"/>
      <c r="P37" s="139"/>
      <c r="Q37" s="133"/>
      <c r="R37" s="133"/>
      <c r="S37" s="53"/>
      <c r="T37" s="142"/>
      <c r="U37" s="143"/>
      <c r="V37" s="144"/>
      <c r="W37" s="145"/>
      <c r="X37" s="139"/>
      <c r="Y37" s="133"/>
      <c r="Z37" s="133"/>
      <c r="AA37" s="53"/>
      <c r="AB37" s="142"/>
      <c r="AC37" s="143"/>
      <c r="AD37" s="144"/>
      <c r="AE37" s="145"/>
      <c r="AF37" s="139"/>
      <c r="AG37" s="133"/>
      <c r="AH37" s="133"/>
      <c r="AI37" s="53"/>
      <c r="AJ37" s="142"/>
      <c r="AK37" s="143"/>
      <c r="AL37" s="144"/>
      <c r="AM37" s="145"/>
      <c r="AN37" s="139"/>
      <c r="AO37" s="133"/>
      <c r="AP37" s="133"/>
      <c r="AQ37" s="53"/>
      <c r="AR37" s="142"/>
      <c r="AS37" s="143"/>
      <c r="AT37" s="144"/>
      <c r="AU37" s="145"/>
      <c r="AV37" s="139"/>
      <c r="AW37" s="133"/>
      <c r="AX37" s="133"/>
      <c r="AY37" s="53"/>
      <c r="AZ37" s="142"/>
      <c r="BA37" s="143"/>
      <c r="BB37" s="144"/>
      <c r="BC37" s="145"/>
      <c r="BD37" s="139"/>
      <c r="BE37" s="133"/>
      <c r="BF37" s="133"/>
      <c r="BG37" s="53"/>
      <c r="BH37" s="142"/>
      <c r="BI37" s="143"/>
      <c r="BJ37" s="144"/>
      <c r="BK37" s="145"/>
      <c r="BL37" s="139"/>
      <c r="BM37" s="133"/>
      <c r="BN37" s="133"/>
      <c r="BO37" s="53"/>
      <c r="BP37" s="142"/>
      <c r="BQ37" s="143"/>
      <c r="BR37" s="144"/>
      <c r="BS37" s="145"/>
      <c r="BT37" s="139"/>
      <c r="BU37" s="133"/>
      <c r="BV37" s="133"/>
      <c r="BW37" s="53"/>
      <c r="BX37" s="142"/>
      <c r="BY37" s="143"/>
      <c r="BZ37" s="144"/>
      <c r="CA37" s="145"/>
      <c r="CB37" s="139"/>
      <c r="CC37" s="133"/>
      <c r="CD37" s="133"/>
      <c r="CE37" s="53"/>
      <c r="CF37" s="142"/>
      <c r="CG37" s="143"/>
      <c r="CH37" s="144"/>
      <c r="CI37" s="145"/>
      <c r="CJ37" s="139"/>
      <c r="CK37" s="133"/>
      <c r="CL37" s="133"/>
      <c r="CM37" s="53"/>
      <c r="CN37" s="142"/>
      <c r="CO37" s="143"/>
      <c r="CP37" s="144"/>
      <c r="CQ37" s="145"/>
      <c r="CR37" s="139"/>
      <c r="CS37" s="133"/>
      <c r="CT37" s="133"/>
      <c r="CU37" s="53"/>
      <c r="CV37" s="142"/>
      <c r="CW37" s="143"/>
      <c r="CX37" s="144"/>
      <c r="CY37" s="145"/>
      <c r="CZ37" s="139"/>
      <c r="DA37" s="133"/>
      <c r="DB37" s="133"/>
      <c r="DC37" s="53"/>
      <c r="DD37" s="142"/>
      <c r="DE37" s="143"/>
      <c r="DF37" s="144"/>
      <c r="DG37" s="145"/>
      <c r="DH37" s="139"/>
      <c r="DI37" s="133"/>
      <c r="DJ37" s="133"/>
      <c r="DK37" s="53"/>
      <c r="DL37" s="142"/>
      <c r="DM37" s="143"/>
      <c r="DN37" s="144"/>
      <c r="DO37" s="145"/>
      <c r="DP37" s="139"/>
      <c r="DQ37" s="133"/>
      <c r="DR37" s="133"/>
      <c r="DS37" s="53"/>
      <c r="DT37" s="142"/>
      <c r="DU37" s="143"/>
      <c r="DV37" s="144"/>
      <c r="DW37" s="145"/>
      <c r="DX37" s="139"/>
      <c r="DY37" s="133"/>
      <c r="DZ37" s="133"/>
      <c r="EA37" s="53"/>
    </row>
    <row r="38" spans="2:131" ht="18" customHeight="1" x14ac:dyDescent="0.2">
      <c r="B38" s="682" t="str">
        <f t="shared" ref="B38:B52" si="0">B14</f>
        <v>DBDB</v>
      </c>
      <c r="C38" s="683"/>
      <c r="D38" s="48"/>
      <c r="E38" s="47"/>
      <c r="F38" s="46"/>
      <c r="G38" s="49"/>
      <c r="H38" s="140"/>
      <c r="I38" s="134"/>
      <c r="J38" s="134"/>
      <c r="K38" s="49"/>
      <c r="L38" s="48"/>
      <c r="M38" s="47"/>
      <c r="N38" s="46"/>
      <c r="O38" s="49"/>
      <c r="P38" s="140"/>
      <c r="Q38" s="134"/>
      <c r="R38" s="134"/>
      <c r="S38" s="49"/>
      <c r="T38" s="48"/>
      <c r="U38" s="47"/>
      <c r="V38" s="46"/>
      <c r="W38" s="49"/>
      <c r="X38" s="140"/>
      <c r="Y38" s="134"/>
      <c r="Z38" s="134"/>
      <c r="AA38" s="49"/>
      <c r="AB38" s="48"/>
      <c r="AC38" s="47"/>
      <c r="AD38" s="46"/>
      <c r="AE38" s="49"/>
      <c r="AF38" s="140"/>
      <c r="AG38" s="134"/>
      <c r="AH38" s="134"/>
      <c r="AI38" s="49"/>
      <c r="AJ38" s="48"/>
      <c r="AK38" s="47"/>
      <c r="AL38" s="46"/>
      <c r="AM38" s="49"/>
      <c r="AN38" s="140"/>
      <c r="AO38" s="134"/>
      <c r="AP38" s="134"/>
      <c r="AQ38" s="49"/>
      <c r="AR38" s="48"/>
      <c r="AS38" s="47"/>
      <c r="AT38" s="46"/>
      <c r="AU38" s="49"/>
      <c r="AV38" s="140"/>
      <c r="AW38" s="134"/>
      <c r="AX38" s="134"/>
      <c r="AY38" s="49"/>
      <c r="AZ38" s="48"/>
      <c r="BA38" s="47"/>
      <c r="BB38" s="46"/>
      <c r="BC38" s="49"/>
      <c r="BD38" s="140"/>
      <c r="BE38" s="134"/>
      <c r="BF38" s="134"/>
      <c r="BG38" s="49"/>
      <c r="BH38" s="48"/>
      <c r="BI38" s="47"/>
      <c r="BJ38" s="46"/>
      <c r="BK38" s="49"/>
      <c r="BL38" s="140"/>
      <c r="BM38" s="134"/>
      <c r="BN38" s="134"/>
      <c r="BO38" s="49"/>
      <c r="BP38" s="48"/>
      <c r="BQ38" s="47"/>
      <c r="BR38" s="46"/>
      <c r="BS38" s="49"/>
      <c r="BT38" s="140"/>
      <c r="BU38" s="134"/>
      <c r="BV38" s="134"/>
      <c r="BW38" s="49"/>
      <c r="BX38" s="48"/>
      <c r="BY38" s="47"/>
      <c r="BZ38" s="46"/>
      <c r="CA38" s="49"/>
      <c r="CB38" s="140"/>
      <c r="CC38" s="134"/>
      <c r="CD38" s="134"/>
      <c r="CE38" s="49"/>
      <c r="CF38" s="48"/>
      <c r="CG38" s="47"/>
      <c r="CH38" s="46"/>
      <c r="CI38" s="49"/>
      <c r="CJ38" s="140"/>
      <c r="CK38" s="134"/>
      <c r="CL38" s="134"/>
      <c r="CM38" s="49"/>
      <c r="CN38" s="48"/>
      <c r="CO38" s="47"/>
      <c r="CP38" s="46"/>
      <c r="CQ38" s="49"/>
      <c r="CR38" s="140"/>
      <c r="CS38" s="134"/>
      <c r="CT38" s="134"/>
      <c r="CU38" s="49"/>
      <c r="CV38" s="48"/>
      <c r="CW38" s="47"/>
      <c r="CX38" s="46"/>
      <c r="CY38" s="49"/>
      <c r="CZ38" s="140"/>
      <c r="DA38" s="134"/>
      <c r="DB38" s="134"/>
      <c r="DC38" s="49"/>
      <c r="DD38" s="48"/>
      <c r="DE38" s="47"/>
      <c r="DF38" s="46"/>
      <c r="DG38" s="49"/>
      <c r="DH38" s="140"/>
      <c r="DI38" s="134"/>
      <c r="DJ38" s="134"/>
      <c r="DK38" s="49"/>
      <c r="DL38" s="48"/>
      <c r="DM38" s="47"/>
      <c r="DN38" s="46"/>
      <c r="DO38" s="49"/>
      <c r="DP38" s="140"/>
      <c r="DQ38" s="134"/>
      <c r="DR38" s="134"/>
      <c r="DS38" s="49"/>
      <c r="DT38" s="48"/>
      <c r="DU38" s="47"/>
      <c r="DV38" s="46"/>
      <c r="DW38" s="49"/>
      <c r="DX38" s="140"/>
      <c r="DY38" s="134"/>
      <c r="DZ38" s="134"/>
      <c r="EA38" s="49"/>
    </row>
    <row r="39" spans="2:131" ht="18" customHeight="1" x14ac:dyDescent="0.2">
      <c r="B39" s="682" t="str">
        <f t="shared" si="0"/>
        <v>PMRS</v>
      </c>
      <c r="C39" s="683"/>
      <c r="D39" s="48"/>
      <c r="E39" s="47"/>
      <c r="F39" s="46"/>
      <c r="G39" s="49"/>
      <c r="H39" s="140"/>
      <c r="I39" s="134"/>
      <c r="J39" s="134"/>
      <c r="K39" s="49"/>
      <c r="L39" s="48"/>
      <c r="M39" s="47"/>
      <c r="N39" s="46"/>
      <c r="O39" s="49"/>
      <c r="P39" s="140"/>
      <c r="Q39" s="134"/>
      <c r="R39" s="134"/>
      <c r="S39" s="49"/>
      <c r="T39" s="48"/>
      <c r="U39" s="47"/>
      <c r="V39" s="46"/>
      <c r="W39" s="49"/>
      <c r="X39" s="140"/>
      <c r="Y39" s="134"/>
      <c r="Z39" s="134"/>
      <c r="AA39" s="49"/>
      <c r="AB39" s="48"/>
      <c r="AC39" s="47"/>
      <c r="AD39" s="46"/>
      <c r="AE39" s="49"/>
      <c r="AF39" s="140"/>
      <c r="AG39" s="134"/>
      <c r="AH39" s="134"/>
      <c r="AI39" s="49"/>
      <c r="AJ39" s="48"/>
      <c r="AK39" s="47"/>
      <c r="AL39" s="46"/>
      <c r="AM39" s="49"/>
      <c r="AN39" s="140"/>
      <c r="AO39" s="134"/>
      <c r="AP39" s="134"/>
      <c r="AQ39" s="49"/>
      <c r="AR39" s="48"/>
      <c r="AS39" s="47"/>
      <c r="AT39" s="46"/>
      <c r="AU39" s="49"/>
      <c r="AV39" s="140"/>
      <c r="AW39" s="134"/>
      <c r="AX39" s="134"/>
      <c r="AY39" s="49"/>
      <c r="AZ39" s="48"/>
      <c r="BA39" s="47"/>
      <c r="BB39" s="46"/>
      <c r="BC39" s="49"/>
      <c r="BD39" s="140"/>
      <c r="BE39" s="134"/>
      <c r="BF39" s="134"/>
      <c r="BG39" s="49"/>
      <c r="BH39" s="48"/>
      <c r="BI39" s="47"/>
      <c r="BJ39" s="46"/>
      <c r="BK39" s="49"/>
      <c r="BL39" s="140"/>
      <c r="BM39" s="134"/>
      <c r="BN39" s="134"/>
      <c r="BO39" s="49"/>
      <c r="BP39" s="48"/>
      <c r="BQ39" s="47"/>
      <c r="BR39" s="46"/>
      <c r="BS39" s="49"/>
      <c r="BT39" s="140"/>
      <c r="BU39" s="134"/>
      <c r="BV39" s="134"/>
      <c r="BW39" s="49"/>
      <c r="BX39" s="48"/>
      <c r="BY39" s="47"/>
      <c r="BZ39" s="46"/>
      <c r="CA39" s="49"/>
      <c r="CB39" s="140"/>
      <c r="CC39" s="134"/>
      <c r="CD39" s="134"/>
      <c r="CE39" s="49"/>
      <c r="CF39" s="48"/>
      <c r="CG39" s="47"/>
      <c r="CH39" s="46"/>
      <c r="CI39" s="49"/>
      <c r="CJ39" s="140"/>
      <c r="CK39" s="134"/>
      <c r="CL39" s="134"/>
      <c r="CM39" s="49"/>
      <c r="CN39" s="48"/>
      <c r="CO39" s="47"/>
      <c r="CP39" s="46"/>
      <c r="CQ39" s="49"/>
      <c r="CR39" s="140"/>
      <c r="CS39" s="134"/>
      <c r="CT39" s="134"/>
      <c r="CU39" s="49"/>
      <c r="CV39" s="48"/>
      <c r="CW39" s="47"/>
      <c r="CX39" s="46"/>
      <c r="CY39" s="49"/>
      <c r="CZ39" s="140"/>
      <c r="DA39" s="134"/>
      <c r="DB39" s="134"/>
      <c r="DC39" s="49"/>
      <c r="DD39" s="48"/>
      <c r="DE39" s="47"/>
      <c r="DF39" s="46"/>
      <c r="DG39" s="49"/>
      <c r="DH39" s="140"/>
      <c r="DI39" s="134"/>
      <c r="DJ39" s="134"/>
      <c r="DK39" s="49"/>
      <c r="DL39" s="48"/>
      <c r="DM39" s="47"/>
      <c r="DN39" s="46"/>
      <c r="DO39" s="49"/>
      <c r="DP39" s="140"/>
      <c r="DQ39" s="134"/>
      <c r="DR39" s="134"/>
      <c r="DS39" s="49"/>
      <c r="DT39" s="48"/>
      <c r="DU39" s="47"/>
      <c r="DV39" s="46"/>
      <c r="DW39" s="49"/>
      <c r="DX39" s="140"/>
      <c r="DY39" s="134"/>
      <c r="DZ39" s="134"/>
      <c r="EA39" s="49"/>
    </row>
    <row r="40" spans="2:131" ht="18" customHeight="1" x14ac:dyDescent="0.2">
      <c r="B40" s="682" t="str">
        <f t="shared" si="0"/>
        <v>PMRS</v>
      </c>
      <c r="C40" s="683"/>
      <c r="D40" s="48"/>
      <c r="E40" s="47"/>
      <c r="F40" s="46"/>
      <c r="G40" s="49"/>
      <c r="H40" s="140"/>
      <c r="I40" s="134"/>
      <c r="J40" s="134"/>
      <c r="K40" s="49"/>
      <c r="L40" s="48"/>
      <c r="M40" s="47"/>
      <c r="N40" s="46"/>
      <c r="O40" s="49"/>
      <c r="P40" s="140"/>
      <c r="Q40" s="134"/>
      <c r="R40" s="134"/>
      <c r="S40" s="49"/>
      <c r="T40" s="48"/>
      <c r="U40" s="47"/>
      <c r="V40" s="46"/>
      <c r="W40" s="49"/>
      <c r="X40" s="140"/>
      <c r="Y40" s="134"/>
      <c r="Z40" s="134"/>
      <c r="AA40" s="49"/>
      <c r="AB40" s="48"/>
      <c r="AC40" s="47"/>
      <c r="AD40" s="46"/>
      <c r="AE40" s="49"/>
      <c r="AF40" s="140"/>
      <c r="AG40" s="134"/>
      <c r="AH40" s="134"/>
      <c r="AI40" s="49"/>
      <c r="AJ40" s="48"/>
      <c r="AK40" s="47"/>
      <c r="AL40" s="46"/>
      <c r="AM40" s="49"/>
      <c r="AN40" s="140"/>
      <c r="AO40" s="134"/>
      <c r="AP40" s="134"/>
      <c r="AQ40" s="49"/>
      <c r="AR40" s="48"/>
      <c r="AS40" s="47"/>
      <c r="AT40" s="46"/>
      <c r="AU40" s="49"/>
      <c r="AV40" s="140"/>
      <c r="AW40" s="134"/>
      <c r="AX40" s="134"/>
      <c r="AY40" s="49"/>
      <c r="AZ40" s="48"/>
      <c r="BA40" s="47"/>
      <c r="BB40" s="46"/>
      <c r="BC40" s="49"/>
      <c r="BD40" s="140"/>
      <c r="BE40" s="134"/>
      <c r="BF40" s="134"/>
      <c r="BG40" s="49"/>
      <c r="BH40" s="48"/>
      <c r="BI40" s="47"/>
      <c r="BJ40" s="46"/>
      <c r="BK40" s="49"/>
      <c r="BL40" s="140"/>
      <c r="BM40" s="134"/>
      <c r="BN40" s="134"/>
      <c r="BO40" s="49"/>
      <c r="BP40" s="48"/>
      <c r="BQ40" s="47"/>
      <c r="BR40" s="46"/>
      <c r="BS40" s="49"/>
      <c r="BT40" s="140"/>
      <c r="BU40" s="134"/>
      <c r="BV40" s="134"/>
      <c r="BW40" s="49"/>
      <c r="BX40" s="48"/>
      <c r="BY40" s="47"/>
      <c r="BZ40" s="46"/>
      <c r="CA40" s="49"/>
      <c r="CB40" s="140"/>
      <c r="CC40" s="134"/>
      <c r="CD40" s="134"/>
      <c r="CE40" s="49"/>
      <c r="CF40" s="48"/>
      <c r="CG40" s="47"/>
      <c r="CH40" s="46"/>
      <c r="CI40" s="49"/>
      <c r="CJ40" s="140"/>
      <c r="CK40" s="134"/>
      <c r="CL40" s="134"/>
      <c r="CM40" s="49"/>
      <c r="CN40" s="48"/>
      <c r="CO40" s="47"/>
      <c r="CP40" s="46"/>
      <c r="CQ40" s="49"/>
      <c r="CR40" s="140"/>
      <c r="CS40" s="134"/>
      <c r="CT40" s="134"/>
      <c r="CU40" s="49"/>
      <c r="CV40" s="48"/>
      <c r="CW40" s="47"/>
      <c r="CX40" s="46"/>
      <c r="CY40" s="49"/>
      <c r="CZ40" s="140"/>
      <c r="DA40" s="134"/>
      <c r="DB40" s="134"/>
      <c r="DC40" s="49"/>
      <c r="DD40" s="48"/>
      <c r="DE40" s="47"/>
      <c r="DF40" s="46"/>
      <c r="DG40" s="49"/>
      <c r="DH40" s="140"/>
      <c r="DI40" s="134"/>
      <c r="DJ40" s="134"/>
      <c r="DK40" s="49"/>
      <c r="DL40" s="48"/>
      <c r="DM40" s="47"/>
      <c r="DN40" s="46"/>
      <c r="DO40" s="49"/>
      <c r="DP40" s="140"/>
      <c r="DQ40" s="134"/>
      <c r="DR40" s="134"/>
      <c r="DS40" s="49"/>
      <c r="DT40" s="48"/>
      <c r="DU40" s="47"/>
      <c r="DV40" s="46"/>
      <c r="DW40" s="49"/>
      <c r="DX40" s="140"/>
      <c r="DY40" s="134"/>
      <c r="DZ40" s="134"/>
      <c r="EA40" s="49"/>
    </row>
    <row r="41" spans="2:131" ht="18" customHeight="1" x14ac:dyDescent="0.2">
      <c r="B41" s="682">
        <f t="shared" si="0"/>
        <v>0</v>
      </c>
      <c r="C41" s="683"/>
      <c r="D41" s="48"/>
      <c r="E41" s="47"/>
      <c r="F41" s="46"/>
      <c r="G41" s="49"/>
      <c r="H41" s="140"/>
      <c r="I41" s="134"/>
      <c r="J41" s="134"/>
      <c r="K41" s="49"/>
      <c r="L41" s="48"/>
      <c r="M41" s="47"/>
      <c r="N41" s="46"/>
      <c r="O41" s="49"/>
      <c r="P41" s="140"/>
      <c r="Q41" s="134"/>
      <c r="R41" s="134"/>
      <c r="S41" s="49"/>
      <c r="T41" s="48"/>
      <c r="U41" s="47"/>
      <c r="V41" s="46"/>
      <c r="W41" s="49"/>
      <c r="X41" s="140"/>
      <c r="Y41" s="134"/>
      <c r="Z41" s="134"/>
      <c r="AA41" s="49"/>
      <c r="AB41" s="48"/>
      <c r="AC41" s="47"/>
      <c r="AD41" s="46"/>
      <c r="AE41" s="49"/>
      <c r="AF41" s="140"/>
      <c r="AG41" s="134"/>
      <c r="AH41" s="134"/>
      <c r="AI41" s="49"/>
      <c r="AJ41" s="48"/>
      <c r="AK41" s="47"/>
      <c r="AL41" s="46"/>
      <c r="AM41" s="49"/>
      <c r="AN41" s="140"/>
      <c r="AO41" s="134"/>
      <c r="AP41" s="134"/>
      <c r="AQ41" s="49"/>
      <c r="AR41" s="48"/>
      <c r="AS41" s="47"/>
      <c r="AT41" s="46"/>
      <c r="AU41" s="49"/>
      <c r="AV41" s="140"/>
      <c r="AW41" s="134"/>
      <c r="AX41" s="134"/>
      <c r="AY41" s="49"/>
      <c r="AZ41" s="48"/>
      <c r="BA41" s="47"/>
      <c r="BB41" s="46"/>
      <c r="BC41" s="49"/>
      <c r="BD41" s="140"/>
      <c r="BE41" s="134"/>
      <c r="BF41" s="134"/>
      <c r="BG41" s="49"/>
      <c r="BH41" s="48"/>
      <c r="BI41" s="47"/>
      <c r="BJ41" s="46"/>
      <c r="BK41" s="49"/>
      <c r="BL41" s="140"/>
      <c r="BM41" s="134"/>
      <c r="BN41" s="134"/>
      <c r="BO41" s="49"/>
      <c r="BP41" s="48"/>
      <c r="BQ41" s="47"/>
      <c r="BR41" s="46"/>
      <c r="BS41" s="49"/>
      <c r="BT41" s="140"/>
      <c r="BU41" s="134"/>
      <c r="BV41" s="134"/>
      <c r="BW41" s="49"/>
      <c r="BX41" s="48"/>
      <c r="BY41" s="47"/>
      <c r="BZ41" s="46"/>
      <c r="CA41" s="49"/>
      <c r="CB41" s="140"/>
      <c r="CC41" s="134"/>
      <c r="CD41" s="134"/>
      <c r="CE41" s="49"/>
      <c r="CF41" s="48"/>
      <c r="CG41" s="47"/>
      <c r="CH41" s="46"/>
      <c r="CI41" s="49"/>
      <c r="CJ41" s="140"/>
      <c r="CK41" s="134"/>
      <c r="CL41" s="134"/>
      <c r="CM41" s="49"/>
      <c r="CN41" s="48"/>
      <c r="CO41" s="47"/>
      <c r="CP41" s="46"/>
      <c r="CQ41" s="49"/>
      <c r="CR41" s="140"/>
      <c r="CS41" s="134"/>
      <c r="CT41" s="134"/>
      <c r="CU41" s="49"/>
      <c r="CV41" s="48"/>
      <c r="CW41" s="47"/>
      <c r="CX41" s="46"/>
      <c r="CY41" s="49"/>
      <c r="CZ41" s="140"/>
      <c r="DA41" s="134"/>
      <c r="DB41" s="134"/>
      <c r="DC41" s="49"/>
      <c r="DD41" s="48"/>
      <c r="DE41" s="47"/>
      <c r="DF41" s="46"/>
      <c r="DG41" s="49"/>
      <c r="DH41" s="140"/>
      <c r="DI41" s="134"/>
      <c r="DJ41" s="134"/>
      <c r="DK41" s="49"/>
      <c r="DL41" s="48"/>
      <c r="DM41" s="47"/>
      <c r="DN41" s="46"/>
      <c r="DO41" s="49"/>
      <c r="DP41" s="140"/>
      <c r="DQ41" s="134"/>
      <c r="DR41" s="134"/>
      <c r="DS41" s="49"/>
      <c r="DT41" s="48"/>
      <c r="DU41" s="47"/>
      <c r="DV41" s="46"/>
      <c r="DW41" s="49"/>
      <c r="DX41" s="140"/>
      <c r="DY41" s="134"/>
      <c r="DZ41" s="134"/>
      <c r="EA41" s="49"/>
    </row>
    <row r="42" spans="2:131" ht="18" customHeight="1" x14ac:dyDescent="0.2">
      <c r="B42" s="682">
        <f t="shared" si="0"/>
        <v>0</v>
      </c>
      <c r="C42" s="683"/>
      <c r="D42" s="48"/>
      <c r="E42" s="47"/>
      <c r="F42" s="46"/>
      <c r="G42" s="49"/>
      <c r="H42" s="140"/>
      <c r="I42" s="134"/>
      <c r="J42" s="134"/>
      <c r="K42" s="49"/>
      <c r="L42" s="48"/>
      <c r="M42" s="47"/>
      <c r="N42" s="46"/>
      <c r="O42" s="49"/>
      <c r="P42" s="140"/>
      <c r="Q42" s="134"/>
      <c r="R42" s="134"/>
      <c r="S42" s="49"/>
      <c r="T42" s="48"/>
      <c r="U42" s="47"/>
      <c r="V42" s="46"/>
      <c r="W42" s="49"/>
      <c r="X42" s="140"/>
      <c r="Y42" s="134"/>
      <c r="Z42" s="134"/>
      <c r="AA42" s="49"/>
      <c r="AB42" s="48"/>
      <c r="AC42" s="47"/>
      <c r="AD42" s="46"/>
      <c r="AE42" s="49"/>
      <c r="AF42" s="140"/>
      <c r="AG42" s="134"/>
      <c r="AH42" s="134"/>
      <c r="AI42" s="49"/>
      <c r="AJ42" s="48"/>
      <c r="AK42" s="47"/>
      <c r="AL42" s="46"/>
      <c r="AM42" s="49"/>
      <c r="AN42" s="140"/>
      <c r="AO42" s="134"/>
      <c r="AP42" s="134"/>
      <c r="AQ42" s="49"/>
      <c r="AR42" s="48"/>
      <c r="AS42" s="47"/>
      <c r="AT42" s="46"/>
      <c r="AU42" s="49"/>
      <c r="AV42" s="140"/>
      <c r="AW42" s="134"/>
      <c r="AX42" s="134"/>
      <c r="AY42" s="49"/>
      <c r="AZ42" s="48"/>
      <c r="BA42" s="47"/>
      <c r="BB42" s="46"/>
      <c r="BC42" s="49"/>
      <c r="BD42" s="140"/>
      <c r="BE42" s="134"/>
      <c r="BF42" s="134"/>
      <c r="BG42" s="49"/>
      <c r="BH42" s="48"/>
      <c r="BI42" s="47"/>
      <c r="BJ42" s="46"/>
      <c r="BK42" s="49"/>
      <c r="BL42" s="140"/>
      <c r="BM42" s="134"/>
      <c r="BN42" s="134"/>
      <c r="BO42" s="49"/>
      <c r="BP42" s="48"/>
      <c r="BQ42" s="47"/>
      <c r="BR42" s="46"/>
      <c r="BS42" s="49"/>
      <c r="BT42" s="140"/>
      <c r="BU42" s="134"/>
      <c r="BV42" s="134"/>
      <c r="BW42" s="49"/>
      <c r="BX42" s="48"/>
      <c r="BY42" s="47"/>
      <c r="BZ42" s="46"/>
      <c r="CA42" s="49"/>
      <c r="CB42" s="140"/>
      <c r="CC42" s="134"/>
      <c r="CD42" s="134"/>
      <c r="CE42" s="49"/>
      <c r="CF42" s="48"/>
      <c r="CG42" s="47"/>
      <c r="CH42" s="46"/>
      <c r="CI42" s="49"/>
      <c r="CJ42" s="140"/>
      <c r="CK42" s="134"/>
      <c r="CL42" s="134"/>
      <c r="CM42" s="49"/>
      <c r="CN42" s="48"/>
      <c r="CO42" s="47"/>
      <c r="CP42" s="46"/>
      <c r="CQ42" s="49"/>
      <c r="CR42" s="140"/>
      <c r="CS42" s="134"/>
      <c r="CT42" s="134"/>
      <c r="CU42" s="49"/>
      <c r="CV42" s="48"/>
      <c r="CW42" s="47"/>
      <c r="CX42" s="46"/>
      <c r="CY42" s="49"/>
      <c r="CZ42" s="140"/>
      <c r="DA42" s="134"/>
      <c r="DB42" s="134"/>
      <c r="DC42" s="49"/>
      <c r="DD42" s="48"/>
      <c r="DE42" s="47"/>
      <c r="DF42" s="46"/>
      <c r="DG42" s="49"/>
      <c r="DH42" s="140"/>
      <c r="DI42" s="134"/>
      <c r="DJ42" s="134"/>
      <c r="DK42" s="49"/>
      <c r="DL42" s="48"/>
      <c r="DM42" s="47"/>
      <c r="DN42" s="46"/>
      <c r="DO42" s="49"/>
      <c r="DP42" s="140"/>
      <c r="DQ42" s="134"/>
      <c r="DR42" s="134"/>
      <c r="DS42" s="49"/>
      <c r="DT42" s="48"/>
      <c r="DU42" s="47"/>
      <c r="DV42" s="46"/>
      <c r="DW42" s="49"/>
      <c r="DX42" s="140"/>
      <c r="DY42" s="134"/>
      <c r="DZ42" s="134"/>
      <c r="EA42" s="49"/>
    </row>
    <row r="43" spans="2:131" ht="18" customHeight="1" x14ac:dyDescent="0.2">
      <c r="B43" s="682">
        <f t="shared" si="0"/>
        <v>0</v>
      </c>
      <c r="C43" s="683"/>
      <c r="D43" s="48"/>
      <c r="E43" s="47"/>
      <c r="F43" s="46"/>
      <c r="G43" s="49"/>
      <c r="H43" s="140"/>
      <c r="I43" s="134"/>
      <c r="J43" s="134"/>
      <c r="K43" s="49"/>
      <c r="L43" s="48"/>
      <c r="M43" s="47"/>
      <c r="N43" s="46"/>
      <c r="O43" s="49"/>
      <c r="P43" s="140"/>
      <c r="Q43" s="134"/>
      <c r="R43" s="134"/>
      <c r="S43" s="49"/>
      <c r="T43" s="48"/>
      <c r="U43" s="47"/>
      <c r="V43" s="46"/>
      <c r="W43" s="49"/>
      <c r="X43" s="140"/>
      <c r="Y43" s="134"/>
      <c r="Z43" s="134"/>
      <c r="AA43" s="49"/>
      <c r="AB43" s="48"/>
      <c r="AC43" s="47"/>
      <c r="AD43" s="46"/>
      <c r="AE43" s="49"/>
      <c r="AF43" s="140"/>
      <c r="AG43" s="134"/>
      <c r="AH43" s="134"/>
      <c r="AI43" s="49"/>
      <c r="AJ43" s="48"/>
      <c r="AK43" s="47"/>
      <c r="AL43" s="46"/>
      <c r="AM43" s="49"/>
      <c r="AN43" s="140"/>
      <c r="AO43" s="134"/>
      <c r="AP43" s="134"/>
      <c r="AQ43" s="49"/>
      <c r="AR43" s="48"/>
      <c r="AS43" s="47"/>
      <c r="AT43" s="46"/>
      <c r="AU43" s="49"/>
      <c r="AV43" s="140"/>
      <c r="AW43" s="134"/>
      <c r="AX43" s="134"/>
      <c r="AY43" s="49"/>
      <c r="AZ43" s="48"/>
      <c r="BA43" s="47"/>
      <c r="BB43" s="46"/>
      <c r="BC43" s="49"/>
      <c r="BD43" s="140"/>
      <c r="BE43" s="134"/>
      <c r="BF43" s="134"/>
      <c r="BG43" s="49"/>
      <c r="BH43" s="48"/>
      <c r="BI43" s="47"/>
      <c r="BJ43" s="46"/>
      <c r="BK43" s="49"/>
      <c r="BL43" s="140"/>
      <c r="BM43" s="134"/>
      <c r="BN43" s="134"/>
      <c r="BO43" s="49"/>
      <c r="BP43" s="48"/>
      <c r="BQ43" s="47"/>
      <c r="BR43" s="46"/>
      <c r="BS43" s="49"/>
      <c r="BT43" s="140"/>
      <c r="BU43" s="134"/>
      <c r="BV43" s="134"/>
      <c r="BW43" s="49"/>
      <c r="BX43" s="48"/>
      <c r="BY43" s="47"/>
      <c r="BZ43" s="46"/>
      <c r="CA43" s="49"/>
      <c r="CB43" s="140"/>
      <c r="CC43" s="134"/>
      <c r="CD43" s="134"/>
      <c r="CE43" s="49"/>
      <c r="CF43" s="48"/>
      <c r="CG43" s="47"/>
      <c r="CH43" s="46"/>
      <c r="CI43" s="49"/>
      <c r="CJ43" s="140"/>
      <c r="CK43" s="134"/>
      <c r="CL43" s="134"/>
      <c r="CM43" s="49"/>
      <c r="CN43" s="48"/>
      <c r="CO43" s="47"/>
      <c r="CP43" s="46"/>
      <c r="CQ43" s="49"/>
      <c r="CR43" s="140"/>
      <c r="CS43" s="134"/>
      <c r="CT43" s="134"/>
      <c r="CU43" s="49"/>
      <c r="CV43" s="48"/>
      <c r="CW43" s="47"/>
      <c r="CX43" s="46"/>
      <c r="CY43" s="49"/>
      <c r="CZ43" s="140"/>
      <c r="DA43" s="134"/>
      <c r="DB43" s="134"/>
      <c r="DC43" s="49"/>
      <c r="DD43" s="48"/>
      <c r="DE43" s="47"/>
      <c r="DF43" s="46"/>
      <c r="DG43" s="49"/>
      <c r="DH43" s="140"/>
      <c r="DI43" s="134"/>
      <c r="DJ43" s="134"/>
      <c r="DK43" s="49"/>
      <c r="DL43" s="48"/>
      <c r="DM43" s="47"/>
      <c r="DN43" s="46"/>
      <c r="DO43" s="49"/>
      <c r="DP43" s="140"/>
      <c r="DQ43" s="134"/>
      <c r="DR43" s="134"/>
      <c r="DS43" s="49"/>
      <c r="DT43" s="48"/>
      <c r="DU43" s="47"/>
      <c r="DV43" s="46"/>
      <c r="DW43" s="49"/>
      <c r="DX43" s="140"/>
      <c r="DY43" s="134"/>
      <c r="DZ43" s="134"/>
      <c r="EA43" s="49"/>
    </row>
    <row r="44" spans="2:131" ht="18" customHeight="1" x14ac:dyDescent="0.2">
      <c r="B44" s="682">
        <f t="shared" si="0"/>
        <v>0</v>
      </c>
      <c r="C44" s="683"/>
      <c r="D44" s="48"/>
      <c r="E44" s="47"/>
      <c r="F44" s="46"/>
      <c r="G44" s="49"/>
      <c r="H44" s="140"/>
      <c r="I44" s="134"/>
      <c r="J44" s="134"/>
      <c r="K44" s="49"/>
      <c r="L44" s="48"/>
      <c r="M44" s="47"/>
      <c r="N44" s="46"/>
      <c r="O44" s="49"/>
      <c r="P44" s="140"/>
      <c r="Q44" s="134"/>
      <c r="R44" s="134"/>
      <c r="S44" s="49"/>
      <c r="T44" s="48"/>
      <c r="U44" s="47"/>
      <c r="V44" s="46"/>
      <c r="W44" s="49"/>
      <c r="X44" s="140"/>
      <c r="Y44" s="134"/>
      <c r="Z44" s="134"/>
      <c r="AA44" s="49"/>
      <c r="AB44" s="48"/>
      <c r="AC44" s="47"/>
      <c r="AD44" s="46"/>
      <c r="AE44" s="49"/>
      <c r="AF44" s="140"/>
      <c r="AG44" s="134"/>
      <c r="AH44" s="134"/>
      <c r="AI44" s="49"/>
      <c r="AJ44" s="48"/>
      <c r="AK44" s="47"/>
      <c r="AL44" s="46"/>
      <c r="AM44" s="49"/>
      <c r="AN44" s="140"/>
      <c r="AO44" s="134"/>
      <c r="AP44" s="134"/>
      <c r="AQ44" s="49"/>
      <c r="AR44" s="48"/>
      <c r="AS44" s="47"/>
      <c r="AT44" s="46"/>
      <c r="AU44" s="49"/>
      <c r="AV44" s="140"/>
      <c r="AW44" s="134"/>
      <c r="AX44" s="134"/>
      <c r="AY44" s="49"/>
      <c r="AZ44" s="48"/>
      <c r="BA44" s="47"/>
      <c r="BB44" s="46"/>
      <c r="BC44" s="49"/>
      <c r="BD44" s="140"/>
      <c r="BE44" s="134"/>
      <c r="BF44" s="134"/>
      <c r="BG44" s="49"/>
      <c r="BH44" s="48"/>
      <c r="BI44" s="47"/>
      <c r="BJ44" s="46"/>
      <c r="BK44" s="49"/>
      <c r="BL44" s="140"/>
      <c r="BM44" s="134"/>
      <c r="BN44" s="134"/>
      <c r="BO44" s="49"/>
      <c r="BP44" s="48"/>
      <c r="BQ44" s="47"/>
      <c r="BR44" s="46"/>
      <c r="BS44" s="49"/>
      <c r="BT44" s="140"/>
      <c r="BU44" s="134"/>
      <c r="BV44" s="134"/>
      <c r="BW44" s="49"/>
      <c r="BX44" s="48"/>
      <c r="BY44" s="47"/>
      <c r="BZ44" s="46"/>
      <c r="CA44" s="49"/>
      <c r="CB44" s="140"/>
      <c r="CC44" s="134"/>
      <c r="CD44" s="134"/>
      <c r="CE44" s="49"/>
      <c r="CF44" s="48"/>
      <c r="CG44" s="47"/>
      <c r="CH44" s="46"/>
      <c r="CI44" s="49"/>
      <c r="CJ44" s="140"/>
      <c r="CK44" s="134"/>
      <c r="CL44" s="134"/>
      <c r="CM44" s="49"/>
      <c r="CN44" s="48"/>
      <c r="CO44" s="47"/>
      <c r="CP44" s="46"/>
      <c r="CQ44" s="49"/>
      <c r="CR44" s="140"/>
      <c r="CS44" s="134"/>
      <c r="CT44" s="134"/>
      <c r="CU44" s="49"/>
      <c r="CV44" s="48"/>
      <c r="CW44" s="47"/>
      <c r="CX44" s="46"/>
      <c r="CY44" s="49"/>
      <c r="CZ44" s="140"/>
      <c r="DA44" s="134"/>
      <c r="DB44" s="134"/>
      <c r="DC44" s="49"/>
      <c r="DD44" s="48"/>
      <c r="DE44" s="47"/>
      <c r="DF44" s="46"/>
      <c r="DG44" s="49"/>
      <c r="DH44" s="140"/>
      <c r="DI44" s="134"/>
      <c r="DJ44" s="134"/>
      <c r="DK44" s="49"/>
      <c r="DL44" s="48"/>
      <c r="DM44" s="47"/>
      <c r="DN44" s="46"/>
      <c r="DO44" s="49"/>
      <c r="DP44" s="140"/>
      <c r="DQ44" s="134"/>
      <c r="DR44" s="134"/>
      <c r="DS44" s="49"/>
      <c r="DT44" s="48"/>
      <c r="DU44" s="47"/>
      <c r="DV44" s="46"/>
      <c r="DW44" s="49"/>
      <c r="DX44" s="140"/>
      <c r="DY44" s="134"/>
      <c r="DZ44" s="134"/>
      <c r="EA44" s="49"/>
    </row>
    <row r="45" spans="2:131" ht="18" customHeight="1" x14ac:dyDescent="0.2">
      <c r="B45" s="682">
        <f t="shared" si="0"/>
        <v>0</v>
      </c>
      <c r="C45" s="683"/>
      <c r="D45" s="48"/>
      <c r="E45" s="47"/>
      <c r="F45" s="46"/>
      <c r="G45" s="49"/>
      <c r="H45" s="140"/>
      <c r="I45" s="134"/>
      <c r="J45" s="134"/>
      <c r="K45" s="49"/>
      <c r="L45" s="48"/>
      <c r="M45" s="47"/>
      <c r="N45" s="46"/>
      <c r="O45" s="49"/>
      <c r="P45" s="140"/>
      <c r="Q45" s="134"/>
      <c r="R45" s="134"/>
      <c r="S45" s="49"/>
      <c r="T45" s="48"/>
      <c r="U45" s="47"/>
      <c r="V45" s="46"/>
      <c r="W45" s="49"/>
      <c r="X45" s="140"/>
      <c r="Y45" s="134"/>
      <c r="Z45" s="134"/>
      <c r="AA45" s="49"/>
      <c r="AB45" s="48"/>
      <c r="AC45" s="47"/>
      <c r="AD45" s="46"/>
      <c r="AE45" s="49"/>
      <c r="AF45" s="140"/>
      <c r="AG45" s="134"/>
      <c r="AH45" s="134"/>
      <c r="AI45" s="49"/>
      <c r="AJ45" s="48"/>
      <c r="AK45" s="47"/>
      <c r="AL45" s="46"/>
      <c r="AM45" s="49"/>
      <c r="AN45" s="140"/>
      <c r="AO45" s="134"/>
      <c r="AP45" s="134"/>
      <c r="AQ45" s="49"/>
      <c r="AR45" s="48"/>
      <c r="AS45" s="47"/>
      <c r="AT45" s="46"/>
      <c r="AU45" s="49"/>
      <c r="AV45" s="140"/>
      <c r="AW45" s="134"/>
      <c r="AX45" s="134"/>
      <c r="AY45" s="49"/>
      <c r="AZ45" s="48"/>
      <c r="BA45" s="47"/>
      <c r="BB45" s="46"/>
      <c r="BC45" s="49"/>
      <c r="BD45" s="140"/>
      <c r="BE45" s="134"/>
      <c r="BF45" s="134"/>
      <c r="BG45" s="49"/>
      <c r="BH45" s="48"/>
      <c r="BI45" s="47"/>
      <c r="BJ45" s="46"/>
      <c r="BK45" s="49"/>
      <c r="BL45" s="140"/>
      <c r="BM45" s="134"/>
      <c r="BN45" s="134"/>
      <c r="BO45" s="49"/>
      <c r="BP45" s="48"/>
      <c r="BQ45" s="47"/>
      <c r="BR45" s="46"/>
      <c r="BS45" s="49"/>
      <c r="BT45" s="140"/>
      <c r="BU45" s="134"/>
      <c r="BV45" s="134"/>
      <c r="BW45" s="49"/>
      <c r="BX45" s="48"/>
      <c r="BY45" s="47"/>
      <c r="BZ45" s="46"/>
      <c r="CA45" s="49"/>
      <c r="CB45" s="140"/>
      <c r="CC45" s="134"/>
      <c r="CD45" s="134"/>
      <c r="CE45" s="49"/>
      <c r="CF45" s="48"/>
      <c r="CG45" s="47"/>
      <c r="CH45" s="46"/>
      <c r="CI45" s="49"/>
      <c r="CJ45" s="140"/>
      <c r="CK45" s="134"/>
      <c r="CL45" s="134"/>
      <c r="CM45" s="49"/>
      <c r="CN45" s="48"/>
      <c r="CO45" s="47"/>
      <c r="CP45" s="46"/>
      <c r="CQ45" s="49"/>
      <c r="CR45" s="140"/>
      <c r="CS45" s="134"/>
      <c r="CT45" s="134"/>
      <c r="CU45" s="49"/>
      <c r="CV45" s="48"/>
      <c r="CW45" s="47"/>
      <c r="CX45" s="46"/>
      <c r="CY45" s="49"/>
      <c r="CZ45" s="140"/>
      <c r="DA45" s="134"/>
      <c r="DB45" s="134"/>
      <c r="DC45" s="49"/>
      <c r="DD45" s="48"/>
      <c r="DE45" s="47"/>
      <c r="DF45" s="46"/>
      <c r="DG45" s="49"/>
      <c r="DH45" s="140"/>
      <c r="DI45" s="134"/>
      <c r="DJ45" s="134"/>
      <c r="DK45" s="49"/>
      <c r="DL45" s="48"/>
      <c r="DM45" s="47"/>
      <c r="DN45" s="46"/>
      <c r="DO45" s="49"/>
      <c r="DP45" s="140"/>
      <c r="DQ45" s="134"/>
      <c r="DR45" s="134"/>
      <c r="DS45" s="49"/>
      <c r="DT45" s="48"/>
      <c r="DU45" s="47"/>
      <c r="DV45" s="46"/>
      <c r="DW45" s="49"/>
      <c r="DX45" s="140"/>
      <c r="DY45" s="134"/>
      <c r="DZ45" s="134"/>
      <c r="EA45" s="49"/>
    </row>
    <row r="46" spans="2:131" ht="18" customHeight="1" x14ac:dyDescent="0.2">
      <c r="B46" s="682">
        <f t="shared" si="0"/>
        <v>0</v>
      </c>
      <c r="C46" s="683"/>
      <c r="D46" s="48"/>
      <c r="E46" s="47"/>
      <c r="F46" s="46"/>
      <c r="G46" s="49"/>
      <c r="H46" s="140"/>
      <c r="I46" s="134"/>
      <c r="J46" s="134"/>
      <c r="K46" s="49"/>
      <c r="L46" s="48"/>
      <c r="M46" s="47"/>
      <c r="N46" s="46"/>
      <c r="O46" s="49"/>
      <c r="P46" s="140"/>
      <c r="Q46" s="134"/>
      <c r="R46" s="134"/>
      <c r="S46" s="49"/>
      <c r="T46" s="48"/>
      <c r="U46" s="47"/>
      <c r="V46" s="46"/>
      <c r="W46" s="49"/>
      <c r="X46" s="140"/>
      <c r="Y46" s="134"/>
      <c r="Z46" s="134"/>
      <c r="AA46" s="49"/>
      <c r="AB46" s="48"/>
      <c r="AC46" s="47"/>
      <c r="AD46" s="46"/>
      <c r="AE46" s="49"/>
      <c r="AF46" s="140"/>
      <c r="AG46" s="134"/>
      <c r="AH46" s="134"/>
      <c r="AI46" s="49"/>
      <c r="AJ46" s="48"/>
      <c r="AK46" s="47"/>
      <c r="AL46" s="46"/>
      <c r="AM46" s="49"/>
      <c r="AN46" s="140"/>
      <c r="AO46" s="134"/>
      <c r="AP46" s="134"/>
      <c r="AQ46" s="49"/>
      <c r="AR46" s="48"/>
      <c r="AS46" s="47"/>
      <c r="AT46" s="46"/>
      <c r="AU46" s="49"/>
      <c r="AV46" s="140"/>
      <c r="AW46" s="134"/>
      <c r="AX46" s="134"/>
      <c r="AY46" s="49"/>
      <c r="AZ46" s="48"/>
      <c r="BA46" s="47"/>
      <c r="BB46" s="46"/>
      <c r="BC46" s="49"/>
      <c r="BD46" s="140"/>
      <c r="BE46" s="134"/>
      <c r="BF46" s="134"/>
      <c r="BG46" s="49"/>
      <c r="BH46" s="48"/>
      <c r="BI46" s="47"/>
      <c r="BJ46" s="46"/>
      <c r="BK46" s="49"/>
      <c r="BL46" s="140"/>
      <c r="BM46" s="134"/>
      <c r="BN46" s="134"/>
      <c r="BO46" s="49"/>
      <c r="BP46" s="48"/>
      <c r="BQ46" s="47"/>
      <c r="BR46" s="46"/>
      <c r="BS46" s="49"/>
      <c r="BT46" s="140"/>
      <c r="BU46" s="134"/>
      <c r="BV46" s="134"/>
      <c r="BW46" s="49"/>
      <c r="BX46" s="48"/>
      <c r="BY46" s="47"/>
      <c r="BZ46" s="46"/>
      <c r="CA46" s="49"/>
      <c r="CB46" s="140"/>
      <c r="CC46" s="134"/>
      <c r="CD46" s="134"/>
      <c r="CE46" s="49"/>
      <c r="CF46" s="48"/>
      <c r="CG46" s="47"/>
      <c r="CH46" s="46"/>
      <c r="CI46" s="49"/>
      <c r="CJ46" s="140"/>
      <c r="CK46" s="134"/>
      <c r="CL46" s="134"/>
      <c r="CM46" s="49"/>
      <c r="CN46" s="48"/>
      <c r="CO46" s="47"/>
      <c r="CP46" s="46"/>
      <c r="CQ46" s="49"/>
      <c r="CR46" s="140"/>
      <c r="CS46" s="134"/>
      <c r="CT46" s="134"/>
      <c r="CU46" s="49"/>
      <c r="CV46" s="48"/>
      <c r="CW46" s="47"/>
      <c r="CX46" s="46"/>
      <c r="CY46" s="49"/>
      <c r="CZ46" s="140"/>
      <c r="DA46" s="134"/>
      <c r="DB46" s="134"/>
      <c r="DC46" s="49"/>
      <c r="DD46" s="48"/>
      <c r="DE46" s="47"/>
      <c r="DF46" s="46"/>
      <c r="DG46" s="49"/>
      <c r="DH46" s="140"/>
      <c r="DI46" s="134"/>
      <c r="DJ46" s="134"/>
      <c r="DK46" s="49"/>
      <c r="DL46" s="48"/>
      <c r="DM46" s="47"/>
      <c r="DN46" s="46"/>
      <c r="DO46" s="49"/>
      <c r="DP46" s="140"/>
      <c r="DQ46" s="134"/>
      <c r="DR46" s="134"/>
      <c r="DS46" s="49"/>
      <c r="DT46" s="48"/>
      <c r="DU46" s="47"/>
      <c r="DV46" s="46"/>
      <c r="DW46" s="49"/>
      <c r="DX46" s="140"/>
      <c r="DY46" s="134"/>
      <c r="DZ46" s="134"/>
      <c r="EA46" s="49"/>
    </row>
    <row r="47" spans="2:131" ht="18" customHeight="1" x14ac:dyDescent="0.2">
      <c r="B47" s="682">
        <f t="shared" si="0"/>
        <v>0</v>
      </c>
      <c r="C47" s="683"/>
      <c r="D47" s="48"/>
      <c r="E47" s="46"/>
      <c r="F47" s="46"/>
      <c r="G47" s="49"/>
      <c r="H47" s="140"/>
      <c r="I47" s="134"/>
      <c r="J47" s="134"/>
      <c r="K47" s="49"/>
      <c r="L47" s="48"/>
      <c r="M47" s="46"/>
      <c r="N47" s="46"/>
      <c r="O47" s="49"/>
      <c r="P47" s="140"/>
      <c r="Q47" s="134"/>
      <c r="R47" s="134"/>
      <c r="S47" s="49"/>
      <c r="T47" s="48"/>
      <c r="U47" s="46"/>
      <c r="V47" s="46"/>
      <c r="W47" s="49"/>
      <c r="X47" s="140"/>
      <c r="Y47" s="134"/>
      <c r="Z47" s="134"/>
      <c r="AA47" s="49"/>
      <c r="AB47" s="48"/>
      <c r="AC47" s="46"/>
      <c r="AD47" s="46"/>
      <c r="AE47" s="49"/>
      <c r="AF47" s="140"/>
      <c r="AG47" s="134"/>
      <c r="AH47" s="134"/>
      <c r="AI47" s="49"/>
      <c r="AJ47" s="48"/>
      <c r="AK47" s="46"/>
      <c r="AL47" s="46"/>
      <c r="AM47" s="49"/>
      <c r="AN47" s="140"/>
      <c r="AO47" s="134"/>
      <c r="AP47" s="134"/>
      <c r="AQ47" s="49"/>
      <c r="AR47" s="48"/>
      <c r="AS47" s="46"/>
      <c r="AT47" s="46"/>
      <c r="AU47" s="49"/>
      <c r="AV47" s="140"/>
      <c r="AW47" s="134"/>
      <c r="AX47" s="134"/>
      <c r="AY47" s="49"/>
      <c r="AZ47" s="48"/>
      <c r="BA47" s="46"/>
      <c r="BB47" s="46"/>
      <c r="BC47" s="49"/>
      <c r="BD47" s="140"/>
      <c r="BE47" s="134"/>
      <c r="BF47" s="134"/>
      <c r="BG47" s="49"/>
      <c r="BH47" s="48"/>
      <c r="BI47" s="46"/>
      <c r="BJ47" s="46"/>
      <c r="BK47" s="49"/>
      <c r="BL47" s="140"/>
      <c r="BM47" s="134"/>
      <c r="BN47" s="134"/>
      <c r="BO47" s="49"/>
      <c r="BP47" s="48"/>
      <c r="BQ47" s="46"/>
      <c r="BR47" s="46"/>
      <c r="BS47" s="49"/>
      <c r="BT47" s="140"/>
      <c r="BU47" s="134"/>
      <c r="BV47" s="134"/>
      <c r="BW47" s="49"/>
      <c r="BX47" s="48"/>
      <c r="BY47" s="46"/>
      <c r="BZ47" s="46"/>
      <c r="CA47" s="49"/>
      <c r="CB47" s="140"/>
      <c r="CC47" s="134"/>
      <c r="CD47" s="134"/>
      <c r="CE47" s="49"/>
      <c r="CF47" s="48"/>
      <c r="CG47" s="46"/>
      <c r="CH47" s="46"/>
      <c r="CI47" s="49"/>
      <c r="CJ47" s="140"/>
      <c r="CK47" s="134"/>
      <c r="CL47" s="134"/>
      <c r="CM47" s="49"/>
      <c r="CN47" s="48"/>
      <c r="CO47" s="46"/>
      <c r="CP47" s="46"/>
      <c r="CQ47" s="49"/>
      <c r="CR47" s="140"/>
      <c r="CS47" s="134"/>
      <c r="CT47" s="134"/>
      <c r="CU47" s="49"/>
      <c r="CV47" s="48"/>
      <c r="CW47" s="46"/>
      <c r="CX47" s="46"/>
      <c r="CY47" s="49"/>
      <c r="CZ47" s="140"/>
      <c r="DA47" s="134"/>
      <c r="DB47" s="134"/>
      <c r="DC47" s="49"/>
      <c r="DD47" s="48"/>
      <c r="DE47" s="46"/>
      <c r="DF47" s="46"/>
      <c r="DG47" s="49"/>
      <c r="DH47" s="140"/>
      <c r="DI47" s="134"/>
      <c r="DJ47" s="134"/>
      <c r="DK47" s="49"/>
      <c r="DL47" s="48"/>
      <c r="DM47" s="46"/>
      <c r="DN47" s="46"/>
      <c r="DO47" s="49"/>
      <c r="DP47" s="140"/>
      <c r="DQ47" s="134"/>
      <c r="DR47" s="134"/>
      <c r="DS47" s="49"/>
      <c r="DT47" s="48"/>
      <c r="DU47" s="46"/>
      <c r="DV47" s="46"/>
      <c r="DW47" s="49"/>
      <c r="DX47" s="140"/>
      <c r="DY47" s="134"/>
      <c r="DZ47" s="134"/>
      <c r="EA47" s="49"/>
    </row>
    <row r="48" spans="2:131" ht="18" customHeight="1" x14ac:dyDescent="0.2">
      <c r="B48" s="682">
        <f t="shared" si="0"/>
        <v>0</v>
      </c>
      <c r="C48" s="683"/>
      <c r="D48" s="48"/>
      <c r="E48" s="46"/>
      <c r="F48" s="46"/>
      <c r="G48" s="49"/>
      <c r="H48" s="140"/>
      <c r="I48" s="134"/>
      <c r="J48" s="134"/>
      <c r="K48" s="49"/>
      <c r="L48" s="48"/>
      <c r="M48" s="46"/>
      <c r="N48" s="46"/>
      <c r="O48" s="49"/>
      <c r="P48" s="140"/>
      <c r="Q48" s="134"/>
      <c r="R48" s="134"/>
      <c r="S48" s="49"/>
      <c r="T48" s="48"/>
      <c r="U48" s="46"/>
      <c r="V48" s="46"/>
      <c r="W48" s="49"/>
      <c r="X48" s="140"/>
      <c r="Y48" s="134"/>
      <c r="Z48" s="134"/>
      <c r="AA48" s="49"/>
      <c r="AB48" s="48"/>
      <c r="AC48" s="46"/>
      <c r="AD48" s="46"/>
      <c r="AE48" s="49"/>
      <c r="AF48" s="140"/>
      <c r="AG48" s="134"/>
      <c r="AH48" s="134"/>
      <c r="AI48" s="49"/>
      <c r="AJ48" s="48"/>
      <c r="AK48" s="46"/>
      <c r="AL48" s="46"/>
      <c r="AM48" s="49"/>
      <c r="AN48" s="140"/>
      <c r="AO48" s="134"/>
      <c r="AP48" s="134"/>
      <c r="AQ48" s="49"/>
      <c r="AR48" s="48"/>
      <c r="AS48" s="46"/>
      <c r="AT48" s="46"/>
      <c r="AU48" s="49"/>
      <c r="AV48" s="140"/>
      <c r="AW48" s="134"/>
      <c r="AX48" s="134"/>
      <c r="AY48" s="49"/>
      <c r="AZ48" s="48"/>
      <c r="BA48" s="46"/>
      <c r="BB48" s="46"/>
      <c r="BC48" s="49"/>
      <c r="BD48" s="140"/>
      <c r="BE48" s="134"/>
      <c r="BF48" s="134"/>
      <c r="BG48" s="49"/>
      <c r="BH48" s="48"/>
      <c r="BI48" s="46"/>
      <c r="BJ48" s="46"/>
      <c r="BK48" s="49"/>
      <c r="BL48" s="140"/>
      <c r="BM48" s="134"/>
      <c r="BN48" s="134"/>
      <c r="BO48" s="49"/>
      <c r="BP48" s="48"/>
      <c r="BQ48" s="46"/>
      <c r="BR48" s="46"/>
      <c r="BS48" s="49"/>
      <c r="BT48" s="140"/>
      <c r="BU48" s="134"/>
      <c r="BV48" s="134"/>
      <c r="BW48" s="49"/>
      <c r="BX48" s="48"/>
      <c r="BY48" s="46"/>
      <c r="BZ48" s="46"/>
      <c r="CA48" s="49"/>
      <c r="CB48" s="140"/>
      <c r="CC48" s="134"/>
      <c r="CD48" s="134"/>
      <c r="CE48" s="49"/>
      <c r="CF48" s="48"/>
      <c r="CG48" s="46"/>
      <c r="CH48" s="46"/>
      <c r="CI48" s="49"/>
      <c r="CJ48" s="140"/>
      <c r="CK48" s="134"/>
      <c r="CL48" s="134"/>
      <c r="CM48" s="49"/>
      <c r="CN48" s="48"/>
      <c r="CO48" s="46"/>
      <c r="CP48" s="46"/>
      <c r="CQ48" s="49"/>
      <c r="CR48" s="140"/>
      <c r="CS48" s="134"/>
      <c r="CT48" s="134"/>
      <c r="CU48" s="49"/>
      <c r="CV48" s="48"/>
      <c r="CW48" s="46"/>
      <c r="CX48" s="46"/>
      <c r="CY48" s="49"/>
      <c r="CZ48" s="140"/>
      <c r="DA48" s="134"/>
      <c r="DB48" s="134"/>
      <c r="DC48" s="49"/>
      <c r="DD48" s="48"/>
      <c r="DE48" s="46"/>
      <c r="DF48" s="46"/>
      <c r="DG48" s="49"/>
      <c r="DH48" s="140"/>
      <c r="DI48" s="134"/>
      <c r="DJ48" s="134"/>
      <c r="DK48" s="49"/>
      <c r="DL48" s="48"/>
      <c r="DM48" s="46"/>
      <c r="DN48" s="46"/>
      <c r="DO48" s="49"/>
      <c r="DP48" s="140"/>
      <c r="DQ48" s="134"/>
      <c r="DR48" s="134"/>
      <c r="DS48" s="49"/>
      <c r="DT48" s="48"/>
      <c r="DU48" s="46"/>
      <c r="DV48" s="46"/>
      <c r="DW48" s="49"/>
      <c r="DX48" s="140"/>
      <c r="DY48" s="134"/>
      <c r="DZ48" s="134"/>
      <c r="EA48" s="49"/>
    </row>
    <row r="49" spans="2:131" ht="18" customHeight="1" x14ac:dyDescent="0.2">
      <c r="B49" s="682">
        <f t="shared" si="0"/>
        <v>0</v>
      </c>
      <c r="C49" s="683"/>
      <c r="D49" s="48"/>
      <c r="E49" s="46"/>
      <c r="F49" s="46"/>
      <c r="G49" s="49"/>
      <c r="H49" s="140"/>
      <c r="I49" s="134"/>
      <c r="J49" s="134"/>
      <c r="K49" s="49"/>
      <c r="L49" s="48"/>
      <c r="M49" s="46"/>
      <c r="N49" s="46"/>
      <c r="O49" s="49"/>
      <c r="P49" s="140"/>
      <c r="Q49" s="134"/>
      <c r="R49" s="134"/>
      <c r="S49" s="49"/>
      <c r="T49" s="48"/>
      <c r="U49" s="46"/>
      <c r="V49" s="46"/>
      <c r="W49" s="49"/>
      <c r="X49" s="140"/>
      <c r="Y49" s="134"/>
      <c r="Z49" s="134"/>
      <c r="AA49" s="49"/>
      <c r="AB49" s="48"/>
      <c r="AC49" s="46"/>
      <c r="AD49" s="46"/>
      <c r="AE49" s="49"/>
      <c r="AF49" s="140"/>
      <c r="AG49" s="134"/>
      <c r="AH49" s="134"/>
      <c r="AI49" s="49"/>
      <c r="AJ49" s="48"/>
      <c r="AK49" s="46"/>
      <c r="AL49" s="46"/>
      <c r="AM49" s="49"/>
      <c r="AN49" s="140"/>
      <c r="AO49" s="134"/>
      <c r="AP49" s="134"/>
      <c r="AQ49" s="49"/>
      <c r="AR49" s="48"/>
      <c r="AS49" s="46"/>
      <c r="AT49" s="46"/>
      <c r="AU49" s="49"/>
      <c r="AV49" s="140"/>
      <c r="AW49" s="134"/>
      <c r="AX49" s="134"/>
      <c r="AY49" s="49"/>
      <c r="AZ49" s="48"/>
      <c r="BA49" s="46"/>
      <c r="BB49" s="46"/>
      <c r="BC49" s="49"/>
      <c r="BD49" s="140"/>
      <c r="BE49" s="134"/>
      <c r="BF49" s="134"/>
      <c r="BG49" s="49"/>
      <c r="BH49" s="48"/>
      <c r="BI49" s="46"/>
      <c r="BJ49" s="46"/>
      <c r="BK49" s="49"/>
      <c r="BL49" s="140"/>
      <c r="BM49" s="134"/>
      <c r="BN49" s="134"/>
      <c r="BO49" s="49"/>
      <c r="BP49" s="48"/>
      <c r="BQ49" s="46"/>
      <c r="BR49" s="46"/>
      <c r="BS49" s="49"/>
      <c r="BT49" s="140"/>
      <c r="BU49" s="134"/>
      <c r="BV49" s="134"/>
      <c r="BW49" s="49"/>
      <c r="BX49" s="48"/>
      <c r="BY49" s="46"/>
      <c r="BZ49" s="46"/>
      <c r="CA49" s="49"/>
      <c r="CB49" s="140"/>
      <c r="CC49" s="134"/>
      <c r="CD49" s="134"/>
      <c r="CE49" s="49"/>
      <c r="CF49" s="48"/>
      <c r="CG49" s="46"/>
      <c r="CH49" s="46"/>
      <c r="CI49" s="49"/>
      <c r="CJ49" s="140"/>
      <c r="CK49" s="134"/>
      <c r="CL49" s="134"/>
      <c r="CM49" s="49"/>
      <c r="CN49" s="48"/>
      <c r="CO49" s="46"/>
      <c r="CP49" s="46"/>
      <c r="CQ49" s="49"/>
      <c r="CR49" s="140"/>
      <c r="CS49" s="134"/>
      <c r="CT49" s="134"/>
      <c r="CU49" s="49"/>
      <c r="CV49" s="48"/>
      <c r="CW49" s="46"/>
      <c r="CX49" s="46"/>
      <c r="CY49" s="49"/>
      <c r="CZ49" s="140"/>
      <c r="DA49" s="134"/>
      <c r="DB49" s="134"/>
      <c r="DC49" s="49"/>
      <c r="DD49" s="48"/>
      <c r="DE49" s="46"/>
      <c r="DF49" s="46"/>
      <c r="DG49" s="49"/>
      <c r="DH49" s="140"/>
      <c r="DI49" s="134"/>
      <c r="DJ49" s="134"/>
      <c r="DK49" s="49"/>
      <c r="DL49" s="48"/>
      <c r="DM49" s="46"/>
      <c r="DN49" s="46"/>
      <c r="DO49" s="49"/>
      <c r="DP49" s="140"/>
      <c r="DQ49" s="134"/>
      <c r="DR49" s="134"/>
      <c r="DS49" s="49"/>
      <c r="DT49" s="48"/>
      <c r="DU49" s="46"/>
      <c r="DV49" s="46"/>
      <c r="DW49" s="49"/>
      <c r="DX49" s="140"/>
      <c r="DY49" s="134"/>
      <c r="DZ49" s="134"/>
      <c r="EA49" s="49"/>
    </row>
    <row r="50" spans="2:131" ht="18" customHeight="1" x14ac:dyDescent="0.2">
      <c r="B50" s="682">
        <f t="shared" si="0"/>
        <v>0</v>
      </c>
      <c r="C50" s="683"/>
      <c r="D50" s="48"/>
      <c r="E50" s="46"/>
      <c r="F50" s="46"/>
      <c r="G50" s="49"/>
      <c r="H50" s="140"/>
      <c r="I50" s="134"/>
      <c r="J50" s="134"/>
      <c r="K50" s="49"/>
      <c r="L50" s="48"/>
      <c r="M50" s="46"/>
      <c r="N50" s="46"/>
      <c r="O50" s="49"/>
      <c r="P50" s="140"/>
      <c r="Q50" s="134"/>
      <c r="R50" s="134"/>
      <c r="S50" s="49"/>
      <c r="T50" s="48"/>
      <c r="U50" s="46"/>
      <c r="V50" s="46"/>
      <c r="W50" s="49"/>
      <c r="X50" s="140"/>
      <c r="Y50" s="134"/>
      <c r="Z50" s="134"/>
      <c r="AA50" s="49"/>
      <c r="AB50" s="48"/>
      <c r="AC50" s="46"/>
      <c r="AD50" s="46"/>
      <c r="AE50" s="49"/>
      <c r="AF50" s="140"/>
      <c r="AG50" s="134"/>
      <c r="AH50" s="134"/>
      <c r="AI50" s="49"/>
      <c r="AJ50" s="48"/>
      <c r="AK50" s="46"/>
      <c r="AL50" s="46"/>
      <c r="AM50" s="49"/>
      <c r="AN50" s="140"/>
      <c r="AO50" s="134"/>
      <c r="AP50" s="134"/>
      <c r="AQ50" s="49"/>
      <c r="AR50" s="48"/>
      <c r="AS50" s="46"/>
      <c r="AT50" s="46"/>
      <c r="AU50" s="49"/>
      <c r="AV50" s="140"/>
      <c r="AW50" s="134"/>
      <c r="AX50" s="134"/>
      <c r="AY50" s="49"/>
      <c r="AZ50" s="48"/>
      <c r="BA50" s="46"/>
      <c r="BB50" s="46"/>
      <c r="BC50" s="49"/>
      <c r="BD50" s="140"/>
      <c r="BE50" s="134"/>
      <c r="BF50" s="134"/>
      <c r="BG50" s="49"/>
      <c r="BH50" s="48"/>
      <c r="BI50" s="46"/>
      <c r="BJ50" s="46"/>
      <c r="BK50" s="49"/>
      <c r="BL50" s="140"/>
      <c r="BM50" s="134"/>
      <c r="BN50" s="134"/>
      <c r="BO50" s="49"/>
      <c r="BP50" s="48"/>
      <c r="BQ50" s="46"/>
      <c r="BR50" s="46"/>
      <c r="BS50" s="49"/>
      <c r="BT50" s="140"/>
      <c r="BU50" s="134"/>
      <c r="BV50" s="134"/>
      <c r="BW50" s="49"/>
      <c r="BX50" s="48"/>
      <c r="BY50" s="46"/>
      <c r="BZ50" s="46"/>
      <c r="CA50" s="49"/>
      <c r="CB50" s="140"/>
      <c r="CC50" s="134"/>
      <c r="CD50" s="134"/>
      <c r="CE50" s="49"/>
      <c r="CF50" s="48"/>
      <c r="CG50" s="46"/>
      <c r="CH50" s="46"/>
      <c r="CI50" s="49"/>
      <c r="CJ50" s="140"/>
      <c r="CK50" s="134"/>
      <c r="CL50" s="134"/>
      <c r="CM50" s="49"/>
      <c r="CN50" s="48"/>
      <c r="CO50" s="46"/>
      <c r="CP50" s="46"/>
      <c r="CQ50" s="49"/>
      <c r="CR50" s="140"/>
      <c r="CS50" s="134"/>
      <c r="CT50" s="134"/>
      <c r="CU50" s="49"/>
      <c r="CV50" s="48"/>
      <c r="CW50" s="46"/>
      <c r="CX50" s="46"/>
      <c r="CY50" s="49"/>
      <c r="CZ50" s="140"/>
      <c r="DA50" s="134"/>
      <c r="DB50" s="134"/>
      <c r="DC50" s="49"/>
      <c r="DD50" s="48"/>
      <c r="DE50" s="46"/>
      <c r="DF50" s="46"/>
      <c r="DG50" s="49"/>
      <c r="DH50" s="140"/>
      <c r="DI50" s="134"/>
      <c r="DJ50" s="134"/>
      <c r="DK50" s="49"/>
      <c r="DL50" s="48"/>
      <c r="DM50" s="46"/>
      <c r="DN50" s="46"/>
      <c r="DO50" s="49"/>
      <c r="DP50" s="140"/>
      <c r="DQ50" s="134"/>
      <c r="DR50" s="134"/>
      <c r="DS50" s="49"/>
      <c r="DT50" s="48"/>
      <c r="DU50" s="46"/>
      <c r="DV50" s="46"/>
      <c r="DW50" s="49"/>
      <c r="DX50" s="140"/>
      <c r="DY50" s="134"/>
      <c r="DZ50" s="134"/>
      <c r="EA50" s="49"/>
    </row>
    <row r="51" spans="2:131" ht="18" customHeight="1" x14ac:dyDescent="0.2">
      <c r="B51" s="682">
        <f t="shared" si="0"/>
        <v>0</v>
      </c>
      <c r="C51" s="683"/>
      <c r="D51" s="48"/>
      <c r="E51" s="46"/>
      <c r="F51" s="46"/>
      <c r="G51" s="49"/>
      <c r="H51" s="140"/>
      <c r="I51" s="134"/>
      <c r="J51" s="134"/>
      <c r="K51" s="49"/>
      <c r="L51" s="48"/>
      <c r="M51" s="46"/>
      <c r="N51" s="46"/>
      <c r="O51" s="49"/>
      <c r="P51" s="140"/>
      <c r="Q51" s="134"/>
      <c r="R51" s="134"/>
      <c r="S51" s="49"/>
      <c r="T51" s="48"/>
      <c r="U51" s="46"/>
      <c r="V51" s="46"/>
      <c r="W51" s="49"/>
      <c r="X51" s="140"/>
      <c r="Y51" s="134"/>
      <c r="Z51" s="134"/>
      <c r="AA51" s="49"/>
      <c r="AB51" s="48"/>
      <c r="AC51" s="46"/>
      <c r="AD51" s="46"/>
      <c r="AE51" s="49"/>
      <c r="AF51" s="140"/>
      <c r="AG51" s="134"/>
      <c r="AH51" s="134"/>
      <c r="AI51" s="49"/>
      <c r="AJ51" s="48"/>
      <c r="AK51" s="46"/>
      <c r="AL51" s="46"/>
      <c r="AM51" s="49"/>
      <c r="AN51" s="140"/>
      <c r="AO51" s="134"/>
      <c r="AP51" s="134"/>
      <c r="AQ51" s="49"/>
      <c r="AR51" s="48"/>
      <c r="AS51" s="46"/>
      <c r="AT51" s="46"/>
      <c r="AU51" s="49"/>
      <c r="AV51" s="140"/>
      <c r="AW51" s="134"/>
      <c r="AX51" s="134"/>
      <c r="AY51" s="49"/>
      <c r="AZ51" s="48"/>
      <c r="BA51" s="46"/>
      <c r="BB51" s="46"/>
      <c r="BC51" s="49"/>
      <c r="BD51" s="140"/>
      <c r="BE51" s="134"/>
      <c r="BF51" s="134"/>
      <c r="BG51" s="49"/>
      <c r="BH51" s="48"/>
      <c r="BI51" s="46"/>
      <c r="BJ51" s="46"/>
      <c r="BK51" s="49"/>
      <c r="BL51" s="140"/>
      <c r="BM51" s="134"/>
      <c r="BN51" s="134"/>
      <c r="BO51" s="49"/>
      <c r="BP51" s="48"/>
      <c r="BQ51" s="46"/>
      <c r="BR51" s="46"/>
      <c r="BS51" s="49"/>
      <c r="BT51" s="140"/>
      <c r="BU51" s="134"/>
      <c r="BV51" s="134"/>
      <c r="BW51" s="49"/>
      <c r="BX51" s="48"/>
      <c r="BY51" s="46"/>
      <c r="BZ51" s="46"/>
      <c r="CA51" s="49"/>
      <c r="CB51" s="140"/>
      <c r="CC51" s="134"/>
      <c r="CD51" s="134"/>
      <c r="CE51" s="49"/>
      <c r="CF51" s="48"/>
      <c r="CG51" s="46"/>
      <c r="CH51" s="46"/>
      <c r="CI51" s="49"/>
      <c r="CJ51" s="140"/>
      <c r="CK51" s="134"/>
      <c r="CL51" s="134"/>
      <c r="CM51" s="49"/>
      <c r="CN51" s="48"/>
      <c r="CO51" s="46"/>
      <c r="CP51" s="46"/>
      <c r="CQ51" s="49"/>
      <c r="CR51" s="140"/>
      <c r="CS51" s="134"/>
      <c r="CT51" s="134"/>
      <c r="CU51" s="49"/>
      <c r="CV51" s="48"/>
      <c r="CW51" s="46"/>
      <c r="CX51" s="46"/>
      <c r="CY51" s="49"/>
      <c r="CZ51" s="140"/>
      <c r="DA51" s="134"/>
      <c r="DB51" s="134"/>
      <c r="DC51" s="49"/>
      <c r="DD51" s="48"/>
      <c r="DE51" s="46"/>
      <c r="DF51" s="46"/>
      <c r="DG51" s="49"/>
      <c r="DH51" s="140"/>
      <c r="DI51" s="134"/>
      <c r="DJ51" s="134"/>
      <c r="DK51" s="49"/>
      <c r="DL51" s="48"/>
      <c r="DM51" s="46"/>
      <c r="DN51" s="46"/>
      <c r="DO51" s="49"/>
      <c r="DP51" s="140"/>
      <c r="DQ51" s="134"/>
      <c r="DR51" s="134"/>
      <c r="DS51" s="49"/>
      <c r="DT51" s="48"/>
      <c r="DU51" s="46"/>
      <c r="DV51" s="46"/>
      <c r="DW51" s="49"/>
      <c r="DX51" s="140"/>
      <c r="DY51" s="134"/>
      <c r="DZ51" s="134"/>
      <c r="EA51" s="49"/>
    </row>
    <row r="52" spans="2:131" ht="18" customHeight="1" thickBot="1" x14ac:dyDescent="0.25">
      <c r="B52" s="702">
        <f t="shared" si="0"/>
        <v>0</v>
      </c>
      <c r="C52" s="703"/>
      <c r="D52" s="50"/>
      <c r="E52" s="51"/>
      <c r="F52" s="51"/>
      <c r="G52" s="52"/>
      <c r="H52" s="141"/>
      <c r="I52" s="135"/>
      <c r="J52" s="135"/>
      <c r="K52" s="52"/>
      <c r="L52" s="50"/>
      <c r="M52" s="51"/>
      <c r="N52" s="51"/>
      <c r="O52" s="52"/>
      <c r="P52" s="141"/>
      <c r="Q52" s="135"/>
      <c r="R52" s="135"/>
      <c r="S52" s="52"/>
      <c r="T52" s="50"/>
      <c r="U52" s="51"/>
      <c r="V52" s="51"/>
      <c r="W52" s="52"/>
      <c r="X52" s="141"/>
      <c r="Y52" s="135"/>
      <c r="Z52" s="135"/>
      <c r="AA52" s="52"/>
      <c r="AB52" s="50"/>
      <c r="AC52" s="51"/>
      <c r="AD52" s="51"/>
      <c r="AE52" s="52"/>
      <c r="AF52" s="141"/>
      <c r="AG52" s="135"/>
      <c r="AH52" s="135"/>
      <c r="AI52" s="52"/>
      <c r="AJ52" s="50"/>
      <c r="AK52" s="51"/>
      <c r="AL52" s="51"/>
      <c r="AM52" s="52"/>
      <c r="AN52" s="141"/>
      <c r="AO52" s="135"/>
      <c r="AP52" s="135"/>
      <c r="AQ52" s="52"/>
      <c r="AR52" s="50"/>
      <c r="AS52" s="51"/>
      <c r="AT52" s="51"/>
      <c r="AU52" s="52"/>
      <c r="AV52" s="141"/>
      <c r="AW52" s="135"/>
      <c r="AX52" s="135"/>
      <c r="AY52" s="52"/>
      <c r="AZ52" s="50"/>
      <c r="BA52" s="51"/>
      <c r="BB52" s="51"/>
      <c r="BC52" s="52"/>
      <c r="BD52" s="141"/>
      <c r="BE52" s="135"/>
      <c r="BF52" s="135"/>
      <c r="BG52" s="52"/>
      <c r="BH52" s="50"/>
      <c r="BI52" s="51"/>
      <c r="BJ52" s="51"/>
      <c r="BK52" s="52"/>
      <c r="BL52" s="141"/>
      <c r="BM52" s="135"/>
      <c r="BN52" s="135"/>
      <c r="BO52" s="52"/>
      <c r="BP52" s="50"/>
      <c r="BQ52" s="51"/>
      <c r="BR52" s="51"/>
      <c r="BS52" s="52"/>
      <c r="BT52" s="141"/>
      <c r="BU52" s="135"/>
      <c r="BV52" s="135"/>
      <c r="BW52" s="52"/>
      <c r="BX52" s="50"/>
      <c r="BY52" s="51"/>
      <c r="BZ52" s="51"/>
      <c r="CA52" s="52"/>
      <c r="CB52" s="141"/>
      <c r="CC52" s="135"/>
      <c r="CD52" s="135"/>
      <c r="CE52" s="52"/>
      <c r="CF52" s="50"/>
      <c r="CG52" s="51"/>
      <c r="CH52" s="51"/>
      <c r="CI52" s="52"/>
      <c r="CJ52" s="141"/>
      <c r="CK52" s="135"/>
      <c r="CL52" s="135"/>
      <c r="CM52" s="52"/>
      <c r="CN52" s="50"/>
      <c r="CO52" s="51"/>
      <c r="CP52" s="51"/>
      <c r="CQ52" s="52"/>
      <c r="CR52" s="141"/>
      <c r="CS52" s="135"/>
      <c r="CT52" s="135"/>
      <c r="CU52" s="52"/>
      <c r="CV52" s="50"/>
      <c r="CW52" s="51"/>
      <c r="CX52" s="51"/>
      <c r="CY52" s="52"/>
      <c r="CZ52" s="141"/>
      <c r="DA52" s="135"/>
      <c r="DB52" s="135"/>
      <c r="DC52" s="52"/>
      <c r="DD52" s="50"/>
      <c r="DE52" s="51"/>
      <c r="DF52" s="51"/>
      <c r="DG52" s="52"/>
      <c r="DH52" s="141"/>
      <c r="DI52" s="135"/>
      <c r="DJ52" s="135"/>
      <c r="DK52" s="52"/>
      <c r="DL52" s="50"/>
      <c r="DM52" s="51"/>
      <c r="DN52" s="51"/>
      <c r="DO52" s="52"/>
      <c r="DP52" s="141"/>
      <c r="DQ52" s="135"/>
      <c r="DR52" s="135"/>
      <c r="DS52" s="52"/>
      <c r="DT52" s="50"/>
      <c r="DU52" s="51"/>
      <c r="DV52" s="51"/>
      <c r="DW52" s="52"/>
      <c r="DX52" s="141"/>
      <c r="DY52" s="135"/>
      <c r="DZ52" s="135"/>
      <c r="EA52" s="52"/>
    </row>
    <row r="53" spans="2:131" ht="39.75" customHeight="1" thickBot="1" x14ac:dyDescent="0.25">
      <c r="B53" s="704" t="s">
        <v>341</v>
      </c>
      <c r="C53" s="705"/>
      <c r="D53" s="724"/>
      <c r="E53" s="725"/>
      <c r="F53" s="725"/>
      <c r="G53" s="725"/>
      <c r="H53" s="726"/>
      <c r="I53" s="726"/>
      <c r="J53" s="726"/>
      <c r="K53" s="727"/>
      <c r="L53" s="724"/>
      <c r="M53" s="725"/>
      <c r="N53" s="725"/>
      <c r="O53" s="725"/>
      <c r="P53" s="726"/>
      <c r="Q53" s="726"/>
      <c r="R53" s="726"/>
      <c r="S53" s="727"/>
      <c r="T53" s="724"/>
      <c r="U53" s="725"/>
      <c r="V53" s="725"/>
      <c r="W53" s="725"/>
      <c r="X53" s="726"/>
      <c r="Y53" s="726"/>
      <c r="Z53" s="726"/>
      <c r="AA53" s="727"/>
      <c r="AB53" s="724"/>
      <c r="AC53" s="725"/>
      <c r="AD53" s="725"/>
      <c r="AE53" s="725"/>
      <c r="AF53" s="726"/>
      <c r="AG53" s="726"/>
      <c r="AH53" s="726"/>
      <c r="AI53" s="727"/>
      <c r="AJ53" s="724"/>
      <c r="AK53" s="725"/>
      <c r="AL53" s="725"/>
      <c r="AM53" s="725"/>
      <c r="AN53" s="726"/>
      <c r="AO53" s="726"/>
      <c r="AP53" s="726"/>
      <c r="AQ53" s="727"/>
      <c r="AR53" s="724"/>
      <c r="AS53" s="725"/>
      <c r="AT53" s="725"/>
      <c r="AU53" s="725"/>
      <c r="AV53" s="726"/>
      <c r="AW53" s="726"/>
      <c r="AX53" s="726"/>
      <c r="AY53" s="727"/>
      <c r="AZ53" s="724"/>
      <c r="BA53" s="725"/>
      <c r="BB53" s="725"/>
      <c r="BC53" s="725"/>
      <c r="BD53" s="726"/>
      <c r="BE53" s="726"/>
      <c r="BF53" s="726"/>
      <c r="BG53" s="727"/>
      <c r="BH53" s="724"/>
      <c r="BI53" s="725"/>
      <c r="BJ53" s="725"/>
      <c r="BK53" s="725"/>
      <c r="BL53" s="726"/>
      <c r="BM53" s="726"/>
      <c r="BN53" s="726"/>
      <c r="BO53" s="727"/>
      <c r="BP53" s="724"/>
      <c r="BQ53" s="725"/>
      <c r="BR53" s="725"/>
      <c r="BS53" s="725"/>
      <c r="BT53" s="726"/>
      <c r="BU53" s="726"/>
      <c r="BV53" s="726"/>
      <c r="BW53" s="727"/>
      <c r="BX53" s="724"/>
      <c r="BY53" s="725"/>
      <c r="BZ53" s="725"/>
      <c r="CA53" s="725"/>
      <c r="CB53" s="726"/>
      <c r="CC53" s="726"/>
      <c r="CD53" s="726"/>
      <c r="CE53" s="727"/>
      <c r="CF53" s="724"/>
      <c r="CG53" s="725"/>
      <c r="CH53" s="725"/>
      <c r="CI53" s="725"/>
      <c r="CJ53" s="726"/>
      <c r="CK53" s="726"/>
      <c r="CL53" s="726"/>
      <c r="CM53" s="727"/>
      <c r="CN53" s="724"/>
      <c r="CO53" s="725"/>
      <c r="CP53" s="725"/>
      <c r="CQ53" s="725"/>
      <c r="CR53" s="726"/>
      <c r="CS53" s="726"/>
      <c r="CT53" s="726"/>
      <c r="CU53" s="727"/>
      <c r="CV53" s="724"/>
      <c r="CW53" s="725"/>
      <c r="CX53" s="725"/>
      <c r="CY53" s="725"/>
      <c r="CZ53" s="726"/>
      <c r="DA53" s="726"/>
      <c r="DB53" s="726"/>
      <c r="DC53" s="727"/>
      <c r="DD53" s="724"/>
      <c r="DE53" s="725"/>
      <c r="DF53" s="725"/>
      <c r="DG53" s="725"/>
      <c r="DH53" s="726"/>
      <c r="DI53" s="726"/>
      <c r="DJ53" s="726"/>
      <c r="DK53" s="727"/>
      <c r="DL53" s="724"/>
      <c r="DM53" s="725"/>
      <c r="DN53" s="725"/>
      <c r="DO53" s="725"/>
      <c r="DP53" s="726"/>
      <c r="DQ53" s="726"/>
      <c r="DR53" s="726"/>
      <c r="DS53" s="727"/>
      <c r="DT53" s="724"/>
      <c r="DU53" s="725"/>
      <c r="DV53" s="725"/>
      <c r="DW53" s="725"/>
      <c r="DX53" s="726"/>
      <c r="DY53" s="726"/>
      <c r="DZ53" s="726"/>
      <c r="EA53" s="727"/>
    </row>
  </sheetData>
  <sheetProtection password="C560" sheet="1" objects="1" scenarios="1" formatCells="0" formatColumns="0" formatRows="0" sort="0" autoFilter="0"/>
  <protectedRanges>
    <protectedRange sqref="D7:EA10 D12:EA29 D36:EA53 D31:EA34" name="specorp ext stay"/>
  </protectedRanges>
  <mergeCells count="268">
    <mergeCell ref="DL53:DS53"/>
    <mergeCell ref="DT7:EA7"/>
    <mergeCell ref="DT8:EA8"/>
    <mergeCell ref="DT9:EA9"/>
    <mergeCell ref="DT10:EA10"/>
    <mergeCell ref="DT11:DW11"/>
    <mergeCell ref="DX11:EA11"/>
    <mergeCell ref="DL11:DO11"/>
    <mergeCell ref="DP11:DS11"/>
    <mergeCell ref="DL29:DS29"/>
    <mergeCell ref="DL31:DS31"/>
    <mergeCell ref="DL32:DS32"/>
    <mergeCell ref="DL33:DS33"/>
    <mergeCell ref="DL10:DS10"/>
    <mergeCell ref="DL7:DS7"/>
    <mergeCell ref="DT31:EA31"/>
    <mergeCell ref="DT32:EA32"/>
    <mergeCell ref="DT33:EA33"/>
    <mergeCell ref="DT34:EA34"/>
    <mergeCell ref="DT35:DW35"/>
    <mergeCell ref="DX35:EA35"/>
    <mergeCell ref="DL34:DS34"/>
    <mergeCell ref="DL35:DO35"/>
    <mergeCell ref="DP35:DS35"/>
    <mergeCell ref="DD7:DK7"/>
    <mergeCell ref="DD8:DK8"/>
    <mergeCell ref="DD9:DK9"/>
    <mergeCell ref="DD10:DK10"/>
    <mergeCell ref="DD11:DG11"/>
    <mergeCell ref="DH11:DK11"/>
    <mergeCell ref="DD29:DK29"/>
    <mergeCell ref="CN35:CQ35"/>
    <mergeCell ref="CR35:CU35"/>
    <mergeCell ref="DD31:DK31"/>
    <mergeCell ref="DD32:DK32"/>
    <mergeCell ref="DD33:DK33"/>
    <mergeCell ref="DD34:DK34"/>
    <mergeCell ref="DD35:DG35"/>
    <mergeCell ref="DH35:DK35"/>
    <mergeCell ref="CV35:CY35"/>
    <mergeCell ref="CZ35:DC35"/>
    <mergeCell ref="CN53:CU53"/>
    <mergeCell ref="CV7:DC7"/>
    <mergeCell ref="CV8:DC8"/>
    <mergeCell ref="CV9:DC9"/>
    <mergeCell ref="CV10:DC10"/>
    <mergeCell ref="CV11:CY11"/>
    <mergeCell ref="CZ11:DC11"/>
    <mergeCell ref="CV29:DC29"/>
    <mergeCell ref="CF35:CI35"/>
    <mergeCell ref="CJ35:CM35"/>
    <mergeCell ref="CF53:CM53"/>
    <mergeCell ref="CN7:CU7"/>
    <mergeCell ref="CN8:CU8"/>
    <mergeCell ref="CN9:CU9"/>
    <mergeCell ref="CN10:CU10"/>
    <mergeCell ref="CN11:CQ11"/>
    <mergeCell ref="CR11:CU11"/>
    <mergeCell ref="CN29:CU29"/>
    <mergeCell ref="CV34:DC34"/>
    <mergeCell ref="CN33:CU33"/>
    <mergeCell ref="CV33:DC33"/>
    <mergeCell ref="CN31:CU31"/>
    <mergeCell ref="CV31:DC31"/>
    <mergeCell ref="CV53:DC53"/>
    <mergeCell ref="BX35:CA35"/>
    <mergeCell ref="CB35:CE35"/>
    <mergeCell ref="BX53:CE53"/>
    <mergeCell ref="CF7:CM7"/>
    <mergeCell ref="CF8:CM8"/>
    <mergeCell ref="CF9:CM9"/>
    <mergeCell ref="CF10:CM10"/>
    <mergeCell ref="CF11:CI11"/>
    <mergeCell ref="CJ11:CM11"/>
    <mergeCell ref="CF29:CM29"/>
    <mergeCell ref="CF33:CM33"/>
    <mergeCell ref="CF31:CM31"/>
    <mergeCell ref="BX7:CE7"/>
    <mergeCell ref="BX8:CE8"/>
    <mergeCell ref="BX9:CE9"/>
    <mergeCell ref="BX10:CE10"/>
    <mergeCell ref="BX11:CA11"/>
    <mergeCell ref="CB11:CE11"/>
    <mergeCell ref="BX29:CE29"/>
    <mergeCell ref="BX33:CE33"/>
    <mergeCell ref="BX31:CE31"/>
    <mergeCell ref="BH53:BO53"/>
    <mergeCell ref="BP7:BW7"/>
    <mergeCell ref="BP8:BW8"/>
    <mergeCell ref="BP9:BW9"/>
    <mergeCell ref="BP10:BW10"/>
    <mergeCell ref="BP11:BS11"/>
    <mergeCell ref="BT11:BW11"/>
    <mergeCell ref="BP29:BW29"/>
    <mergeCell ref="BP33:BW33"/>
    <mergeCell ref="BP31:BW31"/>
    <mergeCell ref="BP35:BS35"/>
    <mergeCell ref="BT35:BW35"/>
    <mergeCell ref="BP53:BW53"/>
    <mergeCell ref="BH7:BO7"/>
    <mergeCell ref="BH8:BO8"/>
    <mergeCell ref="BH9:BO9"/>
    <mergeCell ref="BH10:BO10"/>
    <mergeCell ref="BH11:BK11"/>
    <mergeCell ref="BL11:BO11"/>
    <mergeCell ref="BH29:BO29"/>
    <mergeCell ref="BH33:BO33"/>
    <mergeCell ref="BH31:BO31"/>
    <mergeCell ref="AR53:AY53"/>
    <mergeCell ref="AZ7:BG7"/>
    <mergeCell ref="AZ8:BG8"/>
    <mergeCell ref="AZ9:BG9"/>
    <mergeCell ref="AZ10:BG10"/>
    <mergeCell ref="AZ11:BC11"/>
    <mergeCell ref="BD11:BG11"/>
    <mergeCell ref="AZ29:BG29"/>
    <mergeCell ref="AZ33:BG33"/>
    <mergeCell ref="AZ31:BG31"/>
    <mergeCell ref="AZ35:BC35"/>
    <mergeCell ref="BD35:BG35"/>
    <mergeCell ref="AZ53:BG53"/>
    <mergeCell ref="AB10:AI10"/>
    <mergeCell ref="AB11:AE11"/>
    <mergeCell ref="AF11:AI11"/>
    <mergeCell ref="AB29:AI29"/>
    <mergeCell ref="AJ35:AM35"/>
    <mergeCell ref="AN35:AQ35"/>
    <mergeCell ref="AJ53:AQ53"/>
    <mergeCell ref="AR7:AY7"/>
    <mergeCell ref="AR8:AY8"/>
    <mergeCell ref="AR9:AY9"/>
    <mergeCell ref="AR10:AY10"/>
    <mergeCell ref="AR11:AU11"/>
    <mergeCell ref="AV11:AY11"/>
    <mergeCell ref="AR29:AY29"/>
    <mergeCell ref="AJ11:AM11"/>
    <mergeCell ref="AN11:AQ11"/>
    <mergeCell ref="AJ29:AQ29"/>
    <mergeCell ref="AJ31:AQ31"/>
    <mergeCell ref="AJ32:AQ32"/>
    <mergeCell ref="AJ33:AQ33"/>
    <mergeCell ref="AR33:AY33"/>
    <mergeCell ref="AR31:AY31"/>
    <mergeCell ref="AJ10:AQ10"/>
    <mergeCell ref="AR35:AU35"/>
    <mergeCell ref="L11:O11"/>
    <mergeCell ref="P11:S11"/>
    <mergeCell ref="T29:AA29"/>
    <mergeCell ref="T31:AA31"/>
    <mergeCell ref="T32:AA32"/>
    <mergeCell ref="T33:AA33"/>
    <mergeCell ref="T34:AA34"/>
    <mergeCell ref="T35:W35"/>
    <mergeCell ref="X35:AA35"/>
    <mergeCell ref="T11:W11"/>
    <mergeCell ref="X11:AA11"/>
    <mergeCell ref="D11:G11"/>
    <mergeCell ref="H11:K11"/>
    <mergeCell ref="B11:C12"/>
    <mergeCell ref="DD53:DK53"/>
    <mergeCell ref="DT53:EA53"/>
    <mergeCell ref="L53:S53"/>
    <mergeCell ref="T53:AA53"/>
    <mergeCell ref="AB53:AI53"/>
    <mergeCell ref="B49:C49"/>
    <mergeCell ref="B50:C50"/>
    <mergeCell ref="B51:C51"/>
    <mergeCell ref="B52:C52"/>
    <mergeCell ref="B53:C53"/>
    <mergeCell ref="D53:K53"/>
    <mergeCell ref="B43:C43"/>
    <mergeCell ref="B44:C44"/>
    <mergeCell ref="B45:C45"/>
    <mergeCell ref="B46:C46"/>
    <mergeCell ref="B47:C47"/>
    <mergeCell ref="B48:C48"/>
    <mergeCell ref="B37:C37"/>
    <mergeCell ref="B38:C38"/>
    <mergeCell ref="B39:C39"/>
    <mergeCell ref="B40:C40"/>
    <mergeCell ref="B41:C41"/>
    <mergeCell ref="B42:C42"/>
    <mergeCell ref="D35:G35"/>
    <mergeCell ref="H35:K35"/>
    <mergeCell ref="B35:C36"/>
    <mergeCell ref="AJ34:AQ34"/>
    <mergeCell ref="BX34:CE34"/>
    <mergeCell ref="CF34:CM34"/>
    <mergeCell ref="CN34:CU34"/>
    <mergeCell ref="AR34:AY34"/>
    <mergeCell ref="AZ34:BG34"/>
    <mergeCell ref="BH34:BO34"/>
    <mergeCell ref="BP34:BW34"/>
    <mergeCell ref="B34:C34"/>
    <mergeCell ref="D34:K34"/>
    <mergeCell ref="L34:S34"/>
    <mergeCell ref="L35:O35"/>
    <mergeCell ref="P35:S35"/>
    <mergeCell ref="AB34:AI34"/>
    <mergeCell ref="AB35:AE35"/>
    <mergeCell ref="AF35:AI35"/>
    <mergeCell ref="AV35:AY35"/>
    <mergeCell ref="BH35:BK35"/>
    <mergeCell ref="BL35:BO35"/>
    <mergeCell ref="B33:C33"/>
    <mergeCell ref="D33:K33"/>
    <mergeCell ref="CF32:CM32"/>
    <mergeCell ref="CN32:CU32"/>
    <mergeCell ref="CV32:DC32"/>
    <mergeCell ref="AZ32:BG32"/>
    <mergeCell ref="BH32:BO32"/>
    <mergeCell ref="BP32:BW32"/>
    <mergeCell ref="BX32:CE32"/>
    <mergeCell ref="AR32:AY32"/>
    <mergeCell ref="B32:C32"/>
    <mergeCell ref="D32:K32"/>
    <mergeCell ref="L32:S32"/>
    <mergeCell ref="L33:S33"/>
    <mergeCell ref="AB32:AI32"/>
    <mergeCell ref="AB33:AI33"/>
    <mergeCell ref="B31:C31"/>
    <mergeCell ref="D31:K31"/>
    <mergeCell ref="DT29:EA29"/>
    <mergeCell ref="D29:K29"/>
    <mergeCell ref="B24:C24"/>
    <mergeCell ref="B25:C25"/>
    <mergeCell ref="B26:C26"/>
    <mergeCell ref="B27:C27"/>
    <mergeCell ref="B28:C28"/>
    <mergeCell ref="B29:C29"/>
    <mergeCell ref="L29:S29"/>
    <mergeCell ref="L31:S31"/>
    <mergeCell ref="AB31:AI31"/>
    <mergeCell ref="B18:C18"/>
    <mergeCell ref="B19:C19"/>
    <mergeCell ref="B20:C20"/>
    <mergeCell ref="B21:C21"/>
    <mergeCell ref="B22:C22"/>
    <mergeCell ref="B23:C23"/>
    <mergeCell ref="B13:C13"/>
    <mergeCell ref="B14:C14"/>
    <mergeCell ref="B15:C15"/>
    <mergeCell ref="B16:C16"/>
    <mergeCell ref="B17:C17"/>
    <mergeCell ref="AB7:AI7"/>
    <mergeCell ref="AJ7:AQ7"/>
    <mergeCell ref="B7:C7"/>
    <mergeCell ref="D7:K7"/>
    <mergeCell ref="B10:C10"/>
    <mergeCell ref="D10:K10"/>
    <mergeCell ref="DL9:DS9"/>
    <mergeCell ref="AJ9:AQ9"/>
    <mergeCell ref="B9:C9"/>
    <mergeCell ref="D9:K9"/>
    <mergeCell ref="DL8:DS8"/>
    <mergeCell ref="AJ8:AQ8"/>
    <mergeCell ref="B8:C8"/>
    <mergeCell ref="D8:K8"/>
    <mergeCell ref="L7:S7"/>
    <mergeCell ref="L8:S8"/>
    <mergeCell ref="L9:S9"/>
    <mergeCell ref="L10:S10"/>
    <mergeCell ref="T7:AA7"/>
    <mergeCell ref="T8:AA8"/>
    <mergeCell ref="T9:AA9"/>
    <mergeCell ref="T10:AA10"/>
    <mergeCell ref="AB8:AI8"/>
    <mergeCell ref="AB9:AI9"/>
  </mergeCells>
  <phoneticPr fontId="47" type="noConversion"/>
  <conditionalFormatting sqref="B13:B28">
    <cfRule type="containsText" dxfId="3" priority="2" operator="containsText" text="0">
      <formula>NOT(ISERROR(SEARCH("0",B13)))</formula>
    </cfRule>
  </conditionalFormatting>
  <conditionalFormatting sqref="B37:B52">
    <cfRule type="containsText" dxfId="2" priority="1" operator="containsText" text="0">
      <formula>NOT(ISERROR(SEARCH("0",B37)))</formula>
    </cfRule>
  </conditionalFormatting>
  <dataValidations count="1">
    <dataValidation allowBlank="1" showInputMessage="1" showErrorMessage="1" promptTitle="Enter Season Dates here" prompt="See Instructions tab for more details!_x000a_" sqref="I12:K12 D11:D12 H11:H12 E12:G12 I36:K36 D35:D36 H35:H36 E36:G36 Q12:S12 L11:L12 P11:P12 M12:O12 Q36:S36 L35:L36 P35:P36 M36:O36 Y12:AA12 T11:T12 X11:X12 U12:W12 Y36:AA36 T35:T36 X35:X36 U36:W36 AG12:AI12 AB11:AB12 AF11:AF12 AC12:AE12 AG36:AI36 AB35:AB36 AF35:AF36 AC36:AE36 AO12:AQ12 AJ11:AJ12 AN11:AN12 AK12:AM12 AO36:AQ36 AJ35:AJ36 AN35:AN36 AK36:AM36 AW12:AY12 AR11:AR12 AV11:AV12 AS12:AU12 AW36:AY36 AR35:AR36 AV35:AV36 AS36:AU36 BE12:BG12 AZ11:AZ12 BD11:BD12 BA12:BC12 BE36:BG36 AZ35:AZ36 BD35:BD36 BA36:BC36 BM12:BO12 BH11:BH12 BL11:BL12 BI12:BK12 BM36:BO36 BH35:BH36 BL35:BL36 BI36:BK36 BU12:BW12 BP11:BP12 BT11:BT12 BQ12:BS12 BU36:BW36 BP35:BP36 BT35:BT36 BQ36:BS36 CC12:CE12 BX11:BX12 CB11:CB12 BY12:CA12 CC36:CE36 BX35:BX36 CB35:CB36 BY36:CA36 CK12:CM12 CF11:CF12 CJ11:CJ12 CG12:CI12 CK36:CM36 CF35:CF36 CJ35:CJ36 CG36:CI36 CS12:CU12 CN11:CN12 CR11:CR12 CO12:CQ12 CS36:CU36 CN35:CN36 CR35:CR36 CO36:CQ36 DA12:DC12 CV11:CV12 CZ11:CZ12 CW12:CY12 DA36:DC36 CV35:CV36 CZ35:CZ36 CW36:CY36 DI12:DK12 DD11:DD12 DH11:DH12 DE12:DG12 DI36:DK36 DD35:DD36 DH35:DH36 DE36:DG36 DQ12:DS12 DL11:DL12 DP11:DP12 DM12:DO12 DQ36:DS36 DL35:DL36 DP35:DP36 DM36:DO36 DY12:EA12 DT11:DT12 DX11:DX12 DU12:DW12 DY36:EA36 DT35:DT36 DX35:DX36 DU36:DW36"/>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14:formula1>
            <xm:f>DropDown!$S$3:$S$5</xm:f>
          </x14:formula1>
          <xm:sqref>D9 D33 L9 L33 T9 T33 AB9 AB33 AJ9 AJ33 AR9 AR33 AZ9 AZ33 BH9 BH33 BP9 BP33 BX9 BX33 CF9 CF33 CN9 CN33 CV9 CV33 DD9 DD33 DL9 DL33 DT9 DT33</xm:sqref>
        </x14:dataValidation>
        <x14:dataValidation type="list" showInputMessage="1" showErrorMessage="1">
          <x14:formula1>
            <xm:f>DropDown!$R$3:$R$5</xm:f>
          </x14:formula1>
          <xm:sqref>D8 D32 L8 L32 T8 T32 AB8 AB32 AJ8 AJ32 AR8 AR32 AZ8 AZ32 BH8 BH32 BP8 BP32 BX8 BX32 CF8 CF32 CN8 CN32 CV8 CV32 DD8 DD32 DL8 DL32 DT8 DT32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ackages"/>
  <dimension ref="A1:AQ28"/>
  <sheetViews>
    <sheetView tabSelected="1" workbookViewId="0">
      <pane xSplit="3" ySplit="6" topLeftCell="D7" activePane="bottomRight" state="frozen"/>
      <selection activeCell="D4" sqref="D4"/>
      <selection pane="topRight" activeCell="D4" sqref="D4"/>
      <selection pane="bottomLeft" activeCell="D4" sqref="D4"/>
      <selection pane="bottomRight" activeCell="H27" sqref="H27:K27"/>
    </sheetView>
  </sheetViews>
  <sheetFormatPr defaultRowHeight="12.75" x14ac:dyDescent="0.2"/>
  <cols>
    <col min="1" max="1" width="5.7109375" style="5" customWidth="1"/>
    <col min="2" max="2" width="9.42578125" style="5" customWidth="1"/>
    <col min="3" max="3" width="10.28515625" style="5" customWidth="1"/>
    <col min="4" max="16384" width="9.140625" style="5"/>
  </cols>
  <sheetData>
    <row r="1" spans="1:43" ht="18" x14ac:dyDescent="0.25">
      <c r="A1" s="34" t="s">
        <v>398</v>
      </c>
      <c r="B1" s="41" t="s">
        <v>348</v>
      </c>
    </row>
    <row r="2" spans="1:43" ht="18" x14ac:dyDescent="0.25">
      <c r="A2" s="34"/>
      <c r="B2" s="41"/>
      <c r="E2" s="325" t="s">
        <v>547</v>
      </c>
      <c r="F2" s="326"/>
      <c r="G2" s="326"/>
      <c r="H2" s="326"/>
      <c r="I2" s="326"/>
      <c r="J2" s="326"/>
      <c r="K2" s="326"/>
      <c r="L2" s="162"/>
      <c r="M2" s="162"/>
      <c r="N2" s="162"/>
      <c r="O2" s="162"/>
      <c r="P2" s="162"/>
      <c r="Q2" s="162"/>
      <c r="R2" s="162"/>
      <c r="S2" s="327"/>
    </row>
    <row r="3" spans="1:43" ht="18" x14ac:dyDescent="0.25">
      <c r="A3" s="34"/>
      <c r="B3" s="41"/>
      <c r="E3" s="328" t="s">
        <v>548</v>
      </c>
      <c r="F3" s="163"/>
      <c r="G3" s="329"/>
      <c r="H3" s="163"/>
      <c r="I3" s="163"/>
      <c r="J3" s="163"/>
      <c r="K3" s="163"/>
      <c r="L3" s="163"/>
      <c r="M3" s="163"/>
      <c r="N3" s="163"/>
      <c r="O3" s="163"/>
      <c r="P3" s="163"/>
      <c r="Q3" s="163"/>
      <c r="R3" s="163"/>
      <c r="S3" s="330"/>
    </row>
    <row r="4" spans="1:43" ht="18" x14ac:dyDescent="0.25">
      <c r="A4" s="34"/>
      <c r="B4" s="41"/>
      <c r="E4" s="106"/>
      <c r="F4" s="188"/>
      <c r="G4" s="331"/>
      <c r="H4" s="188"/>
      <c r="I4" s="188"/>
      <c r="J4" s="188"/>
      <c r="K4" s="188"/>
      <c r="L4" s="188"/>
      <c r="M4" s="188"/>
      <c r="N4" s="188"/>
      <c r="O4" s="188"/>
      <c r="P4" s="188"/>
      <c r="Q4" s="188"/>
      <c r="R4" s="188"/>
      <c r="S4" s="332"/>
    </row>
    <row r="5" spans="1:43" ht="13.5" thickBot="1" x14ac:dyDescent="0.25">
      <c r="D5" s="34"/>
      <c r="E5" s="34"/>
      <c r="F5" s="34"/>
      <c r="G5" s="34"/>
    </row>
    <row r="6" spans="1:43" ht="19.5" customHeight="1" x14ac:dyDescent="0.2">
      <c r="A6" s="34"/>
      <c r="B6" s="693" t="s">
        <v>351</v>
      </c>
      <c r="C6" s="694"/>
      <c r="D6" s="745" t="s">
        <v>353</v>
      </c>
      <c r="E6" s="746"/>
      <c r="F6" s="746"/>
      <c r="G6" s="747"/>
      <c r="H6" s="745" t="s">
        <v>353</v>
      </c>
      <c r="I6" s="746"/>
      <c r="J6" s="746"/>
      <c r="K6" s="747"/>
      <c r="L6" s="745" t="s">
        <v>353</v>
      </c>
      <c r="M6" s="746"/>
      <c r="N6" s="746"/>
      <c r="O6" s="747"/>
      <c r="P6" s="745" t="s">
        <v>353</v>
      </c>
      <c r="Q6" s="746"/>
      <c r="R6" s="746"/>
      <c r="S6" s="747"/>
      <c r="T6" s="745" t="s">
        <v>353</v>
      </c>
      <c r="U6" s="746"/>
      <c r="V6" s="746"/>
      <c r="W6" s="747"/>
      <c r="X6" s="745" t="s">
        <v>353</v>
      </c>
      <c r="Y6" s="746"/>
      <c r="Z6" s="746"/>
      <c r="AA6" s="747"/>
      <c r="AB6" s="745" t="s">
        <v>353</v>
      </c>
      <c r="AC6" s="746"/>
      <c r="AD6" s="746"/>
      <c r="AE6" s="747"/>
      <c r="AF6" s="745" t="s">
        <v>353</v>
      </c>
      <c r="AG6" s="746"/>
      <c r="AH6" s="746"/>
      <c r="AI6" s="747"/>
      <c r="AJ6" s="745" t="s">
        <v>353</v>
      </c>
      <c r="AK6" s="746"/>
      <c r="AL6" s="746"/>
      <c r="AM6" s="747"/>
      <c r="AN6" s="745" t="s">
        <v>353</v>
      </c>
      <c r="AO6" s="746"/>
      <c r="AP6" s="746"/>
      <c r="AQ6" s="747"/>
    </row>
    <row r="7" spans="1:43" ht="24.75" customHeight="1" x14ac:dyDescent="0.2">
      <c r="A7" s="34"/>
      <c r="B7" s="695" t="s">
        <v>334</v>
      </c>
      <c r="C7" s="696"/>
      <c r="D7" s="748"/>
      <c r="E7" s="749"/>
      <c r="F7" s="749"/>
      <c r="G7" s="750"/>
      <c r="H7" s="748"/>
      <c r="I7" s="749"/>
      <c r="J7" s="749"/>
      <c r="K7" s="750"/>
      <c r="L7" s="748"/>
      <c r="M7" s="749"/>
      <c r="N7" s="749"/>
      <c r="O7" s="750"/>
      <c r="P7" s="748"/>
      <c r="Q7" s="749"/>
      <c r="R7" s="749"/>
      <c r="S7" s="750"/>
      <c r="T7" s="748"/>
      <c r="U7" s="749"/>
      <c r="V7" s="749"/>
      <c r="W7" s="750"/>
      <c r="X7" s="748"/>
      <c r="Y7" s="749"/>
      <c r="Z7" s="749"/>
      <c r="AA7" s="750"/>
      <c r="AB7" s="748"/>
      <c r="AC7" s="749"/>
      <c r="AD7" s="749"/>
      <c r="AE7" s="750"/>
      <c r="AF7" s="748"/>
      <c r="AG7" s="749"/>
      <c r="AH7" s="749"/>
      <c r="AI7" s="750"/>
      <c r="AJ7" s="748"/>
      <c r="AK7" s="749"/>
      <c r="AL7" s="749"/>
      <c r="AM7" s="750"/>
      <c r="AN7" s="748"/>
      <c r="AO7" s="749"/>
      <c r="AP7" s="749"/>
      <c r="AQ7" s="750"/>
    </row>
    <row r="8" spans="1:43" ht="24" customHeight="1" x14ac:dyDescent="0.2">
      <c r="A8" s="34"/>
      <c r="B8" s="751" t="s">
        <v>352</v>
      </c>
      <c r="C8" s="753"/>
      <c r="D8" s="751"/>
      <c r="E8" s="752"/>
      <c r="F8" s="752"/>
      <c r="G8" s="753"/>
      <c r="H8" s="751"/>
      <c r="I8" s="752"/>
      <c r="J8" s="752"/>
      <c r="K8" s="753"/>
      <c r="L8" s="751"/>
      <c r="M8" s="752"/>
      <c r="N8" s="752"/>
      <c r="O8" s="753"/>
      <c r="P8" s="751"/>
      <c r="Q8" s="752"/>
      <c r="R8" s="752"/>
      <c r="S8" s="753"/>
      <c r="T8" s="751"/>
      <c r="U8" s="752"/>
      <c r="V8" s="752"/>
      <c r="W8" s="753"/>
      <c r="X8" s="751"/>
      <c r="Y8" s="752"/>
      <c r="Z8" s="752"/>
      <c r="AA8" s="753"/>
      <c r="AB8" s="751"/>
      <c r="AC8" s="752"/>
      <c r="AD8" s="752"/>
      <c r="AE8" s="753"/>
      <c r="AF8" s="751"/>
      <c r="AG8" s="752"/>
      <c r="AH8" s="752"/>
      <c r="AI8" s="753"/>
      <c r="AJ8" s="751"/>
      <c r="AK8" s="752"/>
      <c r="AL8" s="752"/>
      <c r="AM8" s="753"/>
      <c r="AN8" s="751"/>
      <c r="AO8" s="752"/>
      <c r="AP8" s="752"/>
      <c r="AQ8" s="753"/>
    </row>
    <row r="9" spans="1:43" ht="13.5" thickBot="1" x14ac:dyDescent="0.25">
      <c r="A9" s="34"/>
      <c r="B9" s="754"/>
      <c r="C9" s="756"/>
      <c r="D9" s="754"/>
      <c r="E9" s="755"/>
      <c r="F9" s="755"/>
      <c r="G9" s="756"/>
      <c r="H9" s="754"/>
      <c r="I9" s="755"/>
      <c r="J9" s="755"/>
      <c r="K9" s="756"/>
      <c r="L9" s="754"/>
      <c r="M9" s="755"/>
      <c r="N9" s="755"/>
      <c r="O9" s="756"/>
      <c r="P9" s="754"/>
      <c r="Q9" s="755"/>
      <c r="R9" s="755"/>
      <c r="S9" s="756"/>
      <c r="T9" s="754"/>
      <c r="U9" s="755"/>
      <c r="V9" s="755"/>
      <c r="W9" s="756"/>
      <c r="X9" s="754"/>
      <c r="Y9" s="755"/>
      <c r="Z9" s="755"/>
      <c r="AA9" s="756"/>
      <c r="AB9" s="754"/>
      <c r="AC9" s="755"/>
      <c r="AD9" s="755"/>
      <c r="AE9" s="756"/>
      <c r="AF9" s="754"/>
      <c r="AG9" s="755"/>
      <c r="AH9" s="755"/>
      <c r="AI9" s="756"/>
      <c r="AJ9" s="754"/>
      <c r="AK9" s="755"/>
      <c r="AL9" s="755"/>
      <c r="AM9" s="756"/>
      <c r="AN9" s="754"/>
      <c r="AO9" s="755"/>
      <c r="AP9" s="755"/>
      <c r="AQ9" s="756"/>
    </row>
    <row r="10" spans="1:43" ht="27.75" customHeight="1" thickBot="1" x14ac:dyDescent="0.25">
      <c r="A10" s="34"/>
      <c r="B10" s="740" t="s">
        <v>71</v>
      </c>
      <c r="C10" s="741"/>
      <c r="D10" s="54" t="s">
        <v>349</v>
      </c>
      <c r="E10" s="55" t="s">
        <v>350</v>
      </c>
      <c r="F10" s="109" t="s">
        <v>455</v>
      </c>
      <c r="G10" s="55" t="s">
        <v>456</v>
      </c>
      <c r="H10" s="54" t="s">
        <v>349</v>
      </c>
      <c r="I10" s="55" t="s">
        <v>350</v>
      </c>
      <c r="J10" s="109" t="s">
        <v>455</v>
      </c>
      <c r="K10" s="55" t="s">
        <v>456</v>
      </c>
      <c r="L10" s="54" t="s">
        <v>349</v>
      </c>
      <c r="M10" s="55" t="s">
        <v>350</v>
      </c>
      <c r="N10" s="109" t="s">
        <v>455</v>
      </c>
      <c r="O10" s="55" t="s">
        <v>456</v>
      </c>
      <c r="P10" s="54" t="s">
        <v>349</v>
      </c>
      <c r="Q10" s="55" t="s">
        <v>350</v>
      </c>
      <c r="R10" s="109" t="s">
        <v>455</v>
      </c>
      <c r="S10" s="55" t="s">
        <v>456</v>
      </c>
      <c r="T10" s="54" t="s">
        <v>349</v>
      </c>
      <c r="U10" s="55" t="s">
        <v>350</v>
      </c>
      <c r="V10" s="109" t="s">
        <v>455</v>
      </c>
      <c r="W10" s="55" t="s">
        <v>456</v>
      </c>
      <c r="X10" s="54" t="s">
        <v>349</v>
      </c>
      <c r="Y10" s="55" t="s">
        <v>350</v>
      </c>
      <c r="Z10" s="109" t="s">
        <v>455</v>
      </c>
      <c r="AA10" s="55" t="s">
        <v>456</v>
      </c>
      <c r="AB10" s="54" t="s">
        <v>349</v>
      </c>
      <c r="AC10" s="55" t="s">
        <v>350</v>
      </c>
      <c r="AD10" s="109" t="s">
        <v>455</v>
      </c>
      <c r="AE10" s="55" t="s">
        <v>456</v>
      </c>
      <c r="AF10" s="54" t="s">
        <v>349</v>
      </c>
      <c r="AG10" s="55" t="s">
        <v>350</v>
      </c>
      <c r="AH10" s="54" t="s">
        <v>349</v>
      </c>
      <c r="AI10" s="55" t="s">
        <v>350</v>
      </c>
      <c r="AJ10" s="54" t="s">
        <v>349</v>
      </c>
      <c r="AK10" s="55" t="s">
        <v>350</v>
      </c>
      <c r="AL10" s="109" t="s">
        <v>455</v>
      </c>
      <c r="AM10" s="55" t="s">
        <v>456</v>
      </c>
      <c r="AN10" s="54" t="s">
        <v>349</v>
      </c>
      <c r="AO10" s="55" t="s">
        <v>350</v>
      </c>
      <c r="AP10" s="54" t="s">
        <v>349</v>
      </c>
      <c r="AQ10" s="55" t="s">
        <v>350</v>
      </c>
    </row>
    <row r="11" spans="1:43" x14ac:dyDescent="0.2">
      <c r="B11" s="742" t="str">
        <f>'General Set-Up'!B7</f>
        <v>KING</v>
      </c>
      <c r="C11" s="743"/>
      <c r="D11" s="104"/>
      <c r="E11" s="106"/>
      <c r="F11" s="78"/>
      <c r="G11" s="79"/>
      <c r="H11" s="104"/>
      <c r="I11" s="106"/>
      <c r="J11" s="78"/>
      <c r="K11" s="79"/>
      <c r="L11" s="104"/>
      <c r="M11" s="106"/>
      <c r="N11" s="78"/>
      <c r="O11" s="79"/>
      <c r="P11" s="104"/>
      <c r="Q11" s="106"/>
      <c r="R11" s="78"/>
      <c r="S11" s="79"/>
      <c r="T11" s="104"/>
      <c r="U11" s="106"/>
      <c r="V11" s="78"/>
      <c r="W11" s="79"/>
      <c r="X11" s="104"/>
      <c r="Y11" s="106"/>
      <c r="Z11" s="78"/>
      <c r="AA11" s="79"/>
      <c r="AB11" s="104"/>
      <c r="AC11" s="106"/>
      <c r="AD11" s="78"/>
      <c r="AE11" s="79"/>
      <c r="AF11" s="104"/>
      <c r="AG11" s="106"/>
      <c r="AH11" s="104"/>
      <c r="AI11" s="106"/>
      <c r="AJ11" s="104"/>
      <c r="AK11" s="106"/>
      <c r="AL11" s="78"/>
      <c r="AM11" s="79"/>
      <c r="AN11" s="104"/>
      <c r="AO11" s="106"/>
      <c r="AP11" s="104"/>
      <c r="AQ11" s="105"/>
    </row>
    <row r="12" spans="1:43" x14ac:dyDescent="0.2">
      <c r="B12" s="682" t="str">
        <f>'General Set-Up'!B8</f>
        <v>DBDB</v>
      </c>
      <c r="C12" s="683"/>
      <c r="D12" s="80"/>
      <c r="E12" s="107"/>
      <c r="F12" s="80"/>
      <c r="G12" s="81"/>
      <c r="H12" s="80"/>
      <c r="I12" s="107"/>
      <c r="J12" s="80"/>
      <c r="K12" s="81"/>
      <c r="L12" s="80"/>
      <c r="M12" s="107"/>
      <c r="N12" s="80"/>
      <c r="O12" s="81"/>
      <c r="P12" s="80"/>
      <c r="Q12" s="107"/>
      <c r="R12" s="80"/>
      <c r="S12" s="81"/>
      <c r="T12" s="80"/>
      <c r="U12" s="107"/>
      <c r="V12" s="80"/>
      <c r="W12" s="81"/>
      <c r="X12" s="80"/>
      <c r="Y12" s="107"/>
      <c r="Z12" s="80"/>
      <c r="AA12" s="81"/>
      <c r="AB12" s="80"/>
      <c r="AC12" s="107"/>
      <c r="AD12" s="80"/>
      <c r="AE12" s="81"/>
      <c r="AF12" s="80"/>
      <c r="AG12" s="107"/>
      <c r="AH12" s="80"/>
      <c r="AI12" s="107"/>
      <c r="AJ12" s="80"/>
      <c r="AK12" s="107"/>
      <c r="AL12" s="80"/>
      <c r="AM12" s="81"/>
      <c r="AN12" s="80"/>
      <c r="AO12" s="107"/>
      <c r="AP12" s="80"/>
      <c r="AQ12" s="81"/>
    </row>
    <row r="13" spans="1:43" x14ac:dyDescent="0.2">
      <c r="B13" s="682" t="str">
        <f>'General Set-Up'!B9</f>
        <v>PMRS</v>
      </c>
      <c r="C13" s="683"/>
      <c r="D13" s="80"/>
      <c r="E13" s="107"/>
      <c r="F13" s="80"/>
      <c r="G13" s="81"/>
      <c r="H13" s="80"/>
      <c r="I13" s="107"/>
      <c r="J13" s="80"/>
      <c r="K13" s="81"/>
      <c r="L13" s="80"/>
      <c r="M13" s="107"/>
      <c r="N13" s="80"/>
      <c r="O13" s="81"/>
      <c r="P13" s="80"/>
      <c r="Q13" s="107"/>
      <c r="R13" s="80"/>
      <c r="S13" s="81"/>
      <c r="T13" s="80"/>
      <c r="U13" s="107"/>
      <c r="V13" s="80"/>
      <c r="W13" s="81"/>
      <c r="X13" s="80"/>
      <c r="Y13" s="107"/>
      <c r="Z13" s="80"/>
      <c r="AA13" s="81"/>
      <c r="AB13" s="80"/>
      <c r="AC13" s="107"/>
      <c r="AD13" s="80"/>
      <c r="AE13" s="81"/>
      <c r="AF13" s="80"/>
      <c r="AG13" s="107"/>
      <c r="AH13" s="80"/>
      <c r="AI13" s="107"/>
      <c r="AJ13" s="80"/>
      <c r="AK13" s="107"/>
      <c r="AL13" s="80"/>
      <c r="AM13" s="81"/>
      <c r="AN13" s="80"/>
      <c r="AO13" s="107"/>
      <c r="AP13" s="80"/>
      <c r="AQ13" s="81"/>
    </row>
    <row r="14" spans="1:43" x14ac:dyDescent="0.2">
      <c r="B14" s="682" t="str">
        <f>'General Set-Up'!B10</f>
        <v>PMRS</v>
      </c>
      <c r="C14" s="683"/>
      <c r="D14" s="80"/>
      <c r="E14" s="107"/>
      <c r="F14" s="80"/>
      <c r="G14" s="81"/>
      <c r="H14" s="80"/>
      <c r="I14" s="107"/>
      <c r="J14" s="80"/>
      <c r="K14" s="81"/>
      <c r="L14" s="80"/>
      <c r="M14" s="107"/>
      <c r="N14" s="80"/>
      <c r="O14" s="81"/>
      <c r="P14" s="80"/>
      <c r="Q14" s="107"/>
      <c r="R14" s="80"/>
      <c r="S14" s="81"/>
      <c r="T14" s="80"/>
      <c r="U14" s="107"/>
      <c r="V14" s="80"/>
      <c r="W14" s="81"/>
      <c r="X14" s="80"/>
      <c r="Y14" s="107"/>
      <c r="Z14" s="80"/>
      <c r="AA14" s="81"/>
      <c r="AB14" s="80"/>
      <c r="AC14" s="107"/>
      <c r="AD14" s="80"/>
      <c r="AE14" s="81"/>
      <c r="AF14" s="80"/>
      <c r="AG14" s="107"/>
      <c r="AH14" s="80"/>
      <c r="AI14" s="107"/>
      <c r="AJ14" s="80"/>
      <c r="AK14" s="107"/>
      <c r="AL14" s="80"/>
      <c r="AM14" s="81"/>
      <c r="AN14" s="80"/>
      <c r="AO14" s="107"/>
      <c r="AP14" s="80"/>
      <c r="AQ14" s="81"/>
    </row>
    <row r="15" spans="1:43" x14ac:dyDescent="0.2">
      <c r="B15" s="682">
        <f>'General Set-Up'!B11</f>
        <v>0</v>
      </c>
      <c r="C15" s="683"/>
      <c r="D15" s="80"/>
      <c r="E15" s="107"/>
      <c r="F15" s="80"/>
      <c r="G15" s="81"/>
      <c r="H15" s="80"/>
      <c r="I15" s="107"/>
      <c r="J15" s="80"/>
      <c r="K15" s="81"/>
      <c r="L15" s="80"/>
      <c r="M15" s="107"/>
      <c r="N15" s="80"/>
      <c r="O15" s="81"/>
      <c r="P15" s="80"/>
      <c r="Q15" s="107"/>
      <c r="R15" s="80"/>
      <c r="S15" s="81"/>
      <c r="T15" s="80"/>
      <c r="U15" s="107"/>
      <c r="V15" s="80"/>
      <c r="W15" s="81"/>
      <c r="X15" s="80"/>
      <c r="Y15" s="107"/>
      <c r="Z15" s="80"/>
      <c r="AA15" s="81"/>
      <c r="AB15" s="80"/>
      <c r="AC15" s="107"/>
      <c r="AD15" s="80"/>
      <c r="AE15" s="81"/>
      <c r="AF15" s="80"/>
      <c r="AG15" s="107"/>
      <c r="AH15" s="80"/>
      <c r="AI15" s="107"/>
      <c r="AJ15" s="80"/>
      <c r="AK15" s="107"/>
      <c r="AL15" s="80"/>
      <c r="AM15" s="81"/>
      <c r="AN15" s="80"/>
      <c r="AO15" s="107"/>
      <c r="AP15" s="80"/>
      <c r="AQ15" s="81"/>
    </row>
    <row r="16" spans="1:43" x14ac:dyDescent="0.2">
      <c r="B16" s="682">
        <f>'General Set-Up'!B12</f>
        <v>0</v>
      </c>
      <c r="C16" s="683"/>
      <c r="D16" s="80"/>
      <c r="E16" s="107"/>
      <c r="F16" s="80"/>
      <c r="G16" s="81"/>
      <c r="H16" s="80"/>
      <c r="I16" s="107"/>
      <c r="J16" s="80"/>
      <c r="K16" s="81"/>
      <c r="L16" s="80"/>
      <c r="M16" s="107"/>
      <c r="N16" s="80"/>
      <c r="O16" s="81"/>
      <c r="P16" s="80"/>
      <c r="Q16" s="107"/>
      <c r="R16" s="80"/>
      <c r="S16" s="81"/>
      <c r="T16" s="80"/>
      <c r="U16" s="107"/>
      <c r="V16" s="80"/>
      <c r="W16" s="81"/>
      <c r="X16" s="80"/>
      <c r="Y16" s="107"/>
      <c r="Z16" s="80"/>
      <c r="AA16" s="81"/>
      <c r="AB16" s="80"/>
      <c r="AC16" s="107"/>
      <c r="AD16" s="80"/>
      <c r="AE16" s="81"/>
      <c r="AF16" s="80"/>
      <c r="AG16" s="107"/>
      <c r="AH16" s="80"/>
      <c r="AI16" s="107"/>
      <c r="AJ16" s="80"/>
      <c r="AK16" s="107"/>
      <c r="AL16" s="80"/>
      <c r="AM16" s="81"/>
      <c r="AN16" s="80"/>
      <c r="AO16" s="107"/>
      <c r="AP16" s="80"/>
      <c r="AQ16" s="81"/>
    </row>
    <row r="17" spans="1:43" x14ac:dyDescent="0.2">
      <c r="B17" s="682">
        <f>'General Set-Up'!B13</f>
        <v>0</v>
      </c>
      <c r="C17" s="683"/>
      <c r="D17" s="80"/>
      <c r="E17" s="107"/>
      <c r="F17" s="80"/>
      <c r="G17" s="81"/>
      <c r="H17" s="80"/>
      <c r="I17" s="107"/>
      <c r="J17" s="80"/>
      <c r="K17" s="81"/>
      <c r="L17" s="80"/>
      <c r="M17" s="107"/>
      <c r="N17" s="80"/>
      <c r="O17" s="81"/>
      <c r="P17" s="80"/>
      <c r="Q17" s="107"/>
      <c r="R17" s="80"/>
      <c r="S17" s="81"/>
      <c r="T17" s="80"/>
      <c r="U17" s="107"/>
      <c r="V17" s="80"/>
      <c r="W17" s="81"/>
      <c r="X17" s="80"/>
      <c r="Y17" s="107"/>
      <c r="Z17" s="80"/>
      <c r="AA17" s="81"/>
      <c r="AB17" s="80"/>
      <c r="AC17" s="107"/>
      <c r="AD17" s="80"/>
      <c r="AE17" s="81"/>
      <c r="AF17" s="80"/>
      <c r="AG17" s="107"/>
      <c r="AH17" s="80"/>
      <c r="AI17" s="107"/>
      <c r="AJ17" s="80"/>
      <c r="AK17" s="107"/>
      <c r="AL17" s="80"/>
      <c r="AM17" s="81"/>
      <c r="AN17" s="80"/>
      <c r="AO17" s="107"/>
      <c r="AP17" s="80"/>
      <c r="AQ17" s="81"/>
    </row>
    <row r="18" spans="1:43" x14ac:dyDescent="0.2">
      <c r="B18" s="682">
        <f>'General Set-Up'!B14</f>
        <v>0</v>
      </c>
      <c r="C18" s="683"/>
      <c r="D18" s="80"/>
      <c r="E18" s="107"/>
      <c r="F18" s="80"/>
      <c r="G18" s="81"/>
      <c r="H18" s="80"/>
      <c r="I18" s="107"/>
      <c r="J18" s="80"/>
      <c r="K18" s="81"/>
      <c r="L18" s="80"/>
      <c r="M18" s="107"/>
      <c r="N18" s="80"/>
      <c r="O18" s="81"/>
      <c r="P18" s="80"/>
      <c r="Q18" s="107"/>
      <c r="R18" s="80"/>
      <c r="S18" s="81"/>
      <c r="T18" s="80"/>
      <c r="U18" s="107"/>
      <c r="V18" s="80"/>
      <c r="W18" s="81"/>
      <c r="X18" s="80"/>
      <c r="Y18" s="107"/>
      <c r="Z18" s="80"/>
      <c r="AA18" s="81"/>
      <c r="AB18" s="80"/>
      <c r="AC18" s="107"/>
      <c r="AD18" s="80"/>
      <c r="AE18" s="81"/>
      <c r="AF18" s="80"/>
      <c r="AG18" s="107"/>
      <c r="AH18" s="80"/>
      <c r="AI18" s="107"/>
      <c r="AJ18" s="80"/>
      <c r="AK18" s="107"/>
      <c r="AL18" s="80"/>
      <c r="AM18" s="81"/>
      <c r="AN18" s="80"/>
      <c r="AO18" s="107"/>
      <c r="AP18" s="80"/>
      <c r="AQ18" s="81"/>
    </row>
    <row r="19" spans="1:43" x14ac:dyDescent="0.2">
      <c r="B19" s="682">
        <f>'General Set-Up'!B15</f>
        <v>0</v>
      </c>
      <c r="C19" s="683"/>
      <c r="D19" s="80"/>
      <c r="E19" s="107"/>
      <c r="F19" s="80"/>
      <c r="G19" s="81"/>
      <c r="H19" s="80"/>
      <c r="I19" s="107"/>
      <c r="J19" s="80"/>
      <c r="K19" s="81"/>
      <c r="L19" s="80"/>
      <c r="M19" s="107"/>
      <c r="N19" s="80"/>
      <c r="O19" s="81"/>
      <c r="P19" s="80"/>
      <c r="Q19" s="107"/>
      <c r="R19" s="80"/>
      <c r="S19" s="81"/>
      <c r="T19" s="80"/>
      <c r="U19" s="107"/>
      <c r="V19" s="80"/>
      <c r="W19" s="81"/>
      <c r="X19" s="80"/>
      <c r="Y19" s="107"/>
      <c r="Z19" s="80"/>
      <c r="AA19" s="81"/>
      <c r="AB19" s="80"/>
      <c r="AC19" s="107"/>
      <c r="AD19" s="80"/>
      <c r="AE19" s="81"/>
      <c r="AF19" s="80"/>
      <c r="AG19" s="107"/>
      <c r="AH19" s="80"/>
      <c r="AI19" s="107"/>
      <c r="AJ19" s="80"/>
      <c r="AK19" s="107"/>
      <c r="AL19" s="80"/>
      <c r="AM19" s="81"/>
      <c r="AN19" s="80"/>
      <c r="AO19" s="107"/>
      <c r="AP19" s="80"/>
      <c r="AQ19" s="81"/>
    </row>
    <row r="20" spans="1:43" x14ac:dyDescent="0.2">
      <c r="B20" s="682">
        <f>'General Set-Up'!B16</f>
        <v>0</v>
      </c>
      <c r="C20" s="683"/>
      <c r="D20" s="80"/>
      <c r="E20" s="107"/>
      <c r="F20" s="80"/>
      <c r="G20" s="81"/>
      <c r="H20" s="80"/>
      <c r="I20" s="107"/>
      <c r="J20" s="80"/>
      <c r="K20" s="81"/>
      <c r="L20" s="80"/>
      <c r="M20" s="107"/>
      <c r="N20" s="80"/>
      <c r="O20" s="81"/>
      <c r="P20" s="80"/>
      <c r="Q20" s="107"/>
      <c r="R20" s="80"/>
      <c r="S20" s="81"/>
      <c r="T20" s="80"/>
      <c r="U20" s="107"/>
      <c r="V20" s="80"/>
      <c r="W20" s="81"/>
      <c r="X20" s="80"/>
      <c r="Y20" s="107"/>
      <c r="Z20" s="80"/>
      <c r="AA20" s="81"/>
      <c r="AB20" s="80"/>
      <c r="AC20" s="107"/>
      <c r="AD20" s="80"/>
      <c r="AE20" s="81"/>
      <c r="AF20" s="80"/>
      <c r="AG20" s="107"/>
      <c r="AH20" s="80"/>
      <c r="AI20" s="107"/>
      <c r="AJ20" s="80"/>
      <c r="AK20" s="107"/>
      <c r="AL20" s="80"/>
      <c r="AM20" s="81"/>
      <c r="AN20" s="80"/>
      <c r="AO20" s="107"/>
      <c r="AP20" s="80"/>
      <c r="AQ20" s="81"/>
    </row>
    <row r="21" spans="1:43" x14ac:dyDescent="0.2">
      <c r="B21" s="682">
        <f>'General Set-Up'!B17</f>
        <v>0</v>
      </c>
      <c r="C21" s="683"/>
      <c r="D21" s="80"/>
      <c r="E21" s="107"/>
      <c r="F21" s="80"/>
      <c r="G21" s="81"/>
      <c r="H21" s="80"/>
      <c r="I21" s="107"/>
      <c r="J21" s="80"/>
      <c r="K21" s="81"/>
      <c r="L21" s="80"/>
      <c r="M21" s="107"/>
      <c r="N21" s="80"/>
      <c r="O21" s="81"/>
      <c r="P21" s="80"/>
      <c r="Q21" s="107"/>
      <c r="R21" s="80"/>
      <c r="S21" s="81"/>
      <c r="T21" s="80"/>
      <c r="U21" s="107"/>
      <c r="V21" s="80"/>
      <c r="W21" s="81"/>
      <c r="X21" s="80"/>
      <c r="Y21" s="107"/>
      <c r="Z21" s="80"/>
      <c r="AA21" s="81"/>
      <c r="AB21" s="80"/>
      <c r="AC21" s="107"/>
      <c r="AD21" s="80"/>
      <c r="AE21" s="81"/>
      <c r="AF21" s="80"/>
      <c r="AG21" s="107"/>
      <c r="AH21" s="80"/>
      <c r="AI21" s="107"/>
      <c r="AJ21" s="80"/>
      <c r="AK21" s="107"/>
      <c r="AL21" s="80"/>
      <c r="AM21" s="81"/>
      <c r="AN21" s="80"/>
      <c r="AO21" s="107"/>
      <c r="AP21" s="80"/>
      <c r="AQ21" s="81"/>
    </row>
    <row r="22" spans="1:43" x14ac:dyDescent="0.2">
      <c r="B22" s="682">
        <f>'General Set-Up'!B18</f>
        <v>0</v>
      </c>
      <c r="C22" s="683"/>
      <c r="D22" s="80"/>
      <c r="E22" s="107"/>
      <c r="F22" s="80"/>
      <c r="G22" s="81"/>
      <c r="H22" s="80"/>
      <c r="I22" s="107"/>
      <c r="J22" s="80"/>
      <c r="K22" s="81"/>
      <c r="L22" s="80"/>
      <c r="M22" s="107"/>
      <c r="N22" s="80"/>
      <c r="O22" s="81"/>
      <c r="P22" s="80"/>
      <c r="Q22" s="107"/>
      <c r="R22" s="80"/>
      <c r="S22" s="81"/>
      <c r="T22" s="80"/>
      <c r="U22" s="107"/>
      <c r="V22" s="80"/>
      <c r="W22" s="81"/>
      <c r="X22" s="80"/>
      <c r="Y22" s="107"/>
      <c r="Z22" s="80"/>
      <c r="AA22" s="81"/>
      <c r="AB22" s="80"/>
      <c r="AC22" s="107"/>
      <c r="AD22" s="80"/>
      <c r="AE22" s="81"/>
      <c r="AF22" s="80"/>
      <c r="AG22" s="107"/>
      <c r="AH22" s="80"/>
      <c r="AI22" s="107"/>
      <c r="AJ22" s="80"/>
      <c r="AK22" s="107"/>
      <c r="AL22" s="80"/>
      <c r="AM22" s="81"/>
      <c r="AN22" s="80"/>
      <c r="AO22" s="107"/>
      <c r="AP22" s="80"/>
      <c r="AQ22" s="81"/>
    </row>
    <row r="23" spans="1:43" x14ac:dyDescent="0.2">
      <c r="B23" s="682">
        <f>'General Set-Up'!B19</f>
        <v>0</v>
      </c>
      <c r="C23" s="683"/>
      <c r="D23" s="80"/>
      <c r="E23" s="107"/>
      <c r="F23" s="80"/>
      <c r="G23" s="81"/>
      <c r="H23" s="80"/>
      <c r="I23" s="107"/>
      <c r="J23" s="80"/>
      <c r="K23" s="81"/>
      <c r="L23" s="80"/>
      <c r="M23" s="107"/>
      <c r="N23" s="80"/>
      <c r="O23" s="81"/>
      <c r="P23" s="80"/>
      <c r="Q23" s="107"/>
      <c r="R23" s="80"/>
      <c r="S23" s="81"/>
      <c r="T23" s="80"/>
      <c r="U23" s="107"/>
      <c r="V23" s="80"/>
      <c r="W23" s="81"/>
      <c r="X23" s="80"/>
      <c r="Y23" s="107"/>
      <c r="Z23" s="80"/>
      <c r="AA23" s="81"/>
      <c r="AB23" s="80"/>
      <c r="AC23" s="107"/>
      <c r="AD23" s="80"/>
      <c r="AE23" s="81"/>
      <c r="AF23" s="80"/>
      <c r="AG23" s="107"/>
      <c r="AH23" s="80"/>
      <c r="AI23" s="107"/>
      <c r="AJ23" s="80"/>
      <c r="AK23" s="107"/>
      <c r="AL23" s="80"/>
      <c r="AM23" s="81"/>
      <c r="AN23" s="80"/>
      <c r="AO23" s="107"/>
      <c r="AP23" s="80"/>
      <c r="AQ23" s="81"/>
    </row>
    <row r="24" spans="1:43" x14ac:dyDescent="0.2">
      <c r="B24" s="682">
        <f>'General Set-Up'!B20</f>
        <v>0</v>
      </c>
      <c r="C24" s="683"/>
      <c r="D24" s="80"/>
      <c r="E24" s="107"/>
      <c r="F24" s="80"/>
      <c r="G24" s="81"/>
      <c r="H24" s="80"/>
      <c r="I24" s="107"/>
      <c r="J24" s="80"/>
      <c r="K24" s="81"/>
      <c r="L24" s="80"/>
      <c r="M24" s="107"/>
      <c r="N24" s="80"/>
      <c r="O24" s="81"/>
      <c r="P24" s="80"/>
      <c r="Q24" s="107"/>
      <c r="R24" s="80"/>
      <c r="S24" s="81"/>
      <c r="T24" s="80"/>
      <c r="U24" s="107"/>
      <c r="V24" s="80"/>
      <c r="W24" s="81"/>
      <c r="X24" s="80"/>
      <c r="Y24" s="107"/>
      <c r="Z24" s="80"/>
      <c r="AA24" s="81"/>
      <c r="AB24" s="80"/>
      <c r="AC24" s="107"/>
      <c r="AD24" s="80"/>
      <c r="AE24" s="81"/>
      <c r="AF24" s="80"/>
      <c r="AG24" s="107"/>
      <c r="AH24" s="80"/>
      <c r="AI24" s="107"/>
      <c r="AJ24" s="80"/>
      <c r="AK24" s="107"/>
      <c r="AL24" s="80"/>
      <c r="AM24" s="81"/>
      <c r="AN24" s="80"/>
      <c r="AO24" s="107"/>
      <c r="AP24" s="80"/>
      <c r="AQ24" s="81"/>
    </row>
    <row r="25" spans="1:43" x14ac:dyDescent="0.2">
      <c r="B25" s="682">
        <f>'General Set-Up'!B21</f>
        <v>0</v>
      </c>
      <c r="C25" s="683"/>
      <c r="D25" s="80"/>
      <c r="E25" s="107"/>
      <c r="F25" s="80"/>
      <c r="G25" s="81"/>
      <c r="H25" s="80"/>
      <c r="I25" s="107"/>
      <c r="J25" s="80"/>
      <c r="K25" s="81"/>
      <c r="L25" s="80"/>
      <c r="M25" s="107"/>
      <c r="N25" s="80"/>
      <c r="O25" s="81"/>
      <c r="P25" s="80"/>
      <c r="Q25" s="107"/>
      <c r="R25" s="80"/>
      <c r="S25" s="81"/>
      <c r="T25" s="80"/>
      <c r="U25" s="107"/>
      <c r="V25" s="80"/>
      <c r="W25" s="81"/>
      <c r="X25" s="80"/>
      <c r="Y25" s="107"/>
      <c r="Z25" s="80"/>
      <c r="AA25" s="81"/>
      <c r="AB25" s="80"/>
      <c r="AC25" s="107"/>
      <c r="AD25" s="80"/>
      <c r="AE25" s="81"/>
      <c r="AF25" s="80"/>
      <c r="AG25" s="107"/>
      <c r="AH25" s="80"/>
      <c r="AI25" s="107"/>
      <c r="AJ25" s="80"/>
      <c r="AK25" s="107"/>
      <c r="AL25" s="80"/>
      <c r="AM25" s="81"/>
      <c r="AN25" s="80"/>
      <c r="AO25" s="107"/>
      <c r="AP25" s="80"/>
      <c r="AQ25" s="81"/>
    </row>
    <row r="26" spans="1:43" ht="13.5" thickBot="1" x14ac:dyDescent="0.25">
      <c r="B26" s="702">
        <f>'General Set-Up'!B22</f>
        <v>0</v>
      </c>
      <c r="C26" s="703"/>
      <c r="D26" s="82"/>
      <c r="E26" s="108"/>
      <c r="F26" s="82"/>
      <c r="G26" s="83"/>
      <c r="H26" s="82"/>
      <c r="I26" s="108"/>
      <c r="J26" s="82"/>
      <c r="K26" s="83"/>
      <c r="L26" s="82"/>
      <c r="M26" s="108"/>
      <c r="N26" s="82"/>
      <c r="O26" s="83"/>
      <c r="P26" s="82"/>
      <c r="Q26" s="108"/>
      <c r="R26" s="82"/>
      <c r="S26" s="83"/>
      <c r="T26" s="82"/>
      <c r="U26" s="108"/>
      <c r="V26" s="82"/>
      <c r="W26" s="83"/>
      <c r="X26" s="82"/>
      <c r="Y26" s="108"/>
      <c r="Z26" s="82"/>
      <c r="AA26" s="83"/>
      <c r="AB26" s="82"/>
      <c r="AC26" s="108"/>
      <c r="AD26" s="82"/>
      <c r="AE26" s="83"/>
      <c r="AF26" s="82"/>
      <c r="AG26" s="108"/>
      <c r="AH26" s="82"/>
      <c r="AI26" s="108"/>
      <c r="AJ26" s="82"/>
      <c r="AK26" s="108"/>
      <c r="AL26" s="82"/>
      <c r="AM26" s="83"/>
      <c r="AN26" s="82"/>
      <c r="AO26" s="108"/>
      <c r="AP26" s="82"/>
      <c r="AQ26" s="83"/>
    </row>
    <row r="27" spans="1:43" ht="166.5" customHeight="1" thickBot="1" x14ac:dyDescent="0.25">
      <c r="A27" s="34" t="s">
        <v>403</v>
      </c>
      <c r="B27" s="695" t="s">
        <v>619</v>
      </c>
      <c r="C27" s="696"/>
      <c r="D27" s="744"/>
      <c r="E27" s="738"/>
      <c r="F27" s="738"/>
      <c r="G27" s="739"/>
      <c r="H27" s="737"/>
      <c r="I27" s="738"/>
      <c r="J27" s="738"/>
      <c r="K27" s="739"/>
      <c r="L27" s="737"/>
      <c r="M27" s="738"/>
      <c r="N27" s="738"/>
      <c r="O27" s="739"/>
      <c r="P27" s="737"/>
      <c r="Q27" s="738"/>
      <c r="R27" s="738"/>
      <c r="S27" s="739"/>
      <c r="T27" s="737"/>
      <c r="U27" s="738"/>
      <c r="V27" s="738"/>
      <c r="W27" s="739"/>
      <c r="X27" s="737"/>
      <c r="Y27" s="738"/>
      <c r="Z27" s="738"/>
      <c r="AA27" s="739"/>
      <c r="AB27" s="737"/>
      <c r="AC27" s="738"/>
      <c r="AD27" s="738"/>
      <c r="AE27" s="739"/>
      <c r="AF27" s="737"/>
      <c r="AG27" s="738"/>
      <c r="AH27" s="738"/>
      <c r="AI27" s="739"/>
      <c r="AJ27" s="737"/>
      <c r="AK27" s="738"/>
      <c r="AL27" s="738"/>
      <c r="AM27" s="739"/>
      <c r="AN27" s="737"/>
      <c r="AO27" s="738"/>
      <c r="AP27" s="738"/>
      <c r="AQ27" s="739"/>
    </row>
    <row r="28" spans="1:43" ht="62.25" customHeight="1" thickBot="1" x14ac:dyDescent="0.25">
      <c r="B28" s="695" t="s">
        <v>618</v>
      </c>
      <c r="C28" s="696"/>
      <c r="D28" s="737"/>
      <c r="E28" s="738"/>
      <c r="F28" s="738"/>
      <c r="G28" s="739"/>
      <c r="H28" s="737"/>
      <c r="I28" s="738"/>
      <c r="J28" s="738"/>
      <c r="K28" s="739"/>
      <c r="L28" s="737"/>
      <c r="M28" s="738"/>
      <c r="N28" s="738"/>
      <c r="O28" s="739"/>
      <c r="P28" s="737"/>
      <c r="Q28" s="738"/>
      <c r="R28" s="738"/>
      <c r="S28" s="739"/>
      <c r="T28" s="737"/>
      <c r="U28" s="738"/>
      <c r="V28" s="738"/>
      <c r="W28" s="739"/>
      <c r="X28" s="737"/>
      <c r="Y28" s="738"/>
      <c r="Z28" s="738"/>
      <c r="AA28" s="739"/>
      <c r="AB28" s="737"/>
      <c r="AC28" s="738"/>
      <c r="AD28" s="738"/>
      <c r="AE28" s="739"/>
      <c r="AF28" s="737"/>
      <c r="AG28" s="738"/>
      <c r="AH28" s="738"/>
      <c r="AI28" s="739"/>
      <c r="AJ28" s="737"/>
      <c r="AK28" s="738"/>
      <c r="AL28" s="738"/>
      <c r="AM28" s="739"/>
      <c r="AN28" s="737"/>
      <c r="AO28" s="738"/>
      <c r="AP28" s="738"/>
      <c r="AQ28" s="739"/>
    </row>
  </sheetData>
  <sheetProtection password="C560" sheet="1" objects="1" scenarios="1" formatCells="0" formatColumns="0" formatRows="0" sort="0" autoFilter="0"/>
  <protectedRanges>
    <protectedRange sqref="D11:AQ27 D6:AQ9" name="pkg"/>
  </protectedRanges>
  <mergeCells count="72">
    <mergeCell ref="AN6:AQ6"/>
    <mergeCell ref="AN7:AQ7"/>
    <mergeCell ref="AN8:AQ9"/>
    <mergeCell ref="AN27:AQ27"/>
    <mergeCell ref="AJ6:AM6"/>
    <mergeCell ref="AJ7:AM7"/>
    <mergeCell ref="AJ8:AM9"/>
    <mergeCell ref="AJ27:AM27"/>
    <mergeCell ref="AF6:AI6"/>
    <mergeCell ref="AF7:AI7"/>
    <mergeCell ref="AF8:AI9"/>
    <mergeCell ref="AF27:AI27"/>
    <mergeCell ref="AB6:AE6"/>
    <mergeCell ref="AB7:AE7"/>
    <mergeCell ref="AB8:AE9"/>
    <mergeCell ref="AB27:AE27"/>
    <mergeCell ref="X6:AA6"/>
    <mergeCell ref="X7:AA7"/>
    <mergeCell ref="X8:AA9"/>
    <mergeCell ref="X27:AA27"/>
    <mergeCell ref="T6:W6"/>
    <mergeCell ref="T7:W7"/>
    <mergeCell ref="T8:W9"/>
    <mergeCell ref="T27:W27"/>
    <mergeCell ref="P27:S27"/>
    <mergeCell ref="L6:O6"/>
    <mergeCell ref="L7:O7"/>
    <mergeCell ref="L8:O9"/>
    <mergeCell ref="L27:O27"/>
    <mergeCell ref="B23:C23"/>
    <mergeCell ref="B24:C24"/>
    <mergeCell ref="B25:C25"/>
    <mergeCell ref="P6:S6"/>
    <mergeCell ref="P7:S7"/>
    <mergeCell ref="P8:S9"/>
    <mergeCell ref="B7:C7"/>
    <mergeCell ref="B6:C6"/>
    <mergeCell ref="D6:G6"/>
    <mergeCell ref="D7:G7"/>
    <mergeCell ref="D8:G9"/>
    <mergeCell ref="B8:C9"/>
    <mergeCell ref="D27:G27"/>
    <mergeCell ref="H6:K6"/>
    <mergeCell ref="H7:K7"/>
    <mergeCell ref="H8:K9"/>
    <mergeCell ref="H27:K27"/>
    <mergeCell ref="B28:C28"/>
    <mergeCell ref="B15:C15"/>
    <mergeCell ref="B10:C10"/>
    <mergeCell ref="B11:C11"/>
    <mergeCell ref="B12:C12"/>
    <mergeCell ref="B13:C13"/>
    <mergeCell ref="B14:C14"/>
    <mergeCell ref="B26:C26"/>
    <mergeCell ref="B16:C16"/>
    <mergeCell ref="B17:C17"/>
    <mergeCell ref="B18:C18"/>
    <mergeCell ref="B19:C19"/>
    <mergeCell ref="B20:C20"/>
    <mergeCell ref="B21:C21"/>
    <mergeCell ref="B27:C27"/>
    <mergeCell ref="B22:C22"/>
    <mergeCell ref="X28:AA28"/>
    <mergeCell ref="AB28:AE28"/>
    <mergeCell ref="AF28:AI28"/>
    <mergeCell ref="AJ28:AM28"/>
    <mergeCell ref="AN28:AQ28"/>
    <mergeCell ref="D28:G28"/>
    <mergeCell ref="H28:K28"/>
    <mergeCell ref="L28:O28"/>
    <mergeCell ref="P28:S28"/>
    <mergeCell ref="T28:W28"/>
  </mergeCells>
  <phoneticPr fontId="47" type="noConversion"/>
  <conditionalFormatting sqref="B11:B26">
    <cfRule type="containsText" dxfId="1" priority="1" operator="containsText" text="0">
      <formula>NOT(ISERROR(SEARCH("0",B11)))</formula>
    </cfRule>
  </conditionalFormatting>
  <dataValidations xWindow="13" yWindow="243" count="1">
    <dataValidation allowBlank="1" showInputMessage="1" showErrorMessage="1" promptTitle="Package Name" prompt="Select a Package Name from the list provided on the Instructions Sheet. Customizing package name is limited. Use the Package details section below to enter a custom name/description and the request will be accomodated as systems permit." sqref="D6:AQ6"/>
  </dataValidations>
  <hyperlinks>
    <hyperlink ref="E3" r:id="rId1"/>
  </hyperlinks>
  <pageMargins left="0.7" right="0.7" top="0.75" bottom="0.75" header="0.3" footer="0.3"/>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ata"/>
  <dimension ref="A1:EB467"/>
  <sheetViews>
    <sheetView workbookViewId="0"/>
  </sheetViews>
  <sheetFormatPr defaultRowHeight="12.75" x14ac:dyDescent="0.2"/>
  <cols>
    <col min="1" max="1" width="17.7109375" customWidth="1"/>
    <col min="2" max="2" width="25.7109375" customWidth="1"/>
    <col min="7" max="10" width="19.42578125" customWidth="1"/>
    <col min="11" max="11" width="12.42578125" customWidth="1"/>
    <col min="12" max="12" width="12.140625" customWidth="1"/>
  </cols>
  <sheetData>
    <row r="1" spans="1:5" x14ac:dyDescent="0.2">
      <c r="A1" s="206" t="str">
        <f>E6</f>
        <v>Fairfield by Marriott Nanning Nan Hu Park</v>
      </c>
      <c r="B1" s="35" t="s">
        <v>505</v>
      </c>
    </row>
    <row r="2" spans="1:5" x14ac:dyDescent="0.2">
      <c r="A2" s="75" t="s">
        <v>468</v>
      </c>
      <c r="B2" s="61"/>
      <c r="C2" s="61"/>
      <c r="D2" s="61"/>
      <c r="E2">
        <f>Welcome!F5</f>
        <v>0</v>
      </c>
    </row>
    <row r="3" spans="1:5" x14ac:dyDescent="0.2">
      <c r="A3" s="61"/>
      <c r="B3" s="61"/>
      <c r="C3" s="61"/>
      <c r="D3" s="61"/>
    </row>
    <row r="4" spans="1:5" x14ac:dyDescent="0.2">
      <c r="A4" s="75" t="s">
        <v>469</v>
      </c>
      <c r="B4" s="61"/>
      <c r="C4" s="61"/>
      <c r="D4" s="61"/>
      <c r="E4">
        <f>Welcome!F7</f>
        <v>0</v>
      </c>
    </row>
    <row r="5" spans="1:5" x14ac:dyDescent="0.2">
      <c r="A5" s="61"/>
      <c r="B5" s="61"/>
      <c r="C5" s="61"/>
      <c r="D5" s="61"/>
    </row>
    <row r="6" spans="1:5" x14ac:dyDescent="0.2">
      <c r="A6" s="75" t="s">
        <v>470</v>
      </c>
      <c r="B6" s="61"/>
      <c r="C6" s="61"/>
      <c r="D6" s="61"/>
      <c r="E6" t="str">
        <f>Welcome!F9</f>
        <v>Fairfield by Marriott Nanning Nan Hu Park</v>
      </c>
    </row>
    <row r="7" spans="1:5" x14ac:dyDescent="0.2">
      <c r="A7" s="61"/>
      <c r="B7" s="61"/>
      <c r="C7" s="61"/>
      <c r="D7" s="61"/>
    </row>
    <row r="8" spans="1:5" x14ac:dyDescent="0.2">
      <c r="A8" s="75" t="s">
        <v>471</v>
      </c>
      <c r="B8" s="61"/>
      <c r="C8" s="61"/>
      <c r="D8" s="61"/>
      <c r="E8" t="str">
        <f>Welcome!F11</f>
        <v>NNGFI</v>
      </c>
    </row>
    <row r="9" spans="1:5" x14ac:dyDescent="0.2">
      <c r="A9" s="61"/>
      <c r="B9" s="61"/>
      <c r="C9" s="61"/>
      <c r="D9" s="61"/>
    </row>
    <row r="10" spans="1:5" x14ac:dyDescent="0.2">
      <c r="A10" s="146" t="s">
        <v>475</v>
      </c>
      <c r="B10" s="61"/>
      <c r="C10" s="61"/>
      <c r="D10" s="61"/>
      <c r="E10" t="str">
        <f>Welcome!F13</f>
        <v>Fairfield Inn</v>
      </c>
    </row>
    <row r="11" spans="1:5" x14ac:dyDescent="0.2">
      <c r="A11" s="61"/>
      <c r="B11" s="61"/>
      <c r="C11" s="61"/>
      <c r="D11" s="61"/>
    </row>
    <row r="12" spans="1:5" x14ac:dyDescent="0.2">
      <c r="A12" s="61"/>
      <c r="B12" s="61"/>
      <c r="C12" s="61"/>
      <c r="D12" s="61"/>
    </row>
    <row r="13" spans="1:5" x14ac:dyDescent="0.2">
      <c r="A13" s="75" t="s">
        <v>486</v>
      </c>
      <c r="B13" s="61"/>
      <c r="C13" s="61"/>
      <c r="D13" s="61"/>
      <c r="E13" t="str">
        <f>Welcome!F16</f>
        <v>AP</v>
      </c>
    </row>
    <row r="14" spans="1:5" x14ac:dyDescent="0.2">
      <c r="A14" s="75" t="s">
        <v>601</v>
      </c>
      <c r="B14" s="61"/>
      <c r="C14" s="61"/>
      <c r="D14" s="61"/>
      <c r="E14" t="str">
        <f>Welcome!F18</f>
        <v>Maybe</v>
      </c>
    </row>
    <row r="15" spans="1:5" x14ac:dyDescent="0.2">
      <c r="A15" s="61"/>
      <c r="B15" s="61"/>
      <c r="C15" s="61"/>
      <c r="D15" s="61"/>
    </row>
    <row r="16" spans="1:5" x14ac:dyDescent="0.2">
      <c r="A16" s="75" t="s">
        <v>472</v>
      </c>
      <c r="B16" s="61"/>
      <c r="C16" s="75" t="s">
        <v>504</v>
      </c>
      <c r="D16" s="61"/>
      <c r="E16" t="str">
        <f>Welcome!F20</f>
        <v>Perry Gao / GM</v>
      </c>
    </row>
    <row r="17" spans="1:7" x14ac:dyDescent="0.2">
      <c r="A17" s="61"/>
      <c r="B17" s="61"/>
      <c r="C17" s="61"/>
      <c r="D17" s="61"/>
    </row>
    <row r="18" spans="1:7" x14ac:dyDescent="0.2">
      <c r="A18" s="61"/>
      <c r="B18" s="61"/>
      <c r="C18" s="75" t="s">
        <v>473</v>
      </c>
      <c r="D18" s="61"/>
      <c r="E18" t="str">
        <f>Welcome!F22</f>
        <v>86 15659162386</v>
      </c>
    </row>
    <row r="19" spans="1:7" x14ac:dyDescent="0.2">
      <c r="A19" s="61"/>
      <c r="B19" s="61"/>
      <c r="C19" s="61"/>
      <c r="D19" s="61"/>
    </row>
    <row r="20" spans="1:7" x14ac:dyDescent="0.2">
      <c r="A20" s="61"/>
      <c r="B20" s="61"/>
      <c r="C20" s="75" t="s">
        <v>474</v>
      </c>
      <c r="D20" s="61"/>
      <c r="E20" t="str">
        <f>Welcome!F24</f>
        <v>perrygao@ccinn.cn</v>
      </c>
    </row>
    <row r="23" spans="1:7" x14ac:dyDescent="0.2">
      <c r="A23" t="s">
        <v>492</v>
      </c>
    </row>
    <row r="24" spans="1:7" x14ac:dyDescent="0.2">
      <c r="A24" t="s">
        <v>16</v>
      </c>
      <c r="B24">
        <f>'General Set-Up'!D4</f>
        <v>209</v>
      </c>
    </row>
    <row r="25" spans="1:7" ht="12.75" customHeight="1" x14ac:dyDescent="0.2">
      <c r="A25" s="475" t="s">
        <v>4</v>
      </c>
      <c r="B25" s="475" t="s">
        <v>5</v>
      </c>
      <c r="C25" s="475" t="s">
        <v>6</v>
      </c>
      <c r="D25" s="475" t="s">
        <v>39</v>
      </c>
      <c r="E25" s="475" t="s">
        <v>7</v>
      </c>
      <c r="F25" s="475" t="s">
        <v>8</v>
      </c>
      <c r="G25" s="475" t="s">
        <v>614</v>
      </c>
    </row>
    <row r="26" spans="1:7" x14ac:dyDescent="0.2">
      <c r="A26" s="172" t="str">
        <f>'General Set-Up'!B7</f>
        <v>KING</v>
      </c>
      <c r="B26" s="172">
        <f>'General Set-Up'!C7</f>
        <v>110</v>
      </c>
      <c r="C26" s="172">
        <f>'General Set-Up'!D7</f>
        <v>3</v>
      </c>
      <c r="D26" s="172" t="str">
        <f>'General Set-Up'!E7</f>
        <v>Standard</v>
      </c>
      <c r="E26" s="172" t="str">
        <f>'General Set-Up'!F7</f>
        <v>Deluxe Room</v>
      </c>
      <c r="F26" s="172" t="str">
        <f>'General Set-Up'!G7</f>
        <v>King Bed</v>
      </c>
      <c r="G26" s="172" t="str">
        <f>'General Set-Up'!$H7</f>
        <v>Standard Redemption</v>
      </c>
    </row>
    <row r="27" spans="1:7" x14ac:dyDescent="0.2">
      <c r="A27" s="172" t="str">
        <f>'General Set-Up'!B8</f>
        <v>DBDB</v>
      </c>
      <c r="B27" s="172">
        <f>'General Set-Up'!C8</f>
        <v>41</v>
      </c>
      <c r="C27" s="172">
        <f>'General Set-Up'!D8</f>
        <v>3</v>
      </c>
      <c r="D27" s="172" t="str">
        <f>'General Set-Up'!E8</f>
        <v>Standard</v>
      </c>
      <c r="E27" s="172" t="str">
        <f>'General Set-Up'!F8</f>
        <v>Deluxe Room</v>
      </c>
      <c r="F27" s="172" t="str">
        <f>'General Set-Up'!G8</f>
        <v>Double Bed</v>
      </c>
      <c r="G27" s="172" t="str">
        <f>'General Set-Up'!$H8</f>
        <v>Standard Redemption</v>
      </c>
    </row>
    <row r="28" spans="1:7" x14ac:dyDescent="0.2">
      <c r="A28" s="172" t="str">
        <f>'General Set-Up'!B9</f>
        <v>PMRS</v>
      </c>
      <c r="B28" s="172">
        <f>'General Set-Up'!C9</f>
        <v>18</v>
      </c>
      <c r="C28" s="172">
        <f>'General Set-Up'!D9</f>
        <v>3</v>
      </c>
      <c r="D28" s="172" t="str">
        <f>'General Set-Up'!E9</f>
        <v>Standard</v>
      </c>
      <c r="E28" s="172" t="str">
        <f>'General Set-Up'!F9</f>
        <v>Business Room</v>
      </c>
      <c r="F28" s="172" t="str">
        <f>'General Set-Up'!G9</f>
        <v>Double Bed</v>
      </c>
      <c r="G28" s="172" t="str">
        <f>'General Set-Up'!$H9</f>
        <v>Standard Redemption</v>
      </c>
    </row>
    <row r="29" spans="1:7" x14ac:dyDescent="0.2">
      <c r="A29" s="172" t="str">
        <f>'General Set-Up'!B10</f>
        <v>PMRS</v>
      </c>
      <c r="B29" s="172">
        <f>'General Set-Up'!C10</f>
        <v>40</v>
      </c>
      <c r="C29" s="172">
        <f>'General Set-Up'!D10</f>
        <v>3</v>
      </c>
      <c r="D29" s="172" t="str">
        <f>'General Set-Up'!E10</f>
        <v>Standard</v>
      </c>
      <c r="E29" s="172" t="str">
        <f>'General Set-Up'!F10</f>
        <v>Business Room</v>
      </c>
      <c r="F29" s="172" t="str">
        <f>'General Set-Up'!G10</f>
        <v>King Bed</v>
      </c>
      <c r="G29" s="172" t="str">
        <f>'General Set-Up'!$H10</f>
        <v>Standard Redemption</v>
      </c>
    </row>
    <row r="30" spans="1:7" x14ac:dyDescent="0.2">
      <c r="A30" s="172">
        <f>'General Set-Up'!B11</f>
        <v>0</v>
      </c>
      <c r="B30" s="172">
        <f>'General Set-Up'!C11</f>
        <v>0</v>
      </c>
      <c r="C30" s="172">
        <f>'General Set-Up'!D11</f>
        <v>0</v>
      </c>
      <c r="D30" s="172">
        <f>'General Set-Up'!E11</f>
        <v>0</v>
      </c>
      <c r="E30" s="172">
        <f>'General Set-Up'!F11</f>
        <v>0</v>
      </c>
      <c r="F30" s="172">
        <f>'General Set-Up'!G11</f>
        <v>0</v>
      </c>
      <c r="G30" s="172">
        <f>'General Set-Up'!$H11</f>
        <v>0</v>
      </c>
    </row>
    <row r="31" spans="1:7" x14ac:dyDescent="0.2">
      <c r="A31" s="172">
        <f>'General Set-Up'!B12</f>
        <v>0</v>
      </c>
      <c r="B31" s="172">
        <f>'General Set-Up'!C12</f>
        <v>0</v>
      </c>
      <c r="C31" s="172">
        <f>'General Set-Up'!D12</f>
        <v>0</v>
      </c>
      <c r="D31" s="172">
        <f>'General Set-Up'!E12</f>
        <v>0</v>
      </c>
      <c r="E31" s="172">
        <f>'General Set-Up'!F12</f>
        <v>0</v>
      </c>
      <c r="F31" s="172">
        <f>'General Set-Up'!G12</f>
        <v>0</v>
      </c>
      <c r="G31" s="172">
        <f>'General Set-Up'!$H12</f>
        <v>0</v>
      </c>
    </row>
    <row r="32" spans="1:7" x14ac:dyDescent="0.2">
      <c r="A32" s="172">
        <f>'General Set-Up'!B13</f>
        <v>0</v>
      </c>
      <c r="B32" s="172">
        <f>'General Set-Up'!C13</f>
        <v>0</v>
      </c>
      <c r="C32" s="172">
        <f>'General Set-Up'!D13</f>
        <v>0</v>
      </c>
      <c r="D32" s="172">
        <f>'General Set-Up'!E13</f>
        <v>0</v>
      </c>
      <c r="E32" s="172">
        <f>'General Set-Up'!F13</f>
        <v>0</v>
      </c>
      <c r="F32" s="172">
        <f>'General Set-Up'!G13</f>
        <v>0</v>
      </c>
      <c r="G32" s="172">
        <f>'General Set-Up'!$H13</f>
        <v>0</v>
      </c>
    </row>
    <row r="33" spans="1:7" x14ac:dyDescent="0.2">
      <c r="A33" s="172">
        <f>'General Set-Up'!B14</f>
        <v>0</v>
      </c>
      <c r="B33" s="172">
        <f>'General Set-Up'!C14</f>
        <v>0</v>
      </c>
      <c r="C33" s="172">
        <f>'General Set-Up'!D14</f>
        <v>0</v>
      </c>
      <c r="D33" s="172">
        <f>'General Set-Up'!E14</f>
        <v>0</v>
      </c>
      <c r="E33" s="172">
        <f>'General Set-Up'!F14</f>
        <v>0</v>
      </c>
      <c r="F33" s="172">
        <f>'General Set-Up'!G14</f>
        <v>0</v>
      </c>
      <c r="G33" s="172">
        <f>'General Set-Up'!$H14</f>
        <v>0</v>
      </c>
    </row>
    <row r="34" spans="1:7" x14ac:dyDescent="0.2">
      <c r="A34" s="172">
        <f>'General Set-Up'!B15</f>
        <v>0</v>
      </c>
      <c r="B34" s="172">
        <f>'General Set-Up'!C15</f>
        <v>0</v>
      </c>
      <c r="C34" s="172">
        <f>'General Set-Up'!D15</f>
        <v>0</v>
      </c>
      <c r="D34" s="172">
        <f>'General Set-Up'!E15</f>
        <v>0</v>
      </c>
      <c r="E34" s="172">
        <f>'General Set-Up'!F15</f>
        <v>0</v>
      </c>
      <c r="F34" s="172">
        <f>'General Set-Up'!G15</f>
        <v>0</v>
      </c>
      <c r="G34" s="172">
        <f>'General Set-Up'!$H15</f>
        <v>0</v>
      </c>
    </row>
    <row r="35" spans="1:7" x14ac:dyDescent="0.2">
      <c r="A35" s="172">
        <f>'General Set-Up'!B16</f>
        <v>0</v>
      </c>
      <c r="B35" s="172">
        <f>'General Set-Up'!C16</f>
        <v>0</v>
      </c>
      <c r="C35" s="172">
        <f>'General Set-Up'!D16</f>
        <v>0</v>
      </c>
      <c r="D35" s="172">
        <f>'General Set-Up'!E16</f>
        <v>0</v>
      </c>
      <c r="E35" s="172">
        <f>'General Set-Up'!F16</f>
        <v>0</v>
      </c>
      <c r="F35" s="172">
        <f>'General Set-Up'!G16</f>
        <v>0</v>
      </c>
      <c r="G35" s="172">
        <f>'General Set-Up'!$H16</f>
        <v>0</v>
      </c>
    </row>
    <row r="36" spans="1:7" x14ac:dyDescent="0.2">
      <c r="A36" s="172">
        <f>'General Set-Up'!B17</f>
        <v>0</v>
      </c>
      <c r="B36" s="172">
        <f>'General Set-Up'!C17</f>
        <v>0</v>
      </c>
      <c r="C36" s="172">
        <f>'General Set-Up'!D17</f>
        <v>0</v>
      </c>
      <c r="D36" s="172">
        <f>'General Set-Up'!E17</f>
        <v>0</v>
      </c>
      <c r="E36" s="172">
        <f>'General Set-Up'!F17</f>
        <v>0</v>
      </c>
      <c r="F36" s="172">
        <f>'General Set-Up'!G17</f>
        <v>0</v>
      </c>
      <c r="G36" s="172">
        <f>'General Set-Up'!$H17</f>
        <v>0</v>
      </c>
    </row>
    <row r="37" spans="1:7" x14ac:dyDescent="0.2">
      <c r="A37" s="172">
        <f>'General Set-Up'!B18</f>
        <v>0</v>
      </c>
      <c r="B37" s="172">
        <f>'General Set-Up'!C18</f>
        <v>0</v>
      </c>
      <c r="C37" s="172">
        <f>'General Set-Up'!D18</f>
        <v>0</v>
      </c>
      <c r="D37" s="172">
        <f>'General Set-Up'!E18</f>
        <v>0</v>
      </c>
      <c r="E37" s="172">
        <f>'General Set-Up'!F18</f>
        <v>0</v>
      </c>
      <c r="F37" s="172">
        <f>'General Set-Up'!G18</f>
        <v>0</v>
      </c>
      <c r="G37" s="172">
        <f>'General Set-Up'!$H18</f>
        <v>0</v>
      </c>
    </row>
    <row r="38" spans="1:7" x14ac:dyDescent="0.2">
      <c r="A38" s="172">
        <f>'General Set-Up'!B19</f>
        <v>0</v>
      </c>
      <c r="B38" s="172">
        <f>'General Set-Up'!C19</f>
        <v>0</v>
      </c>
      <c r="C38" s="172">
        <f>'General Set-Up'!D19</f>
        <v>0</v>
      </c>
      <c r="D38" s="172">
        <f>'General Set-Up'!E19</f>
        <v>0</v>
      </c>
      <c r="E38" s="172">
        <f>'General Set-Up'!F19</f>
        <v>0</v>
      </c>
      <c r="F38" s="172">
        <f>'General Set-Up'!G19</f>
        <v>0</v>
      </c>
      <c r="G38" s="172">
        <f>'General Set-Up'!$H19</f>
        <v>0</v>
      </c>
    </row>
    <row r="39" spans="1:7" x14ac:dyDescent="0.2">
      <c r="A39" s="172">
        <f>'General Set-Up'!B20</f>
        <v>0</v>
      </c>
      <c r="B39" s="172">
        <f>'General Set-Up'!C20</f>
        <v>0</v>
      </c>
      <c r="C39" s="172">
        <f>'General Set-Up'!D20</f>
        <v>0</v>
      </c>
      <c r="D39" s="172">
        <f>'General Set-Up'!E20</f>
        <v>0</v>
      </c>
      <c r="E39" s="172">
        <f>'General Set-Up'!F20</f>
        <v>0</v>
      </c>
      <c r="F39" s="172">
        <f>'General Set-Up'!G20</f>
        <v>0</v>
      </c>
      <c r="G39" s="172">
        <f>'General Set-Up'!$H20</f>
        <v>0</v>
      </c>
    </row>
    <row r="40" spans="1:7" x14ac:dyDescent="0.2">
      <c r="A40" s="172">
        <f>'General Set-Up'!B21</f>
        <v>0</v>
      </c>
      <c r="B40" s="172">
        <f>'General Set-Up'!C21</f>
        <v>0</v>
      </c>
      <c r="C40" s="172">
        <f>'General Set-Up'!D21</f>
        <v>0</v>
      </c>
      <c r="D40" s="172">
        <f>'General Set-Up'!E21</f>
        <v>0</v>
      </c>
      <c r="E40" s="172">
        <f>'General Set-Up'!F21</f>
        <v>0</v>
      </c>
      <c r="F40" s="172">
        <f>'General Set-Up'!G21</f>
        <v>0</v>
      </c>
      <c r="G40" s="172">
        <f>'General Set-Up'!$H21</f>
        <v>0</v>
      </c>
    </row>
    <row r="41" spans="1:7" x14ac:dyDescent="0.2">
      <c r="A41" s="172">
        <f>'General Set-Up'!B22</f>
        <v>0</v>
      </c>
      <c r="B41" s="172">
        <f>'General Set-Up'!C22</f>
        <v>0</v>
      </c>
      <c r="C41" s="172">
        <f>'General Set-Up'!D22</f>
        <v>0</v>
      </c>
      <c r="D41" s="172">
        <f>'General Set-Up'!E22</f>
        <v>0</v>
      </c>
      <c r="E41" s="172">
        <f>'General Set-Up'!F22</f>
        <v>0</v>
      </c>
      <c r="F41" s="172">
        <f>'General Set-Up'!G22</f>
        <v>0</v>
      </c>
      <c r="G41" s="172">
        <f>'General Set-Up'!$H22</f>
        <v>0</v>
      </c>
    </row>
    <row r="43" spans="1:7" ht="13.5" thickBot="1" x14ac:dyDescent="0.25"/>
    <row r="44" spans="1:7" x14ac:dyDescent="0.2">
      <c r="A44" s="195" t="s">
        <v>493</v>
      </c>
      <c r="B44" s="196"/>
      <c r="C44" s="197"/>
    </row>
    <row r="45" spans="1:7" x14ac:dyDescent="0.2">
      <c r="A45" s="198">
        <f>'General Set-Up'!C29</f>
        <v>2017</v>
      </c>
      <c r="B45" s="172">
        <f>'General Set-Up'!D29</f>
        <v>2018</v>
      </c>
      <c r="C45" s="173">
        <f>'General Set-Up'!E29</f>
        <v>2019</v>
      </c>
    </row>
    <row r="46" spans="1:7" x14ac:dyDescent="0.2">
      <c r="A46" s="199" t="str">
        <f>'General Set-Up'!C30</f>
        <v>Date 1</v>
      </c>
      <c r="B46" s="194" t="str">
        <f>'General Set-Up'!D30</f>
        <v>Date 1</v>
      </c>
      <c r="C46" s="200" t="str">
        <f>'General Set-Up'!E30</f>
        <v>Date 1</v>
      </c>
    </row>
    <row r="47" spans="1:7" x14ac:dyDescent="0.2">
      <c r="A47" s="199" t="str">
        <f>'General Set-Up'!C31</f>
        <v>Date 2</v>
      </c>
      <c r="B47" s="194" t="str">
        <f>'General Set-Up'!D31</f>
        <v>Date 2</v>
      </c>
      <c r="C47" s="200" t="str">
        <f>'General Set-Up'!E31</f>
        <v>Date 2</v>
      </c>
    </row>
    <row r="48" spans="1:7" x14ac:dyDescent="0.2">
      <c r="A48" s="199" t="str">
        <f>'General Set-Up'!C32</f>
        <v>Date 3</v>
      </c>
      <c r="B48" s="194" t="str">
        <f>'General Set-Up'!D32</f>
        <v>Date 3</v>
      </c>
      <c r="C48" s="200" t="str">
        <f>'General Set-Up'!E32</f>
        <v>Date 3</v>
      </c>
    </row>
    <row r="49" spans="1:3" x14ac:dyDescent="0.2">
      <c r="A49" s="199" t="str">
        <f>'General Set-Up'!C33</f>
        <v>Date 4</v>
      </c>
      <c r="B49" s="194" t="str">
        <f>'General Set-Up'!D33</f>
        <v>Date 4</v>
      </c>
      <c r="C49" s="200" t="str">
        <f>'General Set-Up'!E33</f>
        <v>Date 4</v>
      </c>
    </row>
    <row r="50" spans="1:3" x14ac:dyDescent="0.2">
      <c r="A50" s="199" t="str">
        <f>'General Set-Up'!C34</f>
        <v>Date 5</v>
      </c>
      <c r="B50" s="194" t="str">
        <f>'General Set-Up'!D34</f>
        <v>Date 5</v>
      </c>
      <c r="C50" s="200" t="str">
        <f>'General Set-Up'!E34</f>
        <v>Date 5</v>
      </c>
    </row>
    <row r="51" spans="1:3" x14ac:dyDescent="0.2">
      <c r="A51" s="199" t="str">
        <f>'General Set-Up'!C35</f>
        <v>Date 6</v>
      </c>
      <c r="B51" s="194" t="str">
        <f>'General Set-Up'!D35</f>
        <v>Date 6</v>
      </c>
      <c r="C51" s="200" t="str">
        <f>'General Set-Up'!E35</f>
        <v>Date 6</v>
      </c>
    </row>
    <row r="52" spans="1:3" x14ac:dyDescent="0.2">
      <c r="A52" s="199" t="str">
        <f>'General Set-Up'!C36</f>
        <v>Date 7</v>
      </c>
      <c r="B52" s="194" t="str">
        <f>'General Set-Up'!D36</f>
        <v>Date 7</v>
      </c>
      <c r="C52" s="200" t="str">
        <f>'General Set-Up'!E36</f>
        <v>Date 7</v>
      </c>
    </row>
    <row r="53" spans="1:3" x14ac:dyDescent="0.2">
      <c r="A53" s="199" t="str">
        <f>'General Set-Up'!C37</f>
        <v>Date 8</v>
      </c>
      <c r="B53" s="194" t="str">
        <f>'General Set-Up'!D37</f>
        <v>Date 8</v>
      </c>
      <c r="C53" s="200" t="str">
        <f>'General Set-Up'!E37</f>
        <v>Date 8</v>
      </c>
    </row>
    <row r="54" spans="1:3" x14ac:dyDescent="0.2">
      <c r="A54" s="199" t="str">
        <f>'General Set-Up'!C38</f>
        <v>Date 9</v>
      </c>
      <c r="B54" s="194" t="str">
        <f>'General Set-Up'!D38</f>
        <v>Date 9</v>
      </c>
      <c r="C54" s="200" t="str">
        <f>'General Set-Up'!E38</f>
        <v>Date 9</v>
      </c>
    </row>
    <row r="55" spans="1:3" ht="13.5" thickBot="1" x14ac:dyDescent="0.25">
      <c r="A55" s="201" t="str">
        <f>'General Set-Up'!C39</f>
        <v>Date 10</v>
      </c>
      <c r="B55" s="202" t="str">
        <f>'General Set-Up'!D39</f>
        <v>Date 10</v>
      </c>
      <c r="C55" s="203" t="str">
        <f>'General Set-Up'!E39</f>
        <v>Date 10</v>
      </c>
    </row>
    <row r="56" spans="1:3" x14ac:dyDescent="0.2">
      <c r="A56" s="340"/>
      <c r="B56" s="340"/>
      <c r="C56" s="340"/>
    </row>
    <row r="57" spans="1:3" x14ac:dyDescent="0.2">
      <c r="A57" s="340" t="str">
        <f>'General Set-Up'!C40</f>
        <v>If you have been allocated more than 10 days please add here.</v>
      </c>
      <c r="B57" s="340"/>
      <c r="C57" s="340"/>
    </row>
    <row r="58" spans="1:3" x14ac:dyDescent="0.2">
      <c r="A58" s="340"/>
      <c r="B58" s="340"/>
      <c r="C58" s="340"/>
    </row>
    <row r="59" spans="1:3" x14ac:dyDescent="0.2">
      <c r="A59" s="340"/>
      <c r="B59" s="340"/>
      <c r="C59" s="340"/>
    </row>
    <row r="60" spans="1:3" x14ac:dyDescent="0.2">
      <c r="A60" s="340"/>
      <c r="B60" s="340"/>
      <c r="C60" s="340"/>
    </row>
    <row r="61" spans="1:3" x14ac:dyDescent="0.2">
      <c r="A61" s="340"/>
      <c r="B61" s="340"/>
      <c r="C61" s="340"/>
    </row>
    <row r="62" spans="1:3" x14ac:dyDescent="0.2">
      <c r="A62" s="340"/>
      <c r="B62" s="340"/>
      <c r="C62" s="340"/>
    </row>
    <row r="63" spans="1:3" x14ac:dyDescent="0.2">
      <c r="A63" s="340"/>
      <c r="B63" s="340"/>
      <c r="C63" s="340"/>
    </row>
    <row r="64" spans="1:3" x14ac:dyDescent="0.2">
      <c r="A64" s="340"/>
      <c r="B64" s="340"/>
      <c r="C64" s="340"/>
    </row>
    <row r="65" spans="1:25" x14ac:dyDescent="0.2">
      <c r="A65" s="340"/>
      <c r="B65" s="340"/>
      <c r="C65" s="340"/>
    </row>
    <row r="67" spans="1:25" x14ac:dyDescent="0.2">
      <c r="A67" s="156" t="s">
        <v>494</v>
      </c>
      <c r="B67" s="204"/>
      <c r="C67" s="204"/>
      <c r="D67" s="67"/>
      <c r="E67" s="67"/>
      <c r="F67" s="67"/>
      <c r="G67" s="67"/>
      <c r="H67" s="67"/>
      <c r="I67" s="67"/>
      <c r="J67" s="67"/>
      <c r="K67" s="67"/>
      <c r="L67" s="67"/>
      <c r="M67" s="67"/>
      <c r="N67" s="67"/>
      <c r="O67" s="67"/>
      <c r="P67" s="67"/>
      <c r="Q67" s="67"/>
      <c r="R67" s="67"/>
      <c r="S67" s="67"/>
      <c r="T67" s="67"/>
      <c r="U67" s="67"/>
      <c r="V67" s="67"/>
      <c r="W67" s="67"/>
      <c r="X67" s="67"/>
      <c r="Y67" s="64"/>
    </row>
    <row r="68" spans="1:25" x14ac:dyDescent="0.2">
      <c r="A68" s="152"/>
      <c r="B68" s="65"/>
      <c r="C68" s="65"/>
      <c r="D68" s="65"/>
      <c r="E68" s="65"/>
      <c r="F68" s="65"/>
      <c r="G68" s="65"/>
      <c r="H68" s="65"/>
      <c r="I68" s="65"/>
      <c r="J68" s="65"/>
      <c r="K68" s="65"/>
      <c r="L68" s="65"/>
      <c r="M68" s="65"/>
      <c r="N68" s="65"/>
      <c r="O68" s="65"/>
      <c r="P68" s="65"/>
      <c r="Q68" s="65"/>
      <c r="R68" s="65"/>
      <c r="S68" s="65"/>
      <c r="T68" s="65"/>
      <c r="U68" s="65"/>
      <c r="V68" s="65"/>
      <c r="W68" s="65"/>
      <c r="X68" s="65"/>
      <c r="Y68" s="68"/>
    </row>
    <row r="69" spans="1:25" s="67" customFormat="1" x14ac:dyDescent="0.2">
      <c r="A69" s="151" t="str">
        <f>'Retail Pricing Sheet'!B2</f>
        <v xml:space="preserve">Retail Rate </v>
      </c>
      <c r="Y69" s="64"/>
    </row>
    <row r="70" spans="1:25" s="65" customFormat="1" x14ac:dyDescent="0.2">
      <c r="A70" s="152" t="str">
        <f>'Retail Pricing Sheet'!B3</f>
        <v>Room Pool</v>
      </c>
      <c r="B70" s="65" t="str">
        <f>'Retail Pricing Sheet'!C3</f>
        <v>Room Pool Classification</v>
      </c>
      <c r="C70" s="65" t="str">
        <f>'Retail Pricing Sheet'!D3</f>
        <v>Standard Supplement</v>
      </c>
      <c r="D70" s="65" t="str">
        <f>'Retail Pricing Sheet'!E3</f>
        <v>Alternate Supplement 
(optional)</v>
      </c>
      <c r="E70" s="65" t="str">
        <f>'Retail Pricing Sheet'!F3</f>
        <v>Default Rates</v>
      </c>
      <c r="F70" s="65" t="str">
        <f>'Retail Pricing Sheet'!G3</f>
        <v>Enter Season Dates Here</v>
      </c>
      <c r="G70" s="65" t="str">
        <f>'Retail Pricing Sheet'!H3</f>
        <v>Enter Season Dates Here</v>
      </c>
      <c r="H70" s="65" t="str">
        <f>'Retail Pricing Sheet'!I3</f>
        <v>Enter Season Dates Here</v>
      </c>
      <c r="I70" s="65" t="str">
        <f>'Retail Pricing Sheet'!J3</f>
        <v>Enter Season Dates Here</v>
      </c>
      <c r="J70" s="65" t="str">
        <f>'Retail Pricing Sheet'!K3</f>
        <v>Enter Season Dates Here</v>
      </c>
      <c r="K70" s="65" t="str">
        <f>'Retail Pricing Sheet'!L3</f>
        <v>Enter Season Dates Here</v>
      </c>
      <c r="L70" s="65" t="str">
        <f>'Retail Pricing Sheet'!M3</f>
        <v>Enter Season Dates Here</v>
      </c>
      <c r="M70" s="65" t="str">
        <f>'Retail Pricing Sheet'!N3</f>
        <v>Enter Season Dates Here</v>
      </c>
      <c r="N70" s="65" t="str">
        <f>'Retail Pricing Sheet'!O3</f>
        <v>Enter Season Dates Here</v>
      </c>
      <c r="O70" s="65" t="str">
        <f>'Retail Pricing Sheet'!P3</f>
        <v>Enter Season Dates Here</v>
      </c>
      <c r="P70" s="65" t="str">
        <f>'Retail Pricing Sheet'!Q3</f>
        <v>Enter Season Dates Here</v>
      </c>
      <c r="Q70" s="65" t="str">
        <f>'Retail Pricing Sheet'!R3</f>
        <v>Enter Season Dates Here</v>
      </c>
      <c r="R70" s="65" t="str">
        <f>'Retail Pricing Sheet'!S3</f>
        <v>Enter Season Dates Here</v>
      </c>
      <c r="S70" s="65" t="str">
        <f>'Retail Pricing Sheet'!T3</f>
        <v>Enter Season Dates Here</v>
      </c>
      <c r="T70" s="65" t="str">
        <f>'Retail Pricing Sheet'!U3</f>
        <v>Enter Season Dates Here</v>
      </c>
      <c r="Y70" s="68"/>
    </row>
    <row r="71" spans="1:25" s="65" customFormat="1" x14ac:dyDescent="0.2">
      <c r="A71" s="152">
        <f>'Retail Pricing Sheet'!B4</f>
        <v>0</v>
      </c>
      <c r="B71" s="65">
        <f>'Retail Pricing Sheet'!C4</f>
        <v>0</v>
      </c>
      <c r="C71" s="65">
        <f>'Retail Pricing Sheet'!D4</f>
        <v>0</v>
      </c>
      <c r="D71" s="65">
        <f>'Retail Pricing Sheet'!E4</f>
        <v>0</v>
      </c>
      <c r="E71" s="65" t="str">
        <f>'Retail Pricing Sheet'!F4</f>
        <v>Standard</v>
      </c>
      <c r="F71" s="65" t="str">
        <f>'Retail Pricing Sheet'!G4</f>
        <v>Standard</v>
      </c>
      <c r="G71" s="65" t="str">
        <f>'Retail Pricing Sheet'!H4</f>
        <v>Standard</v>
      </c>
      <c r="H71" s="65" t="str">
        <f>'Retail Pricing Sheet'!I4</f>
        <v>Standard</v>
      </c>
      <c r="I71" s="65">
        <f>'Retail Pricing Sheet'!J4</f>
        <v>0</v>
      </c>
      <c r="J71" s="65">
        <f>'Retail Pricing Sheet'!K4</f>
        <v>0</v>
      </c>
      <c r="K71" s="65">
        <f>'Retail Pricing Sheet'!L4</f>
        <v>0</v>
      </c>
      <c r="L71" s="65">
        <f>'Retail Pricing Sheet'!M4</f>
        <v>0</v>
      </c>
      <c r="M71" s="65">
        <f>'Retail Pricing Sheet'!N4</f>
        <v>0</v>
      </c>
      <c r="N71" s="65">
        <f>'Retail Pricing Sheet'!O4</f>
        <v>0</v>
      </c>
      <c r="O71" s="65">
        <f>'Retail Pricing Sheet'!P4</f>
        <v>0</v>
      </c>
      <c r="P71" s="65">
        <f>'Retail Pricing Sheet'!Q4</f>
        <v>0</v>
      </c>
      <c r="Q71" s="65">
        <f>'Retail Pricing Sheet'!R4</f>
        <v>0</v>
      </c>
      <c r="R71" s="65">
        <f>'Retail Pricing Sheet'!S4</f>
        <v>0</v>
      </c>
      <c r="S71" s="65">
        <f>'Retail Pricing Sheet'!T4</f>
        <v>0</v>
      </c>
      <c r="T71" s="65">
        <f>'Retail Pricing Sheet'!U4</f>
        <v>0</v>
      </c>
      <c r="Y71" s="68"/>
    </row>
    <row r="72" spans="1:25" s="65" customFormat="1" x14ac:dyDescent="0.2">
      <c r="A72" s="152" t="str">
        <f>'Retail Pricing Sheet'!B5</f>
        <v>KING</v>
      </c>
      <c r="B72" s="65" t="str">
        <f>'Retail Pricing Sheet'!C5</f>
        <v>Standard</v>
      </c>
      <c r="C72" s="65">
        <f>'Retail Pricing Sheet'!D5</f>
        <v>0</v>
      </c>
      <c r="D72" s="65">
        <f>'Retail Pricing Sheet'!E5</f>
        <v>0</v>
      </c>
      <c r="E72" s="65">
        <f>'Retail Pricing Sheet'!F5</f>
        <v>388</v>
      </c>
      <c r="F72" s="65">
        <f>'Retail Pricing Sheet'!G5</f>
        <v>0</v>
      </c>
      <c r="G72" s="65">
        <f>'Retail Pricing Sheet'!H5</f>
        <v>0</v>
      </c>
      <c r="H72" s="65">
        <f>'Retail Pricing Sheet'!I5</f>
        <v>0</v>
      </c>
      <c r="I72" s="65">
        <f>'Retail Pricing Sheet'!J5</f>
        <v>0</v>
      </c>
      <c r="J72" s="65">
        <f>'Retail Pricing Sheet'!K5</f>
        <v>0</v>
      </c>
      <c r="K72" s="65">
        <f>'Retail Pricing Sheet'!L5</f>
        <v>0</v>
      </c>
      <c r="L72" s="65">
        <f>'Retail Pricing Sheet'!M5</f>
        <v>0</v>
      </c>
      <c r="M72" s="65">
        <f>'Retail Pricing Sheet'!N5</f>
        <v>0</v>
      </c>
      <c r="N72" s="65">
        <f>'Retail Pricing Sheet'!O5</f>
        <v>0</v>
      </c>
      <c r="O72" s="65">
        <f>'Retail Pricing Sheet'!P5</f>
        <v>0</v>
      </c>
      <c r="P72" s="65">
        <f>'Retail Pricing Sheet'!Q5</f>
        <v>0</v>
      </c>
      <c r="Q72" s="65">
        <f>'Retail Pricing Sheet'!R5</f>
        <v>0</v>
      </c>
      <c r="R72" s="65">
        <f>'Retail Pricing Sheet'!S5</f>
        <v>0</v>
      </c>
      <c r="S72" s="65">
        <f>'Retail Pricing Sheet'!T5</f>
        <v>0</v>
      </c>
      <c r="T72" s="65">
        <f>'Retail Pricing Sheet'!U5</f>
        <v>0</v>
      </c>
      <c r="Y72" s="68"/>
    </row>
    <row r="73" spans="1:25" s="65" customFormat="1" x14ac:dyDescent="0.2">
      <c r="A73" s="152" t="str">
        <f>'Retail Pricing Sheet'!B6</f>
        <v>DBDB</v>
      </c>
      <c r="B73" s="65" t="str">
        <f>'Retail Pricing Sheet'!C6</f>
        <v>Standard</v>
      </c>
      <c r="C73" s="65">
        <f>'Retail Pricing Sheet'!D6</f>
        <v>0</v>
      </c>
      <c r="D73" s="65">
        <f>'Retail Pricing Sheet'!E6</f>
        <v>0</v>
      </c>
      <c r="E73" s="65">
        <f>'Retail Pricing Sheet'!F6</f>
        <v>368</v>
      </c>
      <c r="F73" s="65" t="str">
        <f>'Retail Pricing Sheet'!G6</f>
        <v/>
      </c>
      <c r="G73" s="65" t="str">
        <f>'Retail Pricing Sheet'!H6</f>
        <v/>
      </c>
      <c r="H73" s="65" t="str">
        <f>'Retail Pricing Sheet'!I6</f>
        <v/>
      </c>
      <c r="I73" s="65" t="str">
        <f>'Retail Pricing Sheet'!J6</f>
        <v/>
      </c>
      <c r="J73" s="65" t="str">
        <f>'Retail Pricing Sheet'!K6</f>
        <v/>
      </c>
      <c r="K73" s="65" t="str">
        <f>'Retail Pricing Sheet'!L6</f>
        <v/>
      </c>
      <c r="L73" s="65" t="str">
        <f>'Retail Pricing Sheet'!M6</f>
        <v/>
      </c>
      <c r="M73" s="65" t="str">
        <f>'Retail Pricing Sheet'!N6</f>
        <v/>
      </c>
      <c r="N73" s="65" t="str">
        <f>'Retail Pricing Sheet'!O6</f>
        <v/>
      </c>
      <c r="O73" s="65" t="str">
        <f>'Retail Pricing Sheet'!P6</f>
        <v/>
      </c>
      <c r="P73" s="65" t="str">
        <f>'Retail Pricing Sheet'!Q6</f>
        <v/>
      </c>
      <c r="Q73" s="65" t="str">
        <f>'Retail Pricing Sheet'!R6</f>
        <v/>
      </c>
      <c r="R73" s="65" t="str">
        <f>'Retail Pricing Sheet'!S6</f>
        <v/>
      </c>
      <c r="S73" s="65" t="str">
        <f>'Retail Pricing Sheet'!T6</f>
        <v/>
      </c>
      <c r="T73" s="65" t="str">
        <f>'Retail Pricing Sheet'!U6</f>
        <v/>
      </c>
      <c r="Y73" s="68"/>
    </row>
    <row r="74" spans="1:25" s="65" customFormat="1" x14ac:dyDescent="0.2">
      <c r="A74" s="152" t="str">
        <f>'Retail Pricing Sheet'!B7</f>
        <v>PMRS</v>
      </c>
      <c r="B74" s="65" t="str">
        <f>'Retail Pricing Sheet'!C7</f>
        <v>Standard</v>
      </c>
      <c r="C74" s="65">
        <f>'Retail Pricing Sheet'!D7</f>
        <v>0</v>
      </c>
      <c r="D74" s="65">
        <f>'Retail Pricing Sheet'!E7</f>
        <v>0</v>
      </c>
      <c r="E74" s="65">
        <f>'Retail Pricing Sheet'!F7</f>
        <v>438</v>
      </c>
      <c r="F74" s="65" t="str">
        <f>'Retail Pricing Sheet'!G7</f>
        <v/>
      </c>
      <c r="G74" s="65" t="str">
        <f>'Retail Pricing Sheet'!H7</f>
        <v/>
      </c>
      <c r="H74" s="65" t="str">
        <f>'Retail Pricing Sheet'!I7</f>
        <v/>
      </c>
      <c r="I74" s="65" t="str">
        <f>'Retail Pricing Sheet'!J7</f>
        <v/>
      </c>
      <c r="J74" s="65" t="str">
        <f>'Retail Pricing Sheet'!K7</f>
        <v/>
      </c>
      <c r="K74" s="65" t="str">
        <f>'Retail Pricing Sheet'!L7</f>
        <v/>
      </c>
      <c r="L74" s="65" t="str">
        <f>'Retail Pricing Sheet'!M7</f>
        <v/>
      </c>
      <c r="M74" s="65" t="str">
        <f>'Retail Pricing Sheet'!N7</f>
        <v/>
      </c>
      <c r="N74" s="65" t="str">
        <f>'Retail Pricing Sheet'!O7</f>
        <v/>
      </c>
      <c r="O74" s="65" t="str">
        <f>'Retail Pricing Sheet'!P7</f>
        <v/>
      </c>
      <c r="P74" s="65" t="str">
        <f>'Retail Pricing Sheet'!Q7</f>
        <v/>
      </c>
      <c r="Q74" s="65" t="str">
        <f>'Retail Pricing Sheet'!R7</f>
        <v/>
      </c>
      <c r="R74" s="65" t="str">
        <f>'Retail Pricing Sheet'!S7</f>
        <v/>
      </c>
      <c r="S74" s="65" t="str">
        <f>'Retail Pricing Sheet'!T7</f>
        <v/>
      </c>
      <c r="T74" s="65" t="str">
        <f>'Retail Pricing Sheet'!U7</f>
        <v/>
      </c>
      <c r="Y74" s="68"/>
    </row>
    <row r="75" spans="1:25" s="65" customFormat="1" x14ac:dyDescent="0.2">
      <c r="A75" s="152" t="str">
        <f>'Retail Pricing Sheet'!B8</f>
        <v>PMRS</v>
      </c>
      <c r="B75" s="65" t="str">
        <f>'Retail Pricing Sheet'!C8</f>
        <v>Standard</v>
      </c>
      <c r="C75" s="65">
        <f>'Retail Pricing Sheet'!D8</f>
        <v>0</v>
      </c>
      <c r="D75" s="65">
        <f>'Retail Pricing Sheet'!E8</f>
        <v>0</v>
      </c>
      <c r="E75" s="65">
        <f>'Retail Pricing Sheet'!F8</f>
        <v>458</v>
      </c>
      <c r="F75" s="65" t="str">
        <f>'Retail Pricing Sheet'!G8</f>
        <v/>
      </c>
      <c r="G75" s="65" t="str">
        <f>'Retail Pricing Sheet'!H8</f>
        <v/>
      </c>
      <c r="H75" s="65" t="str">
        <f>'Retail Pricing Sheet'!I8</f>
        <v/>
      </c>
      <c r="I75" s="65" t="str">
        <f>'Retail Pricing Sheet'!J8</f>
        <v/>
      </c>
      <c r="J75" s="65" t="str">
        <f>'Retail Pricing Sheet'!K8</f>
        <v/>
      </c>
      <c r="K75" s="65" t="str">
        <f>'Retail Pricing Sheet'!L8</f>
        <v/>
      </c>
      <c r="L75" s="65" t="str">
        <f>'Retail Pricing Sheet'!M8</f>
        <v/>
      </c>
      <c r="M75" s="65" t="str">
        <f>'Retail Pricing Sheet'!N8</f>
        <v/>
      </c>
      <c r="N75" s="65" t="str">
        <f>'Retail Pricing Sheet'!O8</f>
        <v/>
      </c>
      <c r="O75" s="65" t="str">
        <f>'Retail Pricing Sheet'!P8</f>
        <v/>
      </c>
      <c r="P75" s="65" t="str">
        <f>'Retail Pricing Sheet'!Q8</f>
        <v/>
      </c>
      <c r="Q75" s="65" t="str">
        <f>'Retail Pricing Sheet'!R8</f>
        <v/>
      </c>
      <c r="R75" s="65" t="str">
        <f>'Retail Pricing Sheet'!S8</f>
        <v/>
      </c>
      <c r="S75" s="65" t="str">
        <f>'Retail Pricing Sheet'!T8</f>
        <v/>
      </c>
      <c r="T75" s="65" t="str">
        <f>'Retail Pricing Sheet'!U8</f>
        <v/>
      </c>
      <c r="Y75" s="68"/>
    </row>
    <row r="76" spans="1:25" s="65" customFormat="1" x14ac:dyDescent="0.2">
      <c r="A76" s="152">
        <f>'Retail Pricing Sheet'!B9</f>
        <v>0</v>
      </c>
      <c r="B76" s="65" t="str">
        <f>'Retail Pricing Sheet'!C9</f>
        <v/>
      </c>
      <c r="C76" s="65">
        <f>'Retail Pricing Sheet'!D9</f>
        <v>0</v>
      </c>
      <c r="D76" s="65">
        <f>'Retail Pricing Sheet'!E9</f>
        <v>0</v>
      </c>
      <c r="E76" s="65" t="str">
        <f>'Retail Pricing Sheet'!F9</f>
        <v/>
      </c>
      <c r="F76" s="65" t="str">
        <f>'Retail Pricing Sheet'!G9</f>
        <v/>
      </c>
      <c r="G76" s="65" t="str">
        <f>'Retail Pricing Sheet'!H9</f>
        <v/>
      </c>
      <c r="H76" s="65" t="str">
        <f>'Retail Pricing Sheet'!I9</f>
        <v/>
      </c>
      <c r="I76" s="65" t="str">
        <f>'Retail Pricing Sheet'!J9</f>
        <v/>
      </c>
      <c r="J76" s="65" t="str">
        <f>'Retail Pricing Sheet'!K9</f>
        <v/>
      </c>
      <c r="K76" s="65" t="str">
        <f>'Retail Pricing Sheet'!L9</f>
        <v/>
      </c>
      <c r="L76" s="65" t="str">
        <f>'Retail Pricing Sheet'!M9</f>
        <v/>
      </c>
      <c r="M76" s="65" t="str">
        <f>'Retail Pricing Sheet'!N9</f>
        <v/>
      </c>
      <c r="N76" s="65" t="str">
        <f>'Retail Pricing Sheet'!O9</f>
        <v/>
      </c>
      <c r="O76" s="65" t="str">
        <f>'Retail Pricing Sheet'!P9</f>
        <v/>
      </c>
      <c r="P76" s="65" t="str">
        <f>'Retail Pricing Sheet'!Q9</f>
        <v/>
      </c>
      <c r="Q76" s="65" t="str">
        <f>'Retail Pricing Sheet'!R9</f>
        <v/>
      </c>
      <c r="R76" s="65" t="str">
        <f>'Retail Pricing Sheet'!S9</f>
        <v/>
      </c>
      <c r="S76" s="65" t="str">
        <f>'Retail Pricing Sheet'!T9</f>
        <v/>
      </c>
      <c r="T76" s="65" t="str">
        <f>'Retail Pricing Sheet'!U9</f>
        <v/>
      </c>
      <c r="Y76" s="68"/>
    </row>
    <row r="77" spans="1:25" s="65" customFormat="1" x14ac:dyDescent="0.2">
      <c r="A77" s="152">
        <f>'Retail Pricing Sheet'!B10</f>
        <v>0</v>
      </c>
      <c r="B77" s="65" t="str">
        <f>'Retail Pricing Sheet'!C10</f>
        <v/>
      </c>
      <c r="C77" s="65">
        <f>'Retail Pricing Sheet'!D10</f>
        <v>0</v>
      </c>
      <c r="D77" s="65">
        <f>'Retail Pricing Sheet'!E10</f>
        <v>0</v>
      </c>
      <c r="E77" s="65" t="str">
        <f>'Retail Pricing Sheet'!F10</f>
        <v/>
      </c>
      <c r="F77" s="65" t="str">
        <f>'Retail Pricing Sheet'!G10</f>
        <v/>
      </c>
      <c r="G77" s="65" t="str">
        <f>'Retail Pricing Sheet'!H10</f>
        <v/>
      </c>
      <c r="H77" s="65" t="str">
        <f>'Retail Pricing Sheet'!I10</f>
        <v/>
      </c>
      <c r="I77" s="65" t="str">
        <f>'Retail Pricing Sheet'!J10</f>
        <v/>
      </c>
      <c r="J77" s="65" t="str">
        <f>'Retail Pricing Sheet'!K10</f>
        <v/>
      </c>
      <c r="K77" s="65" t="str">
        <f>'Retail Pricing Sheet'!L10</f>
        <v/>
      </c>
      <c r="L77" s="65" t="str">
        <f>'Retail Pricing Sheet'!M10</f>
        <v/>
      </c>
      <c r="M77" s="65" t="str">
        <f>'Retail Pricing Sheet'!N10</f>
        <v/>
      </c>
      <c r="N77" s="65" t="str">
        <f>'Retail Pricing Sheet'!O10</f>
        <v/>
      </c>
      <c r="O77" s="65" t="str">
        <f>'Retail Pricing Sheet'!P10</f>
        <v/>
      </c>
      <c r="P77" s="65" t="str">
        <f>'Retail Pricing Sheet'!Q10</f>
        <v/>
      </c>
      <c r="Q77" s="65" t="str">
        <f>'Retail Pricing Sheet'!R10</f>
        <v/>
      </c>
      <c r="R77" s="65" t="str">
        <f>'Retail Pricing Sheet'!S10</f>
        <v/>
      </c>
      <c r="S77" s="65" t="str">
        <f>'Retail Pricing Sheet'!T10</f>
        <v/>
      </c>
      <c r="T77" s="65" t="str">
        <f>'Retail Pricing Sheet'!U10</f>
        <v/>
      </c>
      <c r="Y77" s="68"/>
    </row>
    <row r="78" spans="1:25" s="65" customFormat="1" x14ac:dyDescent="0.2">
      <c r="A78" s="152">
        <f>'Retail Pricing Sheet'!B11</f>
        <v>0</v>
      </c>
      <c r="B78" s="65" t="str">
        <f>'Retail Pricing Sheet'!C11</f>
        <v/>
      </c>
      <c r="C78" s="65">
        <f>'Retail Pricing Sheet'!D11</f>
        <v>0</v>
      </c>
      <c r="D78" s="65">
        <f>'Retail Pricing Sheet'!E11</f>
        <v>0</v>
      </c>
      <c r="E78" s="65" t="str">
        <f>'Retail Pricing Sheet'!F11</f>
        <v/>
      </c>
      <c r="F78" s="65" t="str">
        <f>'Retail Pricing Sheet'!G11</f>
        <v/>
      </c>
      <c r="G78" s="65" t="str">
        <f>'Retail Pricing Sheet'!H11</f>
        <v/>
      </c>
      <c r="H78" s="65" t="str">
        <f>'Retail Pricing Sheet'!I11</f>
        <v/>
      </c>
      <c r="I78" s="65" t="str">
        <f>'Retail Pricing Sheet'!J11</f>
        <v/>
      </c>
      <c r="J78" s="65" t="str">
        <f>'Retail Pricing Sheet'!K11</f>
        <v/>
      </c>
      <c r="K78" s="65" t="str">
        <f>'Retail Pricing Sheet'!L11</f>
        <v/>
      </c>
      <c r="L78" s="65" t="str">
        <f>'Retail Pricing Sheet'!M11</f>
        <v/>
      </c>
      <c r="M78" s="65" t="str">
        <f>'Retail Pricing Sheet'!N11</f>
        <v/>
      </c>
      <c r="N78" s="65" t="str">
        <f>'Retail Pricing Sheet'!O11</f>
        <v/>
      </c>
      <c r="O78" s="65" t="str">
        <f>'Retail Pricing Sheet'!P11</f>
        <v/>
      </c>
      <c r="P78" s="65" t="str">
        <f>'Retail Pricing Sheet'!Q11</f>
        <v/>
      </c>
      <c r="Q78" s="65" t="str">
        <f>'Retail Pricing Sheet'!R11</f>
        <v/>
      </c>
      <c r="R78" s="65" t="str">
        <f>'Retail Pricing Sheet'!S11</f>
        <v/>
      </c>
      <c r="S78" s="65" t="str">
        <f>'Retail Pricing Sheet'!T11</f>
        <v/>
      </c>
      <c r="T78" s="65" t="str">
        <f>'Retail Pricing Sheet'!U11</f>
        <v/>
      </c>
      <c r="Y78" s="68"/>
    </row>
    <row r="79" spans="1:25" s="65" customFormat="1" x14ac:dyDescent="0.2">
      <c r="A79" s="152">
        <f>'Retail Pricing Sheet'!B12</f>
        <v>0</v>
      </c>
      <c r="B79" s="65" t="str">
        <f>'Retail Pricing Sheet'!C12</f>
        <v/>
      </c>
      <c r="C79" s="65">
        <f>'Retail Pricing Sheet'!D12</f>
        <v>0</v>
      </c>
      <c r="D79" s="65">
        <f>'Retail Pricing Sheet'!E12</f>
        <v>0</v>
      </c>
      <c r="E79" s="65" t="str">
        <f>'Retail Pricing Sheet'!F12</f>
        <v/>
      </c>
      <c r="F79" s="65" t="str">
        <f>'Retail Pricing Sheet'!G12</f>
        <v/>
      </c>
      <c r="G79" s="65" t="str">
        <f>'Retail Pricing Sheet'!H12</f>
        <v/>
      </c>
      <c r="H79" s="65" t="str">
        <f>'Retail Pricing Sheet'!I12</f>
        <v/>
      </c>
      <c r="I79" s="65" t="str">
        <f>'Retail Pricing Sheet'!J12</f>
        <v/>
      </c>
      <c r="J79" s="65" t="str">
        <f>'Retail Pricing Sheet'!K12</f>
        <v/>
      </c>
      <c r="K79" s="65" t="str">
        <f>'Retail Pricing Sheet'!L12</f>
        <v/>
      </c>
      <c r="L79" s="65" t="str">
        <f>'Retail Pricing Sheet'!M12</f>
        <v/>
      </c>
      <c r="M79" s="65" t="str">
        <f>'Retail Pricing Sheet'!N12</f>
        <v/>
      </c>
      <c r="N79" s="65" t="str">
        <f>'Retail Pricing Sheet'!O12</f>
        <v/>
      </c>
      <c r="O79" s="65" t="str">
        <f>'Retail Pricing Sheet'!P12</f>
        <v/>
      </c>
      <c r="P79" s="65" t="str">
        <f>'Retail Pricing Sheet'!Q12</f>
        <v/>
      </c>
      <c r="Q79" s="65" t="str">
        <f>'Retail Pricing Sheet'!R12</f>
        <v/>
      </c>
      <c r="R79" s="65" t="str">
        <f>'Retail Pricing Sheet'!S12</f>
        <v/>
      </c>
      <c r="S79" s="65" t="str">
        <f>'Retail Pricing Sheet'!T12</f>
        <v/>
      </c>
      <c r="T79" s="65" t="str">
        <f>'Retail Pricing Sheet'!U12</f>
        <v/>
      </c>
      <c r="Y79" s="68"/>
    </row>
    <row r="80" spans="1:25" s="65" customFormat="1" x14ac:dyDescent="0.2">
      <c r="A80" s="152">
        <f>'Retail Pricing Sheet'!B13</f>
        <v>0</v>
      </c>
      <c r="B80" s="65" t="str">
        <f>'Retail Pricing Sheet'!C13</f>
        <v/>
      </c>
      <c r="C80" s="65">
        <f>'Retail Pricing Sheet'!D13</f>
        <v>0</v>
      </c>
      <c r="D80" s="65">
        <f>'Retail Pricing Sheet'!E13</f>
        <v>0</v>
      </c>
      <c r="E80" s="65" t="str">
        <f>'Retail Pricing Sheet'!F13</f>
        <v/>
      </c>
      <c r="F80" s="65" t="str">
        <f>'Retail Pricing Sheet'!G13</f>
        <v/>
      </c>
      <c r="G80" s="65" t="str">
        <f>'Retail Pricing Sheet'!H13</f>
        <v/>
      </c>
      <c r="H80" s="65" t="str">
        <f>'Retail Pricing Sheet'!I13</f>
        <v/>
      </c>
      <c r="I80" s="65" t="str">
        <f>'Retail Pricing Sheet'!J13</f>
        <v/>
      </c>
      <c r="J80" s="65" t="str">
        <f>'Retail Pricing Sheet'!K13</f>
        <v/>
      </c>
      <c r="K80" s="65" t="str">
        <f>'Retail Pricing Sheet'!L13</f>
        <v/>
      </c>
      <c r="L80" s="65" t="str">
        <f>'Retail Pricing Sheet'!M13</f>
        <v/>
      </c>
      <c r="M80" s="65" t="str">
        <f>'Retail Pricing Sheet'!N13</f>
        <v/>
      </c>
      <c r="N80" s="65" t="str">
        <f>'Retail Pricing Sheet'!O13</f>
        <v/>
      </c>
      <c r="O80" s="65" t="str">
        <f>'Retail Pricing Sheet'!P13</f>
        <v/>
      </c>
      <c r="P80" s="65" t="str">
        <f>'Retail Pricing Sheet'!Q13</f>
        <v/>
      </c>
      <c r="Q80" s="65" t="str">
        <f>'Retail Pricing Sheet'!R13</f>
        <v/>
      </c>
      <c r="R80" s="65" t="str">
        <f>'Retail Pricing Sheet'!S13</f>
        <v/>
      </c>
      <c r="S80" s="65" t="str">
        <f>'Retail Pricing Sheet'!T13</f>
        <v/>
      </c>
      <c r="T80" s="65" t="str">
        <f>'Retail Pricing Sheet'!U13</f>
        <v/>
      </c>
      <c r="Y80" s="68"/>
    </row>
    <row r="81" spans="1:25" s="65" customFormat="1" x14ac:dyDescent="0.2">
      <c r="A81" s="152">
        <f>'Retail Pricing Sheet'!B14</f>
        <v>0</v>
      </c>
      <c r="B81" s="65" t="str">
        <f>'Retail Pricing Sheet'!C14</f>
        <v/>
      </c>
      <c r="C81" s="65">
        <f>'Retail Pricing Sheet'!D14</f>
        <v>0</v>
      </c>
      <c r="D81" s="65">
        <f>'Retail Pricing Sheet'!E14</f>
        <v>0</v>
      </c>
      <c r="E81" s="65" t="str">
        <f>'Retail Pricing Sheet'!F14</f>
        <v/>
      </c>
      <c r="F81" s="65" t="str">
        <f>'Retail Pricing Sheet'!G14</f>
        <v/>
      </c>
      <c r="G81" s="65" t="str">
        <f>'Retail Pricing Sheet'!H14</f>
        <v/>
      </c>
      <c r="H81" s="65" t="str">
        <f>'Retail Pricing Sheet'!I14</f>
        <v/>
      </c>
      <c r="I81" s="65" t="str">
        <f>'Retail Pricing Sheet'!J14</f>
        <v/>
      </c>
      <c r="J81" s="65" t="str">
        <f>'Retail Pricing Sheet'!K14</f>
        <v/>
      </c>
      <c r="K81" s="65" t="str">
        <f>'Retail Pricing Sheet'!L14</f>
        <v/>
      </c>
      <c r="L81" s="65" t="str">
        <f>'Retail Pricing Sheet'!M14</f>
        <v/>
      </c>
      <c r="M81" s="65" t="str">
        <f>'Retail Pricing Sheet'!N14</f>
        <v/>
      </c>
      <c r="N81" s="65" t="str">
        <f>'Retail Pricing Sheet'!O14</f>
        <v/>
      </c>
      <c r="O81" s="65" t="str">
        <f>'Retail Pricing Sheet'!P14</f>
        <v/>
      </c>
      <c r="P81" s="65" t="str">
        <f>'Retail Pricing Sheet'!Q14</f>
        <v/>
      </c>
      <c r="Q81" s="65" t="str">
        <f>'Retail Pricing Sheet'!R14</f>
        <v/>
      </c>
      <c r="R81" s="65" t="str">
        <f>'Retail Pricing Sheet'!S14</f>
        <v/>
      </c>
      <c r="S81" s="65" t="str">
        <f>'Retail Pricing Sheet'!T14</f>
        <v/>
      </c>
      <c r="T81" s="65" t="str">
        <f>'Retail Pricing Sheet'!U14</f>
        <v/>
      </c>
      <c r="Y81" s="68"/>
    </row>
    <row r="82" spans="1:25" s="65" customFormat="1" x14ac:dyDescent="0.2">
      <c r="A82" s="152">
        <f>'Retail Pricing Sheet'!B15</f>
        <v>0</v>
      </c>
      <c r="B82" s="65" t="str">
        <f>'Retail Pricing Sheet'!C15</f>
        <v/>
      </c>
      <c r="C82" s="65">
        <f>'Retail Pricing Sheet'!D15</f>
        <v>0</v>
      </c>
      <c r="D82" s="65">
        <f>'Retail Pricing Sheet'!E15</f>
        <v>0</v>
      </c>
      <c r="E82" s="65" t="str">
        <f>'Retail Pricing Sheet'!F15</f>
        <v/>
      </c>
      <c r="F82" s="65" t="str">
        <f>'Retail Pricing Sheet'!G15</f>
        <v/>
      </c>
      <c r="G82" s="65" t="str">
        <f>'Retail Pricing Sheet'!H15</f>
        <v/>
      </c>
      <c r="H82" s="65" t="str">
        <f>'Retail Pricing Sheet'!I15</f>
        <v/>
      </c>
      <c r="I82" s="65" t="str">
        <f>'Retail Pricing Sheet'!J15</f>
        <v/>
      </c>
      <c r="J82" s="65" t="str">
        <f>'Retail Pricing Sheet'!K15</f>
        <v/>
      </c>
      <c r="K82" s="65" t="str">
        <f>'Retail Pricing Sheet'!L15</f>
        <v/>
      </c>
      <c r="L82" s="65" t="str">
        <f>'Retail Pricing Sheet'!M15</f>
        <v/>
      </c>
      <c r="M82" s="65" t="str">
        <f>'Retail Pricing Sheet'!N15</f>
        <v/>
      </c>
      <c r="N82" s="65" t="str">
        <f>'Retail Pricing Sheet'!O15</f>
        <v/>
      </c>
      <c r="O82" s="65" t="str">
        <f>'Retail Pricing Sheet'!P15</f>
        <v/>
      </c>
      <c r="P82" s="65" t="str">
        <f>'Retail Pricing Sheet'!Q15</f>
        <v/>
      </c>
      <c r="Q82" s="65" t="str">
        <f>'Retail Pricing Sheet'!R15</f>
        <v/>
      </c>
      <c r="R82" s="65" t="str">
        <f>'Retail Pricing Sheet'!S15</f>
        <v/>
      </c>
      <c r="S82" s="65" t="str">
        <f>'Retail Pricing Sheet'!T15</f>
        <v/>
      </c>
      <c r="T82" s="65" t="str">
        <f>'Retail Pricing Sheet'!U15</f>
        <v/>
      </c>
      <c r="Y82" s="68"/>
    </row>
    <row r="83" spans="1:25" s="65" customFormat="1" x14ac:dyDescent="0.2">
      <c r="A83" s="152">
        <f>'Retail Pricing Sheet'!B16</f>
        <v>0</v>
      </c>
      <c r="B83" s="65" t="str">
        <f>'Retail Pricing Sheet'!C16</f>
        <v/>
      </c>
      <c r="C83" s="65">
        <f>'Retail Pricing Sheet'!D16</f>
        <v>0</v>
      </c>
      <c r="D83" s="65">
        <f>'Retail Pricing Sheet'!E16</f>
        <v>0</v>
      </c>
      <c r="E83" s="65" t="str">
        <f>'Retail Pricing Sheet'!F16</f>
        <v/>
      </c>
      <c r="F83" s="65" t="str">
        <f>'Retail Pricing Sheet'!G16</f>
        <v/>
      </c>
      <c r="G83" s="65" t="str">
        <f>'Retail Pricing Sheet'!H16</f>
        <v/>
      </c>
      <c r="H83" s="65" t="str">
        <f>'Retail Pricing Sheet'!I16</f>
        <v/>
      </c>
      <c r="I83" s="65" t="str">
        <f>'Retail Pricing Sheet'!J16</f>
        <v/>
      </c>
      <c r="J83" s="65" t="str">
        <f>'Retail Pricing Sheet'!K16</f>
        <v/>
      </c>
      <c r="K83" s="65" t="str">
        <f>'Retail Pricing Sheet'!L16</f>
        <v/>
      </c>
      <c r="L83" s="65" t="str">
        <f>'Retail Pricing Sheet'!M16</f>
        <v/>
      </c>
      <c r="M83" s="65" t="str">
        <f>'Retail Pricing Sheet'!N16</f>
        <v/>
      </c>
      <c r="N83" s="65" t="str">
        <f>'Retail Pricing Sheet'!O16</f>
        <v/>
      </c>
      <c r="O83" s="65" t="str">
        <f>'Retail Pricing Sheet'!P16</f>
        <v/>
      </c>
      <c r="P83" s="65" t="str">
        <f>'Retail Pricing Sheet'!Q16</f>
        <v/>
      </c>
      <c r="Q83" s="65" t="str">
        <f>'Retail Pricing Sheet'!R16</f>
        <v/>
      </c>
      <c r="R83" s="65" t="str">
        <f>'Retail Pricing Sheet'!S16</f>
        <v/>
      </c>
      <c r="S83" s="65" t="str">
        <f>'Retail Pricing Sheet'!T16</f>
        <v/>
      </c>
      <c r="T83" s="65" t="str">
        <f>'Retail Pricing Sheet'!U16</f>
        <v/>
      </c>
      <c r="Y83" s="68"/>
    </row>
    <row r="84" spans="1:25" s="65" customFormat="1" x14ac:dyDescent="0.2">
      <c r="A84" s="152">
        <f>'Retail Pricing Sheet'!B17</f>
        <v>0</v>
      </c>
      <c r="B84" s="65" t="str">
        <f>'Retail Pricing Sheet'!C17</f>
        <v/>
      </c>
      <c r="C84" s="65">
        <f>'Retail Pricing Sheet'!D17</f>
        <v>0</v>
      </c>
      <c r="D84" s="65">
        <f>'Retail Pricing Sheet'!E17</f>
        <v>0</v>
      </c>
      <c r="E84" s="65" t="str">
        <f>'Retail Pricing Sheet'!F17</f>
        <v/>
      </c>
      <c r="F84" s="65" t="str">
        <f>'Retail Pricing Sheet'!G17</f>
        <v/>
      </c>
      <c r="G84" s="65" t="str">
        <f>'Retail Pricing Sheet'!H17</f>
        <v/>
      </c>
      <c r="H84" s="65" t="str">
        <f>'Retail Pricing Sheet'!I17</f>
        <v/>
      </c>
      <c r="I84" s="65" t="str">
        <f>'Retail Pricing Sheet'!J17</f>
        <v/>
      </c>
      <c r="J84" s="65" t="str">
        <f>'Retail Pricing Sheet'!K17</f>
        <v/>
      </c>
      <c r="K84" s="65" t="str">
        <f>'Retail Pricing Sheet'!L17</f>
        <v/>
      </c>
      <c r="L84" s="65" t="str">
        <f>'Retail Pricing Sheet'!M17</f>
        <v/>
      </c>
      <c r="M84" s="65" t="str">
        <f>'Retail Pricing Sheet'!N17</f>
        <v/>
      </c>
      <c r="N84" s="65" t="str">
        <f>'Retail Pricing Sheet'!O17</f>
        <v/>
      </c>
      <c r="O84" s="65" t="str">
        <f>'Retail Pricing Sheet'!P17</f>
        <v/>
      </c>
      <c r="P84" s="65" t="str">
        <f>'Retail Pricing Sheet'!Q17</f>
        <v/>
      </c>
      <c r="Q84" s="65" t="str">
        <f>'Retail Pricing Sheet'!R17</f>
        <v/>
      </c>
      <c r="R84" s="65" t="str">
        <f>'Retail Pricing Sheet'!S17</f>
        <v/>
      </c>
      <c r="S84" s="65" t="str">
        <f>'Retail Pricing Sheet'!T17</f>
        <v/>
      </c>
      <c r="T84" s="65" t="str">
        <f>'Retail Pricing Sheet'!U17</f>
        <v/>
      </c>
      <c r="Y84" s="68"/>
    </row>
    <row r="85" spans="1:25" s="65" customFormat="1" x14ac:dyDescent="0.2">
      <c r="A85" s="152">
        <f>'Retail Pricing Sheet'!B18</f>
        <v>0</v>
      </c>
      <c r="B85" s="65" t="str">
        <f>'Retail Pricing Sheet'!C18</f>
        <v/>
      </c>
      <c r="C85" s="65">
        <f>'Retail Pricing Sheet'!D18</f>
        <v>0</v>
      </c>
      <c r="D85" s="65">
        <f>'Retail Pricing Sheet'!E18</f>
        <v>0</v>
      </c>
      <c r="E85" s="65" t="str">
        <f>'Retail Pricing Sheet'!F18</f>
        <v/>
      </c>
      <c r="F85" s="65" t="str">
        <f>'Retail Pricing Sheet'!G18</f>
        <v/>
      </c>
      <c r="G85" s="65" t="str">
        <f>'Retail Pricing Sheet'!H18</f>
        <v/>
      </c>
      <c r="H85" s="65" t="str">
        <f>'Retail Pricing Sheet'!I18</f>
        <v/>
      </c>
      <c r="I85" s="65" t="str">
        <f>'Retail Pricing Sheet'!J18</f>
        <v/>
      </c>
      <c r="J85" s="65" t="str">
        <f>'Retail Pricing Sheet'!K18</f>
        <v/>
      </c>
      <c r="K85" s="65" t="str">
        <f>'Retail Pricing Sheet'!L18</f>
        <v/>
      </c>
      <c r="L85" s="65" t="str">
        <f>'Retail Pricing Sheet'!M18</f>
        <v/>
      </c>
      <c r="M85" s="65" t="str">
        <f>'Retail Pricing Sheet'!N18</f>
        <v/>
      </c>
      <c r="N85" s="65" t="str">
        <f>'Retail Pricing Sheet'!O18</f>
        <v/>
      </c>
      <c r="O85" s="65" t="str">
        <f>'Retail Pricing Sheet'!P18</f>
        <v/>
      </c>
      <c r="P85" s="65" t="str">
        <f>'Retail Pricing Sheet'!Q18</f>
        <v/>
      </c>
      <c r="Q85" s="65" t="str">
        <f>'Retail Pricing Sheet'!R18</f>
        <v/>
      </c>
      <c r="R85" s="65" t="str">
        <f>'Retail Pricing Sheet'!S18</f>
        <v/>
      </c>
      <c r="S85" s="65" t="str">
        <f>'Retail Pricing Sheet'!T18</f>
        <v/>
      </c>
      <c r="T85" s="65" t="str">
        <f>'Retail Pricing Sheet'!U18</f>
        <v/>
      </c>
      <c r="Y85" s="68"/>
    </row>
    <row r="86" spans="1:25" s="65" customFormat="1" x14ac:dyDescent="0.2">
      <c r="A86" s="152">
        <f>'Retail Pricing Sheet'!B19</f>
        <v>0</v>
      </c>
      <c r="B86" s="65" t="str">
        <f>'Retail Pricing Sheet'!C19</f>
        <v/>
      </c>
      <c r="C86" s="65">
        <f>'Retail Pricing Sheet'!D19</f>
        <v>0</v>
      </c>
      <c r="D86" s="65">
        <f>'Retail Pricing Sheet'!E19</f>
        <v>0</v>
      </c>
      <c r="E86" s="65" t="str">
        <f>'Retail Pricing Sheet'!F19</f>
        <v/>
      </c>
      <c r="F86" s="65" t="str">
        <f>'Retail Pricing Sheet'!G19</f>
        <v/>
      </c>
      <c r="G86" s="65" t="str">
        <f>'Retail Pricing Sheet'!H19</f>
        <v/>
      </c>
      <c r="H86" s="65" t="str">
        <f>'Retail Pricing Sheet'!I19</f>
        <v/>
      </c>
      <c r="I86" s="65" t="str">
        <f>'Retail Pricing Sheet'!J19</f>
        <v/>
      </c>
      <c r="J86" s="65" t="str">
        <f>'Retail Pricing Sheet'!K19</f>
        <v/>
      </c>
      <c r="K86" s="65" t="str">
        <f>'Retail Pricing Sheet'!L19</f>
        <v/>
      </c>
      <c r="L86" s="65" t="str">
        <f>'Retail Pricing Sheet'!M19</f>
        <v/>
      </c>
      <c r="M86" s="65" t="str">
        <f>'Retail Pricing Sheet'!N19</f>
        <v/>
      </c>
      <c r="N86" s="65" t="str">
        <f>'Retail Pricing Sheet'!O19</f>
        <v/>
      </c>
      <c r="O86" s="65" t="str">
        <f>'Retail Pricing Sheet'!P19</f>
        <v/>
      </c>
      <c r="P86" s="65" t="str">
        <f>'Retail Pricing Sheet'!Q19</f>
        <v/>
      </c>
      <c r="Q86" s="65" t="str">
        <f>'Retail Pricing Sheet'!R19</f>
        <v/>
      </c>
      <c r="R86" s="65" t="str">
        <f>'Retail Pricing Sheet'!S19</f>
        <v/>
      </c>
      <c r="S86" s="65" t="str">
        <f>'Retail Pricing Sheet'!T19</f>
        <v/>
      </c>
      <c r="T86" s="65" t="str">
        <f>'Retail Pricing Sheet'!U19</f>
        <v/>
      </c>
      <c r="Y86" s="68"/>
    </row>
    <row r="87" spans="1:25" s="154" customFormat="1" x14ac:dyDescent="0.2">
      <c r="A87" s="153">
        <f>'Retail Pricing Sheet'!B20</f>
        <v>0</v>
      </c>
      <c r="B87" s="154" t="str">
        <f>'Retail Pricing Sheet'!C20</f>
        <v/>
      </c>
      <c r="C87" s="154">
        <f>'Retail Pricing Sheet'!D20</f>
        <v>0</v>
      </c>
      <c r="D87" s="154">
        <f>'Retail Pricing Sheet'!E20</f>
        <v>0</v>
      </c>
      <c r="E87" s="154" t="str">
        <f>'Retail Pricing Sheet'!F20</f>
        <v/>
      </c>
      <c r="F87" s="154" t="str">
        <f>'Retail Pricing Sheet'!G20</f>
        <v/>
      </c>
      <c r="G87" s="154" t="str">
        <f>'Retail Pricing Sheet'!H20</f>
        <v/>
      </c>
      <c r="H87" s="154" t="str">
        <f>'Retail Pricing Sheet'!I20</f>
        <v/>
      </c>
      <c r="I87" s="154" t="str">
        <f>'Retail Pricing Sheet'!J20</f>
        <v/>
      </c>
      <c r="J87" s="154" t="str">
        <f>'Retail Pricing Sheet'!K20</f>
        <v/>
      </c>
      <c r="K87" s="154" t="str">
        <f>'Retail Pricing Sheet'!L20</f>
        <v/>
      </c>
      <c r="L87" s="154" t="str">
        <f>'Retail Pricing Sheet'!M20</f>
        <v/>
      </c>
      <c r="M87" s="154" t="str">
        <f>'Retail Pricing Sheet'!N20</f>
        <v/>
      </c>
      <c r="N87" s="154" t="str">
        <f>'Retail Pricing Sheet'!O20</f>
        <v/>
      </c>
      <c r="O87" s="154" t="str">
        <f>'Retail Pricing Sheet'!P20</f>
        <v/>
      </c>
      <c r="P87" s="154" t="str">
        <f>'Retail Pricing Sheet'!Q20</f>
        <v/>
      </c>
      <c r="Q87" s="154" t="str">
        <f>'Retail Pricing Sheet'!R20</f>
        <v/>
      </c>
      <c r="R87" s="154" t="str">
        <f>'Retail Pricing Sheet'!S20</f>
        <v/>
      </c>
      <c r="S87" s="154" t="str">
        <f>'Retail Pricing Sheet'!T20</f>
        <v/>
      </c>
      <c r="T87" s="154" t="str">
        <f>'Retail Pricing Sheet'!U20</f>
        <v/>
      </c>
      <c r="Y87" s="155"/>
    </row>
    <row r="88" spans="1:25" x14ac:dyDescent="0.2">
      <c r="A88" s="152"/>
      <c r="B88" s="65"/>
      <c r="C88" s="65"/>
      <c r="D88" s="65"/>
      <c r="E88" s="65"/>
      <c r="F88" s="65"/>
      <c r="G88" s="65"/>
      <c r="H88" s="65"/>
      <c r="I88" s="65"/>
      <c r="J88" s="65"/>
      <c r="K88" s="65"/>
      <c r="L88" s="65"/>
      <c r="M88" s="65"/>
      <c r="N88" s="65"/>
      <c r="O88" s="65"/>
      <c r="P88" s="65"/>
      <c r="Q88" s="65"/>
      <c r="R88" s="65"/>
      <c r="S88" s="65"/>
      <c r="T88" s="65"/>
      <c r="U88" s="65"/>
      <c r="V88" s="65"/>
      <c r="W88" s="65"/>
      <c r="X88" s="65"/>
      <c r="Y88" s="68"/>
    </row>
    <row r="89" spans="1:25" x14ac:dyDescent="0.2">
      <c r="A89" s="152"/>
      <c r="B89" s="65"/>
      <c r="C89" s="65"/>
      <c r="D89" s="65"/>
      <c r="E89" s="65"/>
      <c r="F89" s="65"/>
      <c r="G89" s="65"/>
      <c r="H89" s="65"/>
      <c r="I89" s="65"/>
      <c r="J89" s="65"/>
      <c r="K89" s="65"/>
      <c r="L89" s="65"/>
      <c r="M89" s="65"/>
      <c r="N89" s="65"/>
      <c r="O89" s="65"/>
      <c r="P89" s="65"/>
      <c r="Q89" s="65"/>
      <c r="R89" s="65"/>
      <c r="S89" s="65"/>
      <c r="T89" s="65"/>
      <c r="U89" s="65"/>
      <c r="V89" s="65"/>
      <c r="W89" s="65"/>
      <c r="X89" s="65"/>
      <c r="Y89" s="68"/>
    </row>
    <row r="90" spans="1:25" x14ac:dyDescent="0.2">
      <c r="A90" s="151" t="str">
        <f>'Retail Pricing Sheet'!B23</f>
        <v>Weekend Pricing</v>
      </c>
      <c r="B90" s="151"/>
      <c r="C90" s="151" t="str">
        <f>'Retail Pricing Sheet'!D23</f>
        <v>Friday</v>
      </c>
      <c r="D90" s="151" t="str">
        <f>'Retail Pricing Sheet'!E23</f>
        <v>Saturday</v>
      </c>
      <c r="E90" s="151"/>
      <c r="F90" s="151"/>
      <c r="G90" s="67"/>
      <c r="H90" s="67"/>
      <c r="I90" s="67"/>
      <c r="J90" s="67"/>
      <c r="K90" s="67"/>
      <c r="L90" s="67"/>
      <c r="M90" s="67"/>
      <c r="N90" s="67"/>
      <c r="O90" s="67"/>
      <c r="P90" s="67"/>
      <c r="Q90" s="67"/>
      <c r="R90" s="67"/>
      <c r="S90" s="67"/>
      <c r="T90" s="64"/>
      <c r="U90" s="65"/>
      <c r="V90" s="65"/>
      <c r="W90" s="65"/>
      <c r="X90" s="65"/>
      <c r="Y90" s="68"/>
    </row>
    <row r="91" spans="1:25" x14ac:dyDescent="0.2">
      <c r="A91" s="152"/>
      <c r="B91" s="65"/>
      <c r="C91" s="65"/>
      <c r="D91" s="65"/>
      <c r="E91" s="65"/>
      <c r="F91" s="65"/>
      <c r="G91" s="65"/>
      <c r="H91" s="65"/>
      <c r="I91" s="65"/>
      <c r="J91" s="65"/>
      <c r="K91" s="65"/>
      <c r="L91" s="65"/>
      <c r="M91" s="65"/>
      <c r="N91" s="65"/>
      <c r="O91" s="65"/>
      <c r="P91" s="65"/>
      <c r="Q91" s="65"/>
      <c r="R91" s="65"/>
      <c r="S91" s="65"/>
      <c r="T91" s="68"/>
      <c r="U91" s="65"/>
      <c r="V91" s="65"/>
      <c r="W91" s="65"/>
      <c r="X91" s="65"/>
      <c r="Y91" s="68"/>
    </row>
    <row r="92" spans="1:25" x14ac:dyDescent="0.2">
      <c r="A92" s="152" t="str">
        <f>'Retail Pricing Sheet'!B25</f>
        <v>Weekend Strategy</v>
      </c>
      <c r="B92" s="65"/>
      <c r="C92" s="65"/>
      <c r="D92" s="65"/>
      <c r="E92" s="65"/>
      <c r="F92" s="65"/>
      <c r="G92" s="65"/>
      <c r="H92" s="65"/>
      <c r="I92" s="65"/>
      <c r="J92" s="65"/>
      <c r="K92" s="65"/>
      <c r="L92" s="65"/>
      <c r="M92" s="65"/>
      <c r="N92" s="65"/>
      <c r="O92" s="65"/>
      <c r="P92" s="65"/>
      <c r="Q92" s="65"/>
      <c r="R92" s="65"/>
      <c r="S92" s="65"/>
      <c r="T92" s="68"/>
      <c r="U92" s="65"/>
      <c r="V92" s="65"/>
      <c r="W92" s="65"/>
      <c r="X92" s="65"/>
      <c r="Y92" s="68"/>
    </row>
    <row r="93" spans="1:25" x14ac:dyDescent="0.2">
      <c r="A93" s="152"/>
      <c r="B93" s="65"/>
      <c r="C93" s="65"/>
      <c r="D93" s="65"/>
      <c r="E93" s="65"/>
      <c r="F93" s="65"/>
      <c r="G93" s="65"/>
      <c r="H93" s="65"/>
      <c r="I93" s="65"/>
      <c r="J93" s="65"/>
      <c r="K93" s="65"/>
      <c r="L93" s="65"/>
      <c r="M93" s="65"/>
      <c r="N93" s="65"/>
      <c r="O93" s="65"/>
      <c r="P93" s="65"/>
      <c r="Q93" s="65"/>
      <c r="R93" s="65"/>
      <c r="S93" s="65"/>
      <c r="T93" s="68"/>
      <c r="U93" s="65"/>
      <c r="V93" s="65"/>
      <c r="W93" s="65"/>
      <c r="X93" s="65"/>
      <c r="Y93" s="68"/>
    </row>
    <row r="94" spans="1:25" x14ac:dyDescent="0.2">
      <c r="A94" s="152" t="str">
        <f>'Retail Pricing Sheet'!B27</f>
        <v>Do not complete table below if having 7 day pricing</v>
      </c>
      <c r="B94" s="65"/>
      <c r="C94" s="65"/>
      <c r="D94" s="65"/>
      <c r="E94" s="65"/>
      <c r="F94" s="65"/>
      <c r="G94" s="65"/>
      <c r="H94" s="65"/>
      <c r="I94" s="65"/>
      <c r="J94" s="65"/>
      <c r="K94" s="65"/>
      <c r="L94" s="65"/>
      <c r="M94" s="65"/>
      <c r="N94" s="65"/>
      <c r="O94" s="65"/>
      <c r="P94" s="65"/>
      <c r="Q94" s="65"/>
      <c r="R94" s="65"/>
      <c r="S94" s="65"/>
      <c r="T94" s="68"/>
      <c r="U94" s="65"/>
      <c r="V94" s="65"/>
      <c r="W94" s="65"/>
      <c r="X94" s="65"/>
      <c r="Y94" s="68"/>
    </row>
    <row r="95" spans="1:25" x14ac:dyDescent="0.2">
      <c r="A95" s="152" t="str">
        <f>'Retail Pricing Sheet'!B28</f>
        <v>II.9</v>
      </c>
      <c r="B95" s="65"/>
      <c r="C95" s="65"/>
      <c r="D95" s="65"/>
      <c r="E95" s="65"/>
      <c r="F95" s="65"/>
      <c r="G95" s="65"/>
      <c r="H95" s="65"/>
      <c r="I95" s="65"/>
      <c r="J95" s="65"/>
      <c r="K95" s="65"/>
      <c r="L95" s="65"/>
      <c r="M95" s="65"/>
      <c r="N95" s="65"/>
      <c r="O95" s="65"/>
      <c r="P95" s="65"/>
      <c r="Q95" s="65"/>
      <c r="R95" s="65"/>
      <c r="S95" s="65"/>
      <c r="T95" s="68"/>
      <c r="U95" s="65"/>
      <c r="V95" s="65"/>
      <c r="W95" s="65"/>
      <c r="X95" s="65"/>
      <c r="Y95" s="68"/>
    </row>
    <row r="96" spans="1:25" x14ac:dyDescent="0.2">
      <c r="A96" s="152" t="str">
        <f>'Retail Pricing Sheet'!B29</f>
        <v>Room Pool</v>
      </c>
      <c r="B96" s="65" t="str">
        <f>'Retail Pricing Sheet'!C29</f>
        <v>Room Pool Classification</v>
      </c>
      <c r="C96" s="65" t="str">
        <f>'Retail Pricing Sheet'!D29</f>
        <v>Standard Supplement</v>
      </c>
      <c r="D96" s="65" t="str">
        <f>'Retail Pricing Sheet'!E29</f>
        <v>Alternate Supplement 
(optional)</v>
      </c>
      <c r="E96" s="65" t="str">
        <f>'Retail Pricing Sheet'!F29</f>
        <v>Default Rates</v>
      </c>
      <c r="F96" s="65" t="str">
        <f>'Retail Pricing Sheet'!G29</f>
        <v>Enter Season Dates Here</v>
      </c>
      <c r="G96" s="65" t="str">
        <f>'Retail Pricing Sheet'!H29</f>
        <v>Enter Season Dates Here</v>
      </c>
      <c r="H96" s="65" t="str">
        <f>'Retail Pricing Sheet'!I29</f>
        <v>Enter Season Dates Here</v>
      </c>
      <c r="I96" s="65" t="str">
        <f>'Retail Pricing Sheet'!J29</f>
        <v>Enter Season Dates Here</v>
      </c>
      <c r="J96" s="65" t="str">
        <f>'Retail Pricing Sheet'!K29</f>
        <v>Enter Season Dates Here</v>
      </c>
      <c r="K96" s="65" t="str">
        <f>'Retail Pricing Sheet'!L29</f>
        <v>Enter Season Dates Here</v>
      </c>
      <c r="L96" s="65" t="str">
        <f>'Retail Pricing Sheet'!M29</f>
        <v>Enter Season Dates Here</v>
      </c>
      <c r="M96" s="65" t="str">
        <f>'Retail Pricing Sheet'!N29</f>
        <v>Enter Season Dates Here</v>
      </c>
      <c r="N96" s="65" t="str">
        <f>'Retail Pricing Sheet'!O29</f>
        <v>Enter Season Dates Here</v>
      </c>
      <c r="O96" s="65" t="str">
        <f>'Retail Pricing Sheet'!P29</f>
        <v>Enter Season Dates Here</v>
      </c>
      <c r="P96" s="65" t="str">
        <f>'Retail Pricing Sheet'!Q29</f>
        <v>Enter Season Dates Here</v>
      </c>
      <c r="Q96" s="65" t="str">
        <f>'Retail Pricing Sheet'!R29</f>
        <v>Enter Season Dates Here</v>
      </c>
      <c r="R96" s="65" t="str">
        <f>'Retail Pricing Sheet'!S29</f>
        <v>Enter Season Dates Here</v>
      </c>
      <c r="S96" s="65" t="str">
        <f>'Retail Pricing Sheet'!T29</f>
        <v>Enter Season Dates Here</v>
      </c>
      <c r="T96" s="68" t="str">
        <f>'Retail Pricing Sheet'!U29</f>
        <v>Enter Season Dates Here</v>
      </c>
      <c r="U96" s="65"/>
      <c r="V96" s="65"/>
      <c r="W96" s="65"/>
      <c r="X96" s="65"/>
      <c r="Y96" s="68"/>
    </row>
    <row r="97" spans="1:25" x14ac:dyDescent="0.2">
      <c r="A97" s="152">
        <f>'Retail Pricing Sheet'!B30</f>
        <v>0</v>
      </c>
      <c r="B97" s="65">
        <f>'Retail Pricing Sheet'!C30</f>
        <v>0</v>
      </c>
      <c r="C97" s="65">
        <f>'Retail Pricing Sheet'!D30</f>
        <v>0</v>
      </c>
      <c r="D97" s="65">
        <f>'Retail Pricing Sheet'!E30</f>
        <v>0</v>
      </c>
      <c r="E97" s="65" t="str">
        <f>'Retail Pricing Sheet'!F30</f>
        <v>Standard</v>
      </c>
      <c r="F97" s="65">
        <f>'Retail Pricing Sheet'!G30</f>
        <v>0</v>
      </c>
      <c r="G97" s="65">
        <f>'Retail Pricing Sheet'!H30</f>
        <v>0</v>
      </c>
      <c r="H97" s="65">
        <f>'Retail Pricing Sheet'!I30</f>
        <v>0</v>
      </c>
      <c r="I97" s="65">
        <f>'Retail Pricing Sheet'!J30</f>
        <v>0</v>
      </c>
      <c r="J97" s="65">
        <f>'Retail Pricing Sheet'!K30</f>
        <v>0</v>
      </c>
      <c r="K97" s="65">
        <f>'Retail Pricing Sheet'!L30</f>
        <v>0</v>
      </c>
      <c r="L97" s="65">
        <f>'Retail Pricing Sheet'!M30</f>
        <v>0</v>
      </c>
      <c r="M97" s="65">
        <f>'Retail Pricing Sheet'!N30</f>
        <v>0</v>
      </c>
      <c r="N97" s="65">
        <f>'Retail Pricing Sheet'!O30</f>
        <v>0</v>
      </c>
      <c r="O97" s="65">
        <f>'Retail Pricing Sheet'!P30</f>
        <v>0</v>
      </c>
      <c r="P97" s="65">
        <f>'Retail Pricing Sheet'!Q30</f>
        <v>0</v>
      </c>
      <c r="Q97" s="65">
        <f>'Retail Pricing Sheet'!R30</f>
        <v>0</v>
      </c>
      <c r="R97" s="65">
        <f>'Retail Pricing Sheet'!S30</f>
        <v>0</v>
      </c>
      <c r="S97" s="65">
        <f>'Retail Pricing Sheet'!T30</f>
        <v>0</v>
      </c>
      <c r="T97" s="68">
        <f>'Retail Pricing Sheet'!U30</f>
        <v>0</v>
      </c>
      <c r="U97" s="65"/>
      <c r="V97" s="65"/>
      <c r="W97" s="65"/>
      <c r="X97" s="65"/>
      <c r="Y97" s="68"/>
    </row>
    <row r="98" spans="1:25" x14ac:dyDescent="0.2">
      <c r="A98" s="152" t="str">
        <f>'Retail Pricing Sheet'!B31</f>
        <v>KING</v>
      </c>
      <c r="B98" s="65" t="str">
        <f>'Retail Pricing Sheet'!C31</f>
        <v>Standard</v>
      </c>
      <c r="C98" s="65">
        <f>'Retail Pricing Sheet'!D31</f>
        <v>0</v>
      </c>
      <c r="D98" s="65">
        <f>'Retail Pricing Sheet'!E31</f>
        <v>0</v>
      </c>
      <c r="E98" s="65">
        <f>'Retail Pricing Sheet'!F31</f>
        <v>388</v>
      </c>
      <c r="F98" s="65">
        <f>'Retail Pricing Sheet'!G31</f>
        <v>0</v>
      </c>
      <c r="G98" s="65">
        <f>'Retail Pricing Sheet'!H31</f>
        <v>0</v>
      </c>
      <c r="H98" s="65">
        <f>'Retail Pricing Sheet'!I31</f>
        <v>0</v>
      </c>
      <c r="I98" s="65">
        <f>'Retail Pricing Sheet'!J31</f>
        <v>0</v>
      </c>
      <c r="J98" s="65">
        <f>'Retail Pricing Sheet'!K31</f>
        <v>0</v>
      </c>
      <c r="K98" s="65">
        <f>'Retail Pricing Sheet'!L31</f>
        <v>0</v>
      </c>
      <c r="L98" s="65">
        <f>'Retail Pricing Sheet'!M31</f>
        <v>0</v>
      </c>
      <c r="M98" s="65">
        <f>'Retail Pricing Sheet'!N31</f>
        <v>0</v>
      </c>
      <c r="N98" s="65">
        <f>'Retail Pricing Sheet'!O31</f>
        <v>0</v>
      </c>
      <c r="O98" s="65">
        <f>'Retail Pricing Sheet'!P31</f>
        <v>0</v>
      </c>
      <c r="P98" s="65">
        <f>'Retail Pricing Sheet'!Q31</f>
        <v>0</v>
      </c>
      <c r="Q98" s="65">
        <f>'Retail Pricing Sheet'!R31</f>
        <v>0</v>
      </c>
      <c r="R98" s="65">
        <f>'Retail Pricing Sheet'!S31</f>
        <v>0</v>
      </c>
      <c r="S98" s="65">
        <f>'Retail Pricing Sheet'!T31</f>
        <v>0</v>
      </c>
      <c r="T98" s="68">
        <f>'Retail Pricing Sheet'!U31</f>
        <v>0</v>
      </c>
      <c r="U98" s="65"/>
      <c r="V98" s="65"/>
      <c r="W98" s="65"/>
      <c r="X98" s="65"/>
      <c r="Y98" s="68"/>
    </row>
    <row r="99" spans="1:25" x14ac:dyDescent="0.2">
      <c r="A99" s="152" t="str">
        <f>'Retail Pricing Sheet'!B32</f>
        <v>DBDB</v>
      </c>
      <c r="B99" s="65" t="str">
        <f>'Retail Pricing Sheet'!C32</f>
        <v>Standard</v>
      </c>
      <c r="C99" s="65" t="str">
        <f>'Retail Pricing Sheet'!D32</f>
        <v/>
      </c>
      <c r="D99" s="65" t="str">
        <f>'Retail Pricing Sheet'!E32</f>
        <v/>
      </c>
      <c r="E99" s="65">
        <f>'Retail Pricing Sheet'!F32</f>
        <v>368</v>
      </c>
      <c r="F99" s="65" t="str">
        <f>'Retail Pricing Sheet'!G32</f>
        <v/>
      </c>
      <c r="G99" s="65" t="str">
        <f>'Retail Pricing Sheet'!H32</f>
        <v/>
      </c>
      <c r="H99" s="65" t="str">
        <f>'Retail Pricing Sheet'!I32</f>
        <v/>
      </c>
      <c r="I99" s="65" t="str">
        <f>'Retail Pricing Sheet'!J32</f>
        <v/>
      </c>
      <c r="J99" s="65" t="str">
        <f>'Retail Pricing Sheet'!K32</f>
        <v/>
      </c>
      <c r="K99" s="65" t="str">
        <f>'Retail Pricing Sheet'!L32</f>
        <v/>
      </c>
      <c r="L99" s="65" t="str">
        <f>'Retail Pricing Sheet'!M32</f>
        <v/>
      </c>
      <c r="M99" s="65" t="str">
        <f>'Retail Pricing Sheet'!N32</f>
        <v/>
      </c>
      <c r="N99" s="65" t="str">
        <f>'Retail Pricing Sheet'!O32</f>
        <v/>
      </c>
      <c r="O99" s="65" t="str">
        <f>'Retail Pricing Sheet'!P32</f>
        <v/>
      </c>
      <c r="P99" s="65" t="str">
        <f>'Retail Pricing Sheet'!Q32</f>
        <v/>
      </c>
      <c r="Q99" s="65" t="str">
        <f>'Retail Pricing Sheet'!R32</f>
        <v/>
      </c>
      <c r="R99" s="65" t="str">
        <f>'Retail Pricing Sheet'!S32</f>
        <v/>
      </c>
      <c r="S99" s="65" t="str">
        <f>'Retail Pricing Sheet'!T32</f>
        <v/>
      </c>
      <c r="T99" s="68" t="str">
        <f>'Retail Pricing Sheet'!U32</f>
        <v/>
      </c>
      <c r="U99" s="65"/>
      <c r="V99" s="65"/>
      <c r="W99" s="65"/>
      <c r="X99" s="65"/>
      <c r="Y99" s="68"/>
    </row>
    <row r="100" spans="1:25" x14ac:dyDescent="0.2">
      <c r="A100" s="152" t="str">
        <f>'Retail Pricing Sheet'!B33</f>
        <v>PMRS</v>
      </c>
      <c r="B100" s="65" t="str">
        <f>'Retail Pricing Sheet'!C33</f>
        <v>Standard</v>
      </c>
      <c r="C100" s="65" t="str">
        <f>'Retail Pricing Sheet'!D33</f>
        <v/>
      </c>
      <c r="D100" s="65" t="str">
        <f>'Retail Pricing Sheet'!E33</f>
        <v/>
      </c>
      <c r="E100" s="65">
        <f>'Retail Pricing Sheet'!F33</f>
        <v>438</v>
      </c>
      <c r="F100" s="65" t="str">
        <f>'Retail Pricing Sheet'!G33</f>
        <v/>
      </c>
      <c r="G100" s="65" t="str">
        <f>'Retail Pricing Sheet'!H33</f>
        <v/>
      </c>
      <c r="H100" s="65" t="str">
        <f>'Retail Pricing Sheet'!I33</f>
        <v/>
      </c>
      <c r="I100" s="65" t="str">
        <f>'Retail Pricing Sheet'!J33</f>
        <v/>
      </c>
      <c r="J100" s="65" t="str">
        <f>'Retail Pricing Sheet'!K33</f>
        <v/>
      </c>
      <c r="K100" s="65" t="str">
        <f>'Retail Pricing Sheet'!L33</f>
        <v/>
      </c>
      <c r="L100" s="65" t="str">
        <f>'Retail Pricing Sheet'!M33</f>
        <v/>
      </c>
      <c r="M100" s="65" t="str">
        <f>'Retail Pricing Sheet'!N33</f>
        <v/>
      </c>
      <c r="N100" s="65" t="str">
        <f>'Retail Pricing Sheet'!O33</f>
        <v/>
      </c>
      <c r="O100" s="65" t="str">
        <f>'Retail Pricing Sheet'!P33</f>
        <v/>
      </c>
      <c r="P100" s="65" t="str">
        <f>'Retail Pricing Sheet'!Q33</f>
        <v/>
      </c>
      <c r="Q100" s="65" t="str">
        <f>'Retail Pricing Sheet'!R33</f>
        <v/>
      </c>
      <c r="R100" s="65" t="str">
        <f>'Retail Pricing Sheet'!S33</f>
        <v/>
      </c>
      <c r="S100" s="65" t="str">
        <f>'Retail Pricing Sheet'!T33</f>
        <v/>
      </c>
      <c r="T100" s="68" t="str">
        <f>'Retail Pricing Sheet'!U33</f>
        <v/>
      </c>
      <c r="U100" s="65"/>
      <c r="V100" s="65"/>
      <c r="W100" s="65"/>
      <c r="X100" s="65"/>
      <c r="Y100" s="68"/>
    </row>
    <row r="101" spans="1:25" x14ac:dyDescent="0.2">
      <c r="A101" s="152" t="str">
        <f>'Retail Pricing Sheet'!B34</f>
        <v>PMRS</v>
      </c>
      <c r="B101" s="65" t="str">
        <f>'Retail Pricing Sheet'!C34</f>
        <v>Standard</v>
      </c>
      <c r="C101" s="65" t="str">
        <f>'Retail Pricing Sheet'!D34</f>
        <v/>
      </c>
      <c r="D101" s="65" t="str">
        <f>'Retail Pricing Sheet'!E34</f>
        <v/>
      </c>
      <c r="E101" s="65">
        <f>'Retail Pricing Sheet'!F34</f>
        <v>458</v>
      </c>
      <c r="F101" s="65" t="str">
        <f>'Retail Pricing Sheet'!G34</f>
        <v/>
      </c>
      <c r="G101" s="65" t="str">
        <f>'Retail Pricing Sheet'!H34</f>
        <v/>
      </c>
      <c r="H101" s="65" t="str">
        <f>'Retail Pricing Sheet'!I34</f>
        <v/>
      </c>
      <c r="I101" s="65" t="str">
        <f>'Retail Pricing Sheet'!J34</f>
        <v/>
      </c>
      <c r="J101" s="65" t="str">
        <f>'Retail Pricing Sheet'!K34</f>
        <v/>
      </c>
      <c r="K101" s="65" t="str">
        <f>'Retail Pricing Sheet'!L34</f>
        <v/>
      </c>
      <c r="L101" s="65" t="str">
        <f>'Retail Pricing Sheet'!M34</f>
        <v/>
      </c>
      <c r="M101" s="65" t="str">
        <f>'Retail Pricing Sheet'!N34</f>
        <v/>
      </c>
      <c r="N101" s="65" t="str">
        <f>'Retail Pricing Sheet'!O34</f>
        <v/>
      </c>
      <c r="O101" s="65" t="str">
        <f>'Retail Pricing Sheet'!P34</f>
        <v/>
      </c>
      <c r="P101" s="65" t="str">
        <f>'Retail Pricing Sheet'!Q34</f>
        <v/>
      </c>
      <c r="Q101" s="65" t="str">
        <f>'Retail Pricing Sheet'!R34</f>
        <v/>
      </c>
      <c r="R101" s="65" t="str">
        <f>'Retail Pricing Sheet'!S34</f>
        <v/>
      </c>
      <c r="S101" s="65" t="str">
        <f>'Retail Pricing Sheet'!T34</f>
        <v/>
      </c>
      <c r="T101" s="68" t="str">
        <f>'Retail Pricing Sheet'!U34</f>
        <v/>
      </c>
      <c r="U101" s="65"/>
      <c r="V101" s="65"/>
      <c r="W101" s="65"/>
      <c r="X101" s="65"/>
      <c r="Y101" s="68"/>
    </row>
    <row r="102" spans="1:25" x14ac:dyDescent="0.2">
      <c r="A102" s="152">
        <f>'Retail Pricing Sheet'!B35</f>
        <v>0</v>
      </c>
      <c r="B102" s="65" t="str">
        <f>'Retail Pricing Sheet'!C35</f>
        <v/>
      </c>
      <c r="C102" s="65" t="str">
        <f>'Retail Pricing Sheet'!D35</f>
        <v/>
      </c>
      <c r="D102" s="65" t="str">
        <f>'Retail Pricing Sheet'!E35</f>
        <v/>
      </c>
      <c r="E102" s="65" t="str">
        <f>'Retail Pricing Sheet'!F35</f>
        <v/>
      </c>
      <c r="F102" s="65" t="str">
        <f>'Retail Pricing Sheet'!G35</f>
        <v/>
      </c>
      <c r="G102" s="65" t="str">
        <f>'Retail Pricing Sheet'!H35</f>
        <v/>
      </c>
      <c r="H102" s="65" t="str">
        <f>'Retail Pricing Sheet'!I35</f>
        <v/>
      </c>
      <c r="I102" s="65" t="str">
        <f>'Retail Pricing Sheet'!J35</f>
        <v/>
      </c>
      <c r="J102" s="65" t="str">
        <f>'Retail Pricing Sheet'!K35</f>
        <v/>
      </c>
      <c r="K102" s="65" t="str">
        <f>'Retail Pricing Sheet'!L35</f>
        <v/>
      </c>
      <c r="L102" s="65" t="str">
        <f>'Retail Pricing Sheet'!M35</f>
        <v/>
      </c>
      <c r="M102" s="65" t="str">
        <f>'Retail Pricing Sheet'!N35</f>
        <v/>
      </c>
      <c r="N102" s="65" t="str">
        <f>'Retail Pricing Sheet'!O35</f>
        <v/>
      </c>
      <c r="O102" s="65" t="str">
        <f>'Retail Pricing Sheet'!P35</f>
        <v/>
      </c>
      <c r="P102" s="65" t="str">
        <f>'Retail Pricing Sheet'!Q35</f>
        <v/>
      </c>
      <c r="Q102" s="65" t="str">
        <f>'Retail Pricing Sheet'!R35</f>
        <v/>
      </c>
      <c r="R102" s="65" t="str">
        <f>'Retail Pricing Sheet'!S35</f>
        <v/>
      </c>
      <c r="S102" s="65" t="str">
        <f>'Retail Pricing Sheet'!T35</f>
        <v/>
      </c>
      <c r="T102" s="68" t="str">
        <f>'Retail Pricing Sheet'!U35</f>
        <v/>
      </c>
      <c r="U102" s="65"/>
      <c r="V102" s="65"/>
      <c r="W102" s="65"/>
      <c r="X102" s="65"/>
      <c r="Y102" s="68"/>
    </row>
    <row r="103" spans="1:25" x14ac:dyDescent="0.2">
      <c r="A103" s="152">
        <f>'Retail Pricing Sheet'!B36</f>
        <v>0</v>
      </c>
      <c r="B103" s="65" t="str">
        <f>'Retail Pricing Sheet'!C36</f>
        <v/>
      </c>
      <c r="C103" s="65" t="str">
        <f>'Retail Pricing Sheet'!D36</f>
        <v/>
      </c>
      <c r="D103" s="65" t="str">
        <f>'Retail Pricing Sheet'!E36</f>
        <v/>
      </c>
      <c r="E103" s="65" t="str">
        <f>'Retail Pricing Sheet'!F36</f>
        <v/>
      </c>
      <c r="F103" s="65" t="str">
        <f>'Retail Pricing Sheet'!G36</f>
        <v/>
      </c>
      <c r="G103" s="65" t="str">
        <f>'Retail Pricing Sheet'!H36</f>
        <v/>
      </c>
      <c r="H103" s="65" t="str">
        <f>'Retail Pricing Sheet'!I36</f>
        <v/>
      </c>
      <c r="I103" s="65" t="str">
        <f>'Retail Pricing Sheet'!J36</f>
        <v/>
      </c>
      <c r="J103" s="65" t="str">
        <f>'Retail Pricing Sheet'!K36</f>
        <v/>
      </c>
      <c r="K103" s="65" t="str">
        <f>'Retail Pricing Sheet'!L36</f>
        <v/>
      </c>
      <c r="L103" s="65" t="str">
        <f>'Retail Pricing Sheet'!M36</f>
        <v/>
      </c>
      <c r="M103" s="65" t="str">
        <f>'Retail Pricing Sheet'!N36</f>
        <v/>
      </c>
      <c r="N103" s="65" t="str">
        <f>'Retail Pricing Sheet'!O36</f>
        <v/>
      </c>
      <c r="O103" s="65" t="str">
        <f>'Retail Pricing Sheet'!P36</f>
        <v/>
      </c>
      <c r="P103" s="65" t="str">
        <f>'Retail Pricing Sheet'!Q36</f>
        <v/>
      </c>
      <c r="Q103" s="65" t="str">
        <f>'Retail Pricing Sheet'!R36</f>
        <v/>
      </c>
      <c r="R103" s="65" t="str">
        <f>'Retail Pricing Sheet'!S36</f>
        <v/>
      </c>
      <c r="S103" s="65" t="str">
        <f>'Retail Pricing Sheet'!T36</f>
        <v/>
      </c>
      <c r="T103" s="68" t="str">
        <f>'Retail Pricing Sheet'!U36</f>
        <v/>
      </c>
      <c r="U103" s="65"/>
      <c r="V103" s="65"/>
      <c r="W103" s="65"/>
      <c r="X103" s="65"/>
      <c r="Y103" s="68"/>
    </row>
    <row r="104" spans="1:25" x14ac:dyDescent="0.2">
      <c r="A104" s="152">
        <f>'Retail Pricing Sheet'!B37</f>
        <v>0</v>
      </c>
      <c r="B104" s="65" t="str">
        <f>'Retail Pricing Sheet'!C37</f>
        <v/>
      </c>
      <c r="C104" s="65" t="str">
        <f>'Retail Pricing Sheet'!D37</f>
        <v/>
      </c>
      <c r="D104" s="65" t="str">
        <f>'Retail Pricing Sheet'!E37</f>
        <v/>
      </c>
      <c r="E104" s="65" t="str">
        <f>'Retail Pricing Sheet'!F37</f>
        <v/>
      </c>
      <c r="F104" s="65" t="str">
        <f>'Retail Pricing Sheet'!G37</f>
        <v/>
      </c>
      <c r="G104" s="65" t="str">
        <f>'Retail Pricing Sheet'!H37</f>
        <v/>
      </c>
      <c r="H104" s="65" t="str">
        <f>'Retail Pricing Sheet'!I37</f>
        <v/>
      </c>
      <c r="I104" s="65" t="str">
        <f>'Retail Pricing Sheet'!J37</f>
        <v/>
      </c>
      <c r="J104" s="65" t="str">
        <f>'Retail Pricing Sheet'!K37</f>
        <v/>
      </c>
      <c r="K104" s="65" t="str">
        <f>'Retail Pricing Sheet'!L37</f>
        <v/>
      </c>
      <c r="L104" s="65" t="str">
        <f>'Retail Pricing Sheet'!M37</f>
        <v/>
      </c>
      <c r="M104" s="65" t="str">
        <f>'Retail Pricing Sheet'!N37</f>
        <v/>
      </c>
      <c r="N104" s="65" t="str">
        <f>'Retail Pricing Sheet'!O37</f>
        <v/>
      </c>
      <c r="O104" s="65" t="str">
        <f>'Retail Pricing Sheet'!P37</f>
        <v/>
      </c>
      <c r="P104" s="65" t="str">
        <f>'Retail Pricing Sheet'!Q37</f>
        <v/>
      </c>
      <c r="Q104" s="65" t="str">
        <f>'Retail Pricing Sheet'!R37</f>
        <v/>
      </c>
      <c r="R104" s="65" t="str">
        <f>'Retail Pricing Sheet'!S37</f>
        <v/>
      </c>
      <c r="S104" s="65" t="str">
        <f>'Retail Pricing Sheet'!T37</f>
        <v/>
      </c>
      <c r="T104" s="68" t="str">
        <f>'Retail Pricing Sheet'!U37</f>
        <v/>
      </c>
      <c r="U104" s="65"/>
      <c r="V104" s="65"/>
      <c r="W104" s="65"/>
      <c r="X104" s="65"/>
      <c r="Y104" s="68"/>
    </row>
    <row r="105" spans="1:25" x14ac:dyDescent="0.2">
      <c r="A105" s="152">
        <f>'Retail Pricing Sheet'!B38</f>
        <v>0</v>
      </c>
      <c r="B105" s="65" t="str">
        <f>'Retail Pricing Sheet'!C38</f>
        <v/>
      </c>
      <c r="C105" s="65" t="str">
        <f>'Retail Pricing Sheet'!D38</f>
        <v/>
      </c>
      <c r="D105" s="65" t="str">
        <f>'Retail Pricing Sheet'!E38</f>
        <v/>
      </c>
      <c r="E105" s="65" t="str">
        <f>'Retail Pricing Sheet'!F38</f>
        <v/>
      </c>
      <c r="F105" s="65" t="str">
        <f>'Retail Pricing Sheet'!G38</f>
        <v/>
      </c>
      <c r="G105" s="65" t="str">
        <f>'Retail Pricing Sheet'!H38</f>
        <v/>
      </c>
      <c r="H105" s="65" t="str">
        <f>'Retail Pricing Sheet'!I38</f>
        <v/>
      </c>
      <c r="I105" s="65" t="str">
        <f>'Retail Pricing Sheet'!J38</f>
        <v/>
      </c>
      <c r="J105" s="65" t="str">
        <f>'Retail Pricing Sheet'!K38</f>
        <v/>
      </c>
      <c r="K105" s="65" t="str">
        <f>'Retail Pricing Sheet'!L38</f>
        <v/>
      </c>
      <c r="L105" s="65" t="str">
        <f>'Retail Pricing Sheet'!M38</f>
        <v/>
      </c>
      <c r="M105" s="65" t="str">
        <f>'Retail Pricing Sheet'!N38</f>
        <v/>
      </c>
      <c r="N105" s="65" t="str">
        <f>'Retail Pricing Sheet'!O38</f>
        <v/>
      </c>
      <c r="O105" s="65" t="str">
        <f>'Retail Pricing Sheet'!P38</f>
        <v/>
      </c>
      <c r="P105" s="65" t="str">
        <f>'Retail Pricing Sheet'!Q38</f>
        <v/>
      </c>
      <c r="Q105" s="65" t="str">
        <f>'Retail Pricing Sheet'!R38</f>
        <v/>
      </c>
      <c r="R105" s="65" t="str">
        <f>'Retail Pricing Sheet'!S38</f>
        <v/>
      </c>
      <c r="S105" s="65" t="str">
        <f>'Retail Pricing Sheet'!T38</f>
        <v/>
      </c>
      <c r="T105" s="68" t="str">
        <f>'Retail Pricing Sheet'!U38</f>
        <v/>
      </c>
      <c r="U105" s="65"/>
      <c r="V105" s="65"/>
      <c r="W105" s="65"/>
      <c r="X105" s="65"/>
      <c r="Y105" s="68"/>
    </row>
    <row r="106" spans="1:25" x14ac:dyDescent="0.2">
      <c r="A106" s="152">
        <f>'Retail Pricing Sheet'!B39</f>
        <v>0</v>
      </c>
      <c r="B106" s="65" t="str">
        <f>'Retail Pricing Sheet'!C39</f>
        <v/>
      </c>
      <c r="C106" s="65" t="str">
        <f>'Retail Pricing Sheet'!D39</f>
        <v/>
      </c>
      <c r="D106" s="65" t="str">
        <f>'Retail Pricing Sheet'!E39</f>
        <v/>
      </c>
      <c r="E106" s="65" t="str">
        <f>'Retail Pricing Sheet'!F39</f>
        <v/>
      </c>
      <c r="F106" s="65" t="str">
        <f>'Retail Pricing Sheet'!G39</f>
        <v/>
      </c>
      <c r="G106" s="65" t="str">
        <f>'Retail Pricing Sheet'!H39</f>
        <v/>
      </c>
      <c r="H106" s="65" t="str">
        <f>'Retail Pricing Sheet'!I39</f>
        <v/>
      </c>
      <c r="I106" s="65" t="str">
        <f>'Retail Pricing Sheet'!J39</f>
        <v/>
      </c>
      <c r="J106" s="65" t="str">
        <f>'Retail Pricing Sheet'!K39</f>
        <v/>
      </c>
      <c r="K106" s="65" t="str">
        <f>'Retail Pricing Sheet'!L39</f>
        <v/>
      </c>
      <c r="L106" s="65" t="str">
        <f>'Retail Pricing Sheet'!M39</f>
        <v/>
      </c>
      <c r="M106" s="65" t="str">
        <f>'Retail Pricing Sheet'!N39</f>
        <v/>
      </c>
      <c r="N106" s="65" t="str">
        <f>'Retail Pricing Sheet'!O39</f>
        <v/>
      </c>
      <c r="O106" s="65" t="str">
        <f>'Retail Pricing Sheet'!P39</f>
        <v/>
      </c>
      <c r="P106" s="65" t="str">
        <f>'Retail Pricing Sheet'!Q39</f>
        <v/>
      </c>
      <c r="Q106" s="65" t="str">
        <f>'Retail Pricing Sheet'!R39</f>
        <v/>
      </c>
      <c r="R106" s="65" t="str">
        <f>'Retail Pricing Sheet'!S39</f>
        <v/>
      </c>
      <c r="S106" s="65" t="str">
        <f>'Retail Pricing Sheet'!T39</f>
        <v/>
      </c>
      <c r="T106" s="68" t="str">
        <f>'Retail Pricing Sheet'!U39</f>
        <v/>
      </c>
      <c r="U106" s="65"/>
      <c r="V106" s="65"/>
      <c r="W106" s="65"/>
      <c r="X106" s="65"/>
      <c r="Y106" s="68"/>
    </row>
    <row r="107" spans="1:25" x14ac:dyDescent="0.2">
      <c r="A107" s="152">
        <f>'Retail Pricing Sheet'!B40</f>
        <v>0</v>
      </c>
      <c r="B107" s="65" t="str">
        <f>'Retail Pricing Sheet'!C40</f>
        <v/>
      </c>
      <c r="C107" s="65" t="str">
        <f>'Retail Pricing Sheet'!D40</f>
        <v/>
      </c>
      <c r="D107" s="65" t="str">
        <f>'Retail Pricing Sheet'!E40</f>
        <v/>
      </c>
      <c r="E107" s="65" t="str">
        <f>'Retail Pricing Sheet'!F40</f>
        <v/>
      </c>
      <c r="F107" s="65" t="str">
        <f>'Retail Pricing Sheet'!G40</f>
        <v/>
      </c>
      <c r="G107" s="65" t="str">
        <f>'Retail Pricing Sheet'!H40</f>
        <v/>
      </c>
      <c r="H107" s="65" t="str">
        <f>'Retail Pricing Sheet'!I40</f>
        <v/>
      </c>
      <c r="I107" s="65" t="str">
        <f>'Retail Pricing Sheet'!J40</f>
        <v/>
      </c>
      <c r="J107" s="65" t="str">
        <f>'Retail Pricing Sheet'!K40</f>
        <v/>
      </c>
      <c r="K107" s="65" t="str">
        <f>'Retail Pricing Sheet'!L40</f>
        <v/>
      </c>
      <c r="L107" s="65" t="str">
        <f>'Retail Pricing Sheet'!M40</f>
        <v/>
      </c>
      <c r="M107" s="65" t="str">
        <f>'Retail Pricing Sheet'!N40</f>
        <v/>
      </c>
      <c r="N107" s="65" t="str">
        <f>'Retail Pricing Sheet'!O40</f>
        <v/>
      </c>
      <c r="O107" s="65" t="str">
        <f>'Retail Pricing Sheet'!P40</f>
        <v/>
      </c>
      <c r="P107" s="65" t="str">
        <f>'Retail Pricing Sheet'!Q40</f>
        <v/>
      </c>
      <c r="Q107" s="65" t="str">
        <f>'Retail Pricing Sheet'!R40</f>
        <v/>
      </c>
      <c r="R107" s="65" t="str">
        <f>'Retail Pricing Sheet'!S40</f>
        <v/>
      </c>
      <c r="S107" s="65" t="str">
        <f>'Retail Pricing Sheet'!T40</f>
        <v/>
      </c>
      <c r="T107" s="68" t="str">
        <f>'Retail Pricing Sheet'!U40</f>
        <v/>
      </c>
      <c r="U107" s="65"/>
      <c r="V107" s="65"/>
      <c r="W107" s="65"/>
      <c r="X107" s="65"/>
      <c r="Y107" s="68"/>
    </row>
    <row r="108" spans="1:25" x14ac:dyDescent="0.2">
      <c r="A108" s="152">
        <f>'Retail Pricing Sheet'!B41</f>
        <v>0</v>
      </c>
      <c r="B108" s="65" t="str">
        <f>'Retail Pricing Sheet'!C41</f>
        <v/>
      </c>
      <c r="C108" s="65" t="str">
        <f>'Retail Pricing Sheet'!D41</f>
        <v/>
      </c>
      <c r="D108" s="65" t="str">
        <f>'Retail Pricing Sheet'!E41</f>
        <v/>
      </c>
      <c r="E108" s="65" t="str">
        <f>'Retail Pricing Sheet'!F41</f>
        <v/>
      </c>
      <c r="F108" s="65" t="str">
        <f>'Retail Pricing Sheet'!G41</f>
        <v/>
      </c>
      <c r="G108" s="65" t="str">
        <f>'Retail Pricing Sheet'!H41</f>
        <v/>
      </c>
      <c r="H108" s="65" t="str">
        <f>'Retail Pricing Sheet'!I41</f>
        <v/>
      </c>
      <c r="I108" s="65" t="str">
        <f>'Retail Pricing Sheet'!J41</f>
        <v/>
      </c>
      <c r="J108" s="65" t="str">
        <f>'Retail Pricing Sheet'!K41</f>
        <v/>
      </c>
      <c r="K108" s="65" t="str">
        <f>'Retail Pricing Sheet'!L41</f>
        <v/>
      </c>
      <c r="L108" s="65" t="str">
        <f>'Retail Pricing Sheet'!M41</f>
        <v/>
      </c>
      <c r="M108" s="65" t="str">
        <f>'Retail Pricing Sheet'!N41</f>
        <v/>
      </c>
      <c r="N108" s="65" t="str">
        <f>'Retail Pricing Sheet'!O41</f>
        <v/>
      </c>
      <c r="O108" s="65" t="str">
        <f>'Retail Pricing Sheet'!P41</f>
        <v/>
      </c>
      <c r="P108" s="65" t="str">
        <f>'Retail Pricing Sheet'!Q41</f>
        <v/>
      </c>
      <c r="Q108" s="65" t="str">
        <f>'Retail Pricing Sheet'!R41</f>
        <v/>
      </c>
      <c r="R108" s="65" t="str">
        <f>'Retail Pricing Sheet'!S41</f>
        <v/>
      </c>
      <c r="S108" s="65" t="str">
        <f>'Retail Pricing Sheet'!T41</f>
        <v/>
      </c>
      <c r="T108" s="68" t="str">
        <f>'Retail Pricing Sheet'!U41</f>
        <v/>
      </c>
      <c r="U108" s="65"/>
      <c r="V108" s="65"/>
      <c r="W108" s="65"/>
      <c r="X108" s="65"/>
      <c r="Y108" s="68"/>
    </row>
    <row r="109" spans="1:25" x14ac:dyDescent="0.2">
      <c r="A109" s="152">
        <f>'Retail Pricing Sheet'!B42</f>
        <v>0</v>
      </c>
      <c r="B109" s="65" t="str">
        <f>'Retail Pricing Sheet'!C42</f>
        <v/>
      </c>
      <c r="C109" s="65" t="str">
        <f>'Retail Pricing Sheet'!D42</f>
        <v/>
      </c>
      <c r="D109" s="65" t="str">
        <f>'Retail Pricing Sheet'!E42</f>
        <v/>
      </c>
      <c r="E109" s="65" t="str">
        <f>'Retail Pricing Sheet'!F42</f>
        <v/>
      </c>
      <c r="F109" s="65" t="str">
        <f>'Retail Pricing Sheet'!G42</f>
        <v/>
      </c>
      <c r="G109" s="65" t="str">
        <f>'Retail Pricing Sheet'!H42</f>
        <v/>
      </c>
      <c r="H109" s="65" t="str">
        <f>'Retail Pricing Sheet'!I42</f>
        <v/>
      </c>
      <c r="I109" s="65" t="str">
        <f>'Retail Pricing Sheet'!J42</f>
        <v/>
      </c>
      <c r="J109" s="65" t="str">
        <f>'Retail Pricing Sheet'!K42</f>
        <v/>
      </c>
      <c r="K109" s="65" t="str">
        <f>'Retail Pricing Sheet'!L42</f>
        <v/>
      </c>
      <c r="L109" s="65" t="str">
        <f>'Retail Pricing Sheet'!M42</f>
        <v/>
      </c>
      <c r="M109" s="65" t="str">
        <f>'Retail Pricing Sheet'!N42</f>
        <v/>
      </c>
      <c r="N109" s="65" t="str">
        <f>'Retail Pricing Sheet'!O42</f>
        <v/>
      </c>
      <c r="O109" s="65" t="str">
        <f>'Retail Pricing Sheet'!P42</f>
        <v/>
      </c>
      <c r="P109" s="65" t="str">
        <f>'Retail Pricing Sheet'!Q42</f>
        <v/>
      </c>
      <c r="Q109" s="65" t="str">
        <f>'Retail Pricing Sheet'!R42</f>
        <v/>
      </c>
      <c r="R109" s="65" t="str">
        <f>'Retail Pricing Sheet'!S42</f>
        <v/>
      </c>
      <c r="S109" s="65" t="str">
        <f>'Retail Pricing Sheet'!T42</f>
        <v/>
      </c>
      <c r="T109" s="68" t="str">
        <f>'Retail Pricing Sheet'!U42</f>
        <v/>
      </c>
      <c r="U109" s="65"/>
      <c r="V109" s="65"/>
      <c r="W109" s="65"/>
      <c r="X109" s="65"/>
      <c r="Y109" s="68"/>
    </row>
    <row r="110" spans="1:25" x14ac:dyDescent="0.2">
      <c r="A110" s="152">
        <f>'Retail Pricing Sheet'!B43</f>
        <v>0</v>
      </c>
      <c r="B110" s="65" t="str">
        <f>'Retail Pricing Sheet'!C43</f>
        <v/>
      </c>
      <c r="C110" s="65" t="str">
        <f>'Retail Pricing Sheet'!D43</f>
        <v/>
      </c>
      <c r="D110" s="65" t="str">
        <f>'Retail Pricing Sheet'!E43</f>
        <v/>
      </c>
      <c r="E110" s="65" t="str">
        <f>'Retail Pricing Sheet'!F43</f>
        <v/>
      </c>
      <c r="F110" s="65" t="str">
        <f>'Retail Pricing Sheet'!G43</f>
        <v/>
      </c>
      <c r="G110" s="65" t="str">
        <f>'Retail Pricing Sheet'!H43</f>
        <v/>
      </c>
      <c r="H110" s="65" t="str">
        <f>'Retail Pricing Sheet'!I43</f>
        <v/>
      </c>
      <c r="I110" s="65" t="str">
        <f>'Retail Pricing Sheet'!J43</f>
        <v/>
      </c>
      <c r="J110" s="65" t="str">
        <f>'Retail Pricing Sheet'!K43</f>
        <v/>
      </c>
      <c r="K110" s="65" t="str">
        <f>'Retail Pricing Sheet'!L43</f>
        <v/>
      </c>
      <c r="L110" s="65" t="str">
        <f>'Retail Pricing Sheet'!M43</f>
        <v/>
      </c>
      <c r="M110" s="65" t="str">
        <f>'Retail Pricing Sheet'!N43</f>
        <v/>
      </c>
      <c r="N110" s="65" t="str">
        <f>'Retail Pricing Sheet'!O43</f>
        <v/>
      </c>
      <c r="O110" s="65" t="str">
        <f>'Retail Pricing Sheet'!P43</f>
        <v/>
      </c>
      <c r="P110" s="65" t="str">
        <f>'Retail Pricing Sheet'!Q43</f>
        <v/>
      </c>
      <c r="Q110" s="65" t="str">
        <f>'Retail Pricing Sheet'!R43</f>
        <v/>
      </c>
      <c r="R110" s="65" t="str">
        <f>'Retail Pricing Sheet'!S43</f>
        <v/>
      </c>
      <c r="S110" s="65" t="str">
        <f>'Retail Pricing Sheet'!T43</f>
        <v/>
      </c>
      <c r="T110" s="68" t="str">
        <f>'Retail Pricing Sheet'!U43</f>
        <v/>
      </c>
      <c r="U110" s="65"/>
      <c r="V110" s="65"/>
      <c r="W110" s="65"/>
      <c r="X110" s="65"/>
      <c r="Y110" s="68"/>
    </row>
    <row r="111" spans="1:25" x14ac:dyDescent="0.2">
      <c r="A111" s="152">
        <f>'Retail Pricing Sheet'!B44</f>
        <v>0</v>
      </c>
      <c r="B111" s="65" t="str">
        <f>'Retail Pricing Sheet'!C44</f>
        <v/>
      </c>
      <c r="C111" s="65" t="str">
        <f>'Retail Pricing Sheet'!D44</f>
        <v/>
      </c>
      <c r="D111" s="65" t="str">
        <f>'Retail Pricing Sheet'!E44</f>
        <v/>
      </c>
      <c r="E111" s="65" t="str">
        <f>'Retail Pricing Sheet'!F44</f>
        <v/>
      </c>
      <c r="F111" s="65" t="str">
        <f>'Retail Pricing Sheet'!G44</f>
        <v/>
      </c>
      <c r="G111" s="65" t="str">
        <f>'Retail Pricing Sheet'!H44</f>
        <v/>
      </c>
      <c r="H111" s="65" t="str">
        <f>'Retail Pricing Sheet'!I44</f>
        <v/>
      </c>
      <c r="I111" s="65" t="str">
        <f>'Retail Pricing Sheet'!J44</f>
        <v/>
      </c>
      <c r="J111" s="65" t="str">
        <f>'Retail Pricing Sheet'!K44</f>
        <v/>
      </c>
      <c r="K111" s="65" t="str">
        <f>'Retail Pricing Sheet'!L44</f>
        <v/>
      </c>
      <c r="L111" s="65" t="str">
        <f>'Retail Pricing Sheet'!M44</f>
        <v/>
      </c>
      <c r="M111" s="65" t="str">
        <f>'Retail Pricing Sheet'!N44</f>
        <v/>
      </c>
      <c r="N111" s="65" t="str">
        <f>'Retail Pricing Sheet'!O44</f>
        <v/>
      </c>
      <c r="O111" s="65" t="str">
        <f>'Retail Pricing Sheet'!P44</f>
        <v/>
      </c>
      <c r="P111" s="65" t="str">
        <f>'Retail Pricing Sheet'!Q44</f>
        <v/>
      </c>
      <c r="Q111" s="65" t="str">
        <f>'Retail Pricing Sheet'!R44</f>
        <v/>
      </c>
      <c r="R111" s="65" t="str">
        <f>'Retail Pricing Sheet'!S44</f>
        <v/>
      </c>
      <c r="S111" s="65" t="str">
        <f>'Retail Pricing Sheet'!T44</f>
        <v/>
      </c>
      <c r="T111" s="68" t="str">
        <f>'Retail Pricing Sheet'!U44</f>
        <v/>
      </c>
      <c r="U111" s="65"/>
      <c r="V111" s="65"/>
      <c r="W111" s="65"/>
      <c r="X111" s="65"/>
      <c r="Y111" s="68"/>
    </row>
    <row r="112" spans="1:25" x14ac:dyDescent="0.2">
      <c r="A112" s="152">
        <f>'Retail Pricing Sheet'!B45</f>
        <v>0</v>
      </c>
      <c r="B112" s="65" t="str">
        <f>'Retail Pricing Sheet'!C45</f>
        <v/>
      </c>
      <c r="C112" s="65" t="str">
        <f>'Retail Pricing Sheet'!D45</f>
        <v/>
      </c>
      <c r="D112" s="65" t="str">
        <f>'Retail Pricing Sheet'!E45</f>
        <v/>
      </c>
      <c r="E112" s="65" t="str">
        <f>'Retail Pricing Sheet'!F45</f>
        <v/>
      </c>
      <c r="F112" s="65" t="str">
        <f>'Retail Pricing Sheet'!G45</f>
        <v/>
      </c>
      <c r="G112" s="65" t="str">
        <f>'Retail Pricing Sheet'!H45</f>
        <v/>
      </c>
      <c r="H112" s="65" t="str">
        <f>'Retail Pricing Sheet'!I45</f>
        <v/>
      </c>
      <c r="I112" s="65" t="str">
        <f>'Retail Pricing Sheet'!J45</f>
        <v/>
      </c>
      <c r="J112" s="65" t="str">
        <f>'Retail Pricing Sheet'!K45</f>
        <v/>
      </c>
      <c r="K112" s="65" t="str">
        <f>'Retail Pricing Sheet'!L45</f>
        <v/>
      </c>
      <c r="L112" s="65" t="str">
        <f>'Retail Pricing Sheet'!M45</f>
        <v/>
      </c>
      <c r="M112" s="65" t="str">
        <f>'Retail Pricing Sheet'!N45</f>
        <v/>
      </c>
      <c r="N112" s="65" t="str">
        <f>'Retail Pricing Sheet'!O45</f>
        <v/>
      </c>
      <c r="O112" s="65" t="str">
        <f>'Retail Pricing Sheet'!P45</f>
        <v/>
      </c>
      <c r="P112" s="65" t="str">
        <f>'Retail Pricing Sheet'!Q45</f>
        <v/>
      </c>
      <c r="Q112" s="65" t="str">
        <f>'Retail Pricing Sheet'!R45</f>
        <v/>
      </c>
      <c r="R112" s="65" t="str">
        <f>'Retail Pricing Sheet'!S45</f>
        <v/>
      </c>
      <c r="S112" s="65" t="str">
        <f>'Retail Pricing Sheet'!T45</f>
        <v/>
      </c>
      <c r="T112" s="68" t="str">
        <f>'Retail Pricing Sheet'!U45</f>
        <v/>
      </c>
      <c r="U112" s="65"/>
      <c r="V112" s="65"/>
      <c r="W112" s="65"/>
      <c r="X112" s="65"/>
      <c r="Y112" s="68"/>
    </row>
    <row r="113" spans="1:25" x14ac:dyDescent="0.2">
      <c r="A113" s="153">
        <f>'Retail Pricing Sheet'!B46</f>
        <v>0</v>
      </c>
      <c r="B113" s="154" t="str">
        <f>'Retail Pricing Sheet'!C46</f>
        <v/>
      </c>
      <c r="C113" s="154" t="str">
        <f>'Retail Pricing Sheet'!D46</f>
        <v/>
      </c>
      <c r="D113" s="154" t="str">
        <f>'Retail Pricing Sheet'!E46</f>
        <v/>
      </c>
      <c r="E113" s="154" t="str">
        <f>'Retail Pricing Sheet'!F46</f>
        <v/>
      </c>
      <c r="F113" s="154" t="str">
        <f>'Retail Pricing Sheet'!G46</f>
        <v/>
      </c>
      <c r="G113" s="154" t="str">
        <f>'Retail Pricing Sheet'!H46</f>
        <v/>
      </c>
      <c r="H113" s="154" t="str">
        <f>'Retail Pricing Sheet'!I46</f>
        <v/>
      </c>
      <c r="I113" s="154" t="str">
        <f>'Retail Pricing Sheet'!J46</f>
        <v/>
      </c>
      <c r="J113" s="154" t="str">
        <f>'Retail Pricing Sheet'!K46</f>
        <v/>
      </c>
      <c r="K113" s="154" t="str">
        <f>'Retail Pricing Sheet'!L46</f>
        <v/>
      </c>
      <c r="L113" s="154" t="str">
        <f>'Retail Pricing Sheet'!M46</f>
        <v/>
      </c>
      <c r="M113" s="154" t="str">
        <f>'Retail Pricing Sheet'!N46</f>
        <v/>
      </c>
      <c r="N113" s="154" t="str">
        <f>'Retail Pricing Sheet'!O46</f>
        <v/>
      </c>
      <c r="O113" s="154" t="str">
        <f>'Retail Pricing Sheet'!P46</f>
        <v/>
      </c>
      <c r="P113" s="154" t="str">
        <f>'Retail Pricing Sheet'!Q46</f>
        <v/>
      </c>
      <c r="Q113" s="154" t="str">
        <f>'Retail Pricing Sheet'!R46</f>
        <v/>
      </c>
      <c r="R113" s="154" t="str">
        <f>'Retail Pricing Sheet'!S46</f>
        <v/>
      </c>
      <c r="S113" s="154" t="str">
        <f>'Retail Pricing Sheet'!T46</f>
        <v/>
      </c>
      <c r="T113" s="155" t="str">
        <f>'Retail Pricing Sheet'!U46</f>
        <v/>
      </c>
      <c r="U113" s="65"/>
      <c r="V113" s="65"/>
      <c r="W113" s="65"/>
      <c r="X113" s="65"/>
      <c r="Y113" s="68"/>
    </row>
    <row r="114" spans="1:25" x14ac:dyDescent="0.2">
      <c r="A114" s="152"/>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8"/>
    </row>
    <row r="115" spans="1:25" x14ac:dyDescent="0.2">
      <c r="A115" s="152"/>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8"/>
    </row>
    <row r="116" spans="1:25" s="67" customFormat="1" x14ac:dyDescent="0.2">
      <c r="A116" s="156" t="str">
        <f>'Retail Pricing Sheet'!B49</f>
        <v>High Demand Dates</v>
      </c>
      <c r="B116" s="204"/>
      <c r="Y116" s="64"/>
    </row>
    <row r="117" spans="1:25" s="65" customFormat="1" x14ac:dyDescent="0.2">
      <c r="A117" s="152"/>
      <c r="Y117" s="68"/>
    </row>
    <row r="118" spans="1:25" s="65" customFormat="1" x14ac:dyDescent="0.2">
      <c r="A118" s="152"/>
      <c r="C118" s="65" t="str">
        <f>'Retail Pricing Sheet'!D51</f>
        <v>Event 1</v>
      </c>
      <c r="D118" s="65">
        <f>'Retail Pricing Sheet'!E51</f>
        <v>0</v>
      </c>
      <c r="E118" s="65" t="str">
        <f>'Retail Pricing Sheet'!F51</f>
        <v>Event 2</v>
      </c>
      <c r="F118" s="65">
        <f>'Retail Pricing Sheet'!G51</f>
        <v>0</v>
      </c>
      <c r="G118" s="65" t="str">
        <f>'Retail Pricing Sheet'!H51</f>
        <v>Event 3</v>
      </c>
      <c r="H118" s="65">
        <f>'Retail Pricing Sheet'!I51</f>
        <v>0</v>
      </c>
      <c r="I118" s="65" t="str">
        <f>'Retail Pricing Sheet'!J51</f>
        <v>Event 4</v>
      </c>
      <c r="J118" s="65">
        <f>'Retail Pricing Sheet'!K51</f>
        <v>0</v>
      </c>
      <c r="K118" s="65" t="str">
        <f>'Retail Pricing Sheet'!L51</f>
        <v>Event 5</v>
      </c>
      <c r="L118" s="65">
        <f>'Retail Pricing Sheet'!M51</f>
        <v>0</v>
      </c>
      <c r="M118" s="65" t="str">
        <f>'Retail Pricing Sheet'!N51</f>
        <v>Event 6</v>
      </c>
      <c r="N118" s="65">
        <f>'Retail Pricing Sheet'!O51</f>
        <v>0</v>
      </c>
      <c r="O118" s="65" t="str">
        <f>'Retail Pricing Sheet'!P51</f>
        <v>Event 7</v>
      </c>
      <c r="P118" s="65">
        <f>'Retail Pricing Sheet'!Q51</f>
        <v>0</v>
      </c>
      <c r="Q118" s="65" t="str">
        <f>'Retail Pricing Sheet'!R51</f>
        <v>Event 8</v>
      </c>
      <c r="R118" s="65">
        <f>'Retail Pricing Sheet'!S51</f>
        <v>0</v>
      </c>
      <c r="S118" s="65" t="str">
        <f>'Retail Pricing Sheet'!T51</f>
        <v>Event 9</v>
      </c>
      <c r="T118" s="65">
        <f>'Retail Pricing Sheet'!U51</f>
        <v>0</v>
      </c>
      <c r="U118" s="65" t="str">
        <f>'Retail Pricing Sheet'!V51</f>
        <v>Event 10</v>
      </c>
      <c r="Y118" s="68"/>
    </row>
    <row r="119" spans="1:25" s="65" customFormat="1" x14ac:dyDescent="0.2">
      <c r="A119" s="152"/>
      <c r="C119" s="65" t="str">
        <f>'Retail Pricing Sheet'!D52</f>
        <v>Enter event dates here</v>
      </c>
      <c r="D119" s="65">
        <f>'Retail Pricing Sheet'!E52</f>
        <v>0</v>
      </c>
      <c r="E119" s="65" t="str">
        <f>'Retail Pricing Sheet'!F52</f>
        <v>Enter event dates here</v>
      </c>
      <c r="F119" s="65">
        <f>'Retail Pricing Sheet'!G52</f>
        <v>0</v>
      </c>
      <c r="G119" s="65" t="str">
        <f>'Retail Pricing Sheet'!H52</f>
        <v>Enter event dates here</v>
      </c>
      <c r="H119" s="65">
        <f>'Retail Pricing Sheet'!I52</f>
        <v>0</v>
      </c>
      <c r="I119" s="65" t="str">
        <f>'Retail Pricing Sheet'!J52</f>
        <v>Enter event dates here</v>
      </c>
      <c r="J119" s="65">
        <f>'Retail Pricing Sheet'!K52</f>
        <v>0</v>
      </c>
      <c r="K119" s="65" t="str">
        <f>'Retail Pricing Sheet'!L52</f>
        <v>Enter event dates here</v>
      </c>
      <c r="L119" s="65">
        <f>'Retail Pricing Sheet'!M52</f>
        <v>0</v>
      </c>
      <c r="M119" s="65" t="str">
        <f>'Retail Pricing Sheet'!N52</f>
        <v>Enter event dates here</v>
      </c>
      <c r="N119" s="65">
        <f>'Retail Pricing Sheet'!O52</f>
        <v>0</v>
      </c>
      <c r="O119" s="65" t="str">
        <f>'Retail Pricing Sheet'!P52</f>
        <v>Enter event dates here</v>
      </c>
      <c r="P119" s="65">
        <f>'Retail Pricing Sheet'!Q52</f>
        <v>0</v>
      </c>
      <c r="Q119" s="65" t="str">
        <f>'Retail Pricing Sheet'!R52</f>
        <v>Enter event dates here</v>
      </c>
      <c r="R119" s="65">
        <f>'Retail Pricing Sheet'!S52</f>
        <v>0</v>
      </c>
      <c r="S119" s="65" t="str">
        <f>'Retail Pricing Sheet'!T52</f>
        <v>Enter event dates here</v>
      </c>
      <c r="T119" s="65">
        <f>'Retail Pricing Sheet'!U52</f>
        <v>0</v>
      </c>
      <c r="U119" s="65" t="str">
        <f>'Retail Pricing Sheet'!V52</f>
        <v>Enter event dates here</v>
      </c>
      <c r="Y119" s="68"/>
    </row>
    <row r="120" spans="1:25" s="65" customFormat="1" x14ac:dyDescent="0.2">
      <c r="A120" s="152" t="str">
        <f>'Retail Pricing Sheet'!B53</f>
        <v>Room Pool</v>
      </c>
      <c r="B120" s="65" t="str">
        <f>'Retail Pricing Sheet'!C53</f>
        <v>Room Pool Classification</v>
      </c>
      <c r="C120" s="65" t="str">
        <f>'Retail Pricing Sheet'!D53</f>
        <v>Rate</v>
      </c>
      <c r="D120" s="65" t="str">
        <f>'Retail Pricing Sheet'!E53</f>
        <v>Restriction</v>
      </c>
      <c r="E120" s="65" t="str">
        <f>'Retail Pricing Sheet'!F53</f>
        <v>Rate</v>
      </c>
      <c r="F120" s="65" t="str">
        <f>'Retail Pricing Sheet'!G53</f>
        <v>Restriction</v>
      </c>
      <c r="G120" s="65" t="str">
        <f>'Retail Pricing Sheet'!H53</f>
        <v>Rate</v>
      </c>
      <c r="H120" s="65" t="str">
        <f>'Retail Pricing Sheet'!I53</f>
        <v>Restriction</v>
      </c>
      <c r="I120" s="65" t="str">
        <f>'Retail Pricing Sheet'!J53</f>
        <v>Rate</v>
      </c>
      <c r="J120" s="65" t="str">
        <f>'Retail Pricing Sheet'!K53</f>
        <v>Restriction</v>
      </c>
      <c r="K120" s="65" t="str">
        <f>'Retail Pricing Sheet'!L53</f>
        <v>Rate</v>
      </c>
      <c r="L120" s="65" t="str">
        <f>'Retail Pricing Sheet'!M53</f>
        <v>Restriction</v>
      </c>
      <c r="M120" s="65" t="str">
        <f>'Retail Pricing Sheet'!N53</f>
        <v>Rate</v>
      </c>
      <c r="N120" s="65" t="str">
        <f>'Retail Pricing Sheet'!O53</f>
        <v>Restriction</v>
      </c>
      <c r="O120" s="65" t="str">
        <f>'Retail Pricing Sheet'!P53</f>
        <v>Rate</v>
      </c>
      <c r="P120" s="65" t="str">
        <f>'Retail Pricing Sheet'!Q53</f>
        <v>Restriction</v>
      </c>
      <c r="Q120" s="65" t="str">
        <f>'Retail Pricing Sheet'!R53</f>
        <v>Rate</v>
      </c>
      <c r="R120" s="65" t="str">
        <f>'Retail Pricing Sheet'!S53</f>
        <v>Restriction</v>
      </c>
      <c r="S120" s="65" t="str">
        <f>'Retail Pricing Sheet'!T53</f>
        <v>Rate</v>
      </c>
      <c r="T120" s="65" t="str">
        <f>'Retail Pricing Sheet'!U53</f>
        <v>Restriction</v>
      </c>
      <c r="U120" s="65" t="str">
        <f>'Retail Pricing Sheet'!V53</f>
        <v>Rate</v>
      </c>
      <c r="V120" s="65" t="str">
        <f>'Retail Pricing Sheet'!W53</f>
        <v>Restriction</v>
      </c>
      <c r="Y120" s="68"/>
    </row>
    <row r="121" spans="1:25" s="65" customFormat="1" x14ac:dyDescent="0.2">
      <c r="A121" s="152" t="str">
        <f>'Retail Pricing Sheet'!B54</f>
        <v>KING</v>
      </c>
      <c r="B121" s="65" t="str">
        <f>'Retail Pricing Sheet'!C54</f>
        <v>Standard</v>
      </c>
      <c r="C121" s="65">
        <f>'Retail Pricing Sheet'!D54</f>
        <v>0</v>
      </c>
      <c r="D121" s="65">
        <f>'Retail Pricing Sheet'!E54</f>
        <v>0</v>
      </c>
      <c r="E121" s="65">
        <f>'Retail Pricing Sheet'!F54</f>
        <v>0</v>
      </c>
      <c r="F121" s="65">
        <f>'Retail Pricing Sheet'!G54</f>
        <v>0</v>
      </c>
      <c r="G121" s="65">
        <f>'Retail Pricing Sheet'!H54</f>
        <v>0</v>
      </c>
      <c r="H121" s="65">
        <f>'Retail Pricing Sheet'!I54</f>
        <v>0</v>
      </c>
      <c r="I121" s="65">
        <f>'Retail Pricing Sheet'!J54</f>
        <v>0</v>
      </c>
      <c r="J121" s="65">
        <f>'Retail Pricing Sheet'!K54</f>
        <v>0</v>
      </c>
      <c r="K121" s="65">
        <f>'Retail Pricing Sheet'!L54</f>
        <v>0</v>
      </c>
      <c r="L121" s="65">
        <f>'Retail Pricing Sheet'!M54</f>
        <v>0</v>
      </c>
      <c r="M121" s="65">
        <f>'Retail Pricing Sheet'!N54</f>
        <v>0</v>
      </c>
      <c r="N121" s="65">
        <f>'Retail Pricing Sheet'!O54</f>
        <v>0</v>
      </c>
      <c r="O121" s="65">
        <f>'Retail Pricing Sheet'!P54</f>
        <v>0</v>
      </c>
      <c r="P121" s="65">
        <f>'Retail Pricing Sheet'!Q54</f>
        <v>0</v>
      </c>
      <c r="Q121" s="65">
        <f>'Retail Pricing Sheet'!R54</f>
        <v>0</v>
      </c>
      <c r="R121" s="65">
        <f>'Retail Pricing Sheet'!S54</f>
        <v>0</v>
      </c>
      <c r="S121" s="65">
        <f>'Retail Pricing Sheet'!T54</f>
        <v>0</v>
      </c>
      <c r="T121" s="65">
        <f>'Retail Pricing Sheet'!U54</f>
        <v>0</v>
      </c>
      <c r="U121" s="65">
        <f>'Retail Pricing Sheet'!V54</f>
        <v>0</v>
      </c>
      <c r="V121" s="65">
        <f>'Retail Pricing Sheet'!W54</f>
        <v>0</v>
      </c>
      <c r="Y121" s="68"/>
    </row>
    <row r="122" spans="1:25" s="65" customFormat="1" x14ac:dyDescent="0.2">
      <c r="A122" s="152" t="str">
        <f>'Retail Pricing Sheet'!B55</f>
        <v>DBDB</v>
      </c>
      <c r="B122" s="65" t="str">
        <f>'Retail Pricing Sheet'!C55</f>
        <v>Standard</v>
      </c>
      <c r="C122" s="65">
        <f>'Retail Pricing Sheet'!D55</f>
        <v>0</v>
      </c>
      <c r="D122" s="65">
        <f>'Retail Pricing Sheet'!E55</f>
        <v>0</v>
      </c>
      <c r="E122" s="65">
        <f>'Retail Pricing Sheet'!F55</f>
        <v>0</v>
      </c>
      <c r="F122" s="65">
        <f>'Retail Pricing Sheet'!G55</f>
        <v>0</v>
      </c>
      <c r="G122" s="65">
        <f>'Retail Pricing Sheet'!H55</f>
        <v>0</v>
      </c>
      <c r="H122" s="65">
        <f>'Retail Pricing Sheet'!I55</f>
        <v>0</v>
      </c>
      <c r="I122" s="65">
        <f>'Retail Pricing Sheet'!J55</f>
        <v>0</v>
      </c>
      <c r="J122" s="65">
        <f>'Retail Pricing Sheet'!K55</f>
        <v>0</v>
      </c>
      <c r="K122" s="65">
        <f>'Retail Pricing Sheet'!L55</f>
        <v>0</v>
      </c>
      <c r="L122" s="65">
        <f>'Retail Pricing Sheet'!M55</f>
        <v>0</v>
      </c>
      <c r="M122" s="65">
        <f>'Retail Pricing Sheet'!N55</f>
        <v>0</v>
      </c>
      <c r="N122" s="65">
        <f>'Retail Pricing Sheet'!O55</f>
        <v>0</v>
      </c>
      <c r="O122" s="65">
        <f>'Retail Pricing Sheet'!P55</f>
        <v>0</v>
      </c>
      <c r="P122" s="65">
        <f>'Retail Pricing Sheet'!Q55</f>
        <v>0</v>
      </c>
      <c r="Q122" s="65">
        <f>'Retail Pricing Sheet'!R55</f>
        <v>0</v>
      </c>
      <c r="R122" s="65">
        <f>'Retail Pricing Sheet'!S55</f>
        <v>0</v>
      </c>
      <c r="S122" s="65">
        <f>'Retail Pricing Sheet'!T55</f>
        <v>0</v>
      </c>
      <c r="T122" s="65">
        <f>'Retail Pricing Sheet'!U55</f>
        <v>0</v>
      </c>
      <c r="U122" s="65">
        <f>'Retail Pricing Sheet'!V55</f>
        <v>0</v>
      </c>
      <c r="V122" s="65">
        <f>'Retail Pricing Sheet'!W55</f>
        <v>0</v>
      </c>
      <c r="Y122" s="68"/>
    </row>
    <row r="123" spans="1:25" s="65" customFormat="1" x14ac:dyDescent="0.2">
      <c r="A123" s="152" t="str">
        <f>'Retail Pricing Sheet'!B56</f>
        <v>PMRS</v>
      </c>
      <c r="B123" s="65" t="str">
        <f>'Retail Pricing Sheet'!C56</f>
        <v>Standard</v>
      </c>
      <c r="C123" s="65">
        <f>'Retail Pricing Sheet'!D56</f>
        <v>0</v>
      </c>
      <c r="D123" s="65">
        <f>'Retail Pricing Sheet'!E56</f>
        <v>0</v>
      </c>
      <c r="E123" s="65">
        <f>'Retail Pricing Sheet'!F56</f>
        <v>0</v>
      </c>
      <c r="F123" s="65">
        <f>'Retail Pricing Sheet'!G56</f>
        <v>0</v>
      </c>
      <c r="G123" s="65">
        <f>'Retail Pricing Sheet'!H56</f>
        <v>0</v>
      </c>
      <c r="H123" s="65">
        <f>'Retail Pricing Sheet'!I56</f>
        <v>0</v>
      </c>
      <c r="I123" s="65">
        <f>'Retail Pricing Sheet'!J56</f>
        <v>0</v>
      </c>
      <c r="J123" s="65">
        <f>'Retail Pricing Sheet'!K56</f>
        <v>0</v>
      </c>
      <c r="K123" s="65">
        <f>'Retail Pricing Sheet'!L56</f>
        <v>0</v>
      </c>
      <c r="L123" s="65">
        <f>'Retail Pricing Sheet'!M56</f>
        <v>0</v>
      </c>
      <c r="M123" s="65">
        <f>'Retail Pricing Sheet'!N56</f>
        <v>0</v>
      </c>
      <c r="N123" s="65">
        <f>'Retail Pricing Sheet'!O56</f>
        <v>0</v>
      </c>
      <c r="O123" s="65">
        <f>'Retail Pricing Sheet'!P56</f>
        <v>0</v>
      </c>
      <c r="P123" s="65">
        <f>'Retail Pricing Sheet'!Q56</f>
        <v>0</v>
      </c>
      <c r="Q123" s="65">
        <f>'Retail Pricing Sheet'!R56</f>
        <v>0</v>
      </c>
      <c r="R123" s="65">
        <f>'Retail Pricing Sheet'!S56</f>
        <v>0</v>
      </c>
      <c r="S123" s="65">
        <f>'Retail Pricing Sheet'!T56</f>
        <v>0</v>
      </c>
      <c r="T123" s="65">
        <f>'Retail Pricing Sheet'!U56</f>
        <v>0</v>
      </c>
      <c r="U123" s="65">
        <f>'Retail Pricing Sheet'!V56</f>
        <v>0</v>
      </c>
      <c r="V123" s="65">
        <f>'Retail Pricing Sheet'!W56</f>
        <v>0</v>
      </c>
      <c r="Y123" s="68"/>
    </row>
    <row r="124" spans="1:25" s="65" customFormat="1" x14ac:dyDescent="0.2">
      <c r="A124" s="152" t="str">
        <f>'Retail Pricing Sheet'!B57</f>
        <v>PMRS</v>
      </c>
      <c r="B124" s="65" t="str">
        <f>'Retail Pricing Sheet'!C57</f>
        <v>Standard</v>
      </c>
      <c r="C124" s="65">
        <f>'Retail Pricing Sheet'!D57</f>
        <v>0</v>
      </c>
      <c r="D124" s="65">
        <f>'Retail Pricing Sheet'!E57</f>
        <v>0</v>
      </c>
      <c r="E124" s="65">
        <f>'Retail Pricing Sheet'!F57</f>
        <v>0</v>
      </c>
      <c r="F124" s="65">
        <f>'Retail Pricing Sheet'!G57</f>
        <v>0</v>
      </c>
      <c r="G124" s="65">
        <f>'Retail Pricing Sheet'!H57</f>
        <v>0</v>
      </c>
      <c r="H124" s="65">
        <f>'Retail Pricing Sheet'!I57</f>
        <v>0</v>
      </c>
      <c r="I124" s="65">
        <f>'Retail Pricing Sheet'!J57</f>
        <v>0</v>
      </c>
      <c r="J124" s="65">
        <f>'Retail Pricing Sheet'!K57</f>
        <v>0</v>
      </c>
      <c r="K124" s="65">
        <f>'Retail Pricing Sheet'!L57</f>
        <v>0</v>
      </c>
      <c r="L124" s="65">
        <f>'Retail Pricing Sheet'!M57</f>
        <v>0</v>
      </c>
      <c r="M124" s="65">
        <f>'Retail Pricing Sheet'!N57</f>
        <v>0</v>
      </c>
      <c r="N124" s="65">
        <f>'Retail Pricing Sheet'!O57</f>
        <v>0</v>
      </c>
      <c r="O124" s="65">
        <f>'Retail Pricing Sheet'!P57</f>
        <v>0</v>
      </c>
      <c r="P124" s="65">
        <f>'Retail Pricing Sheet'!Q57</f>
        <v>0</v>
      </c>
      <c r="Q124" s="65">
        <f>'Retail Pricing Sheet'!R57</f>
        <v>0</v>
      </c>
      <c r="R124" s="65">
        <f>'Retail Pricing Sheet'!S57</f>
        <v>0</v>
      </c>
      <c r="S124" s="65">
        <f>'Retail Pricing Sheet'!T57</f>
        <v>0</v>
      </c>
      <c r="T124" s="65">
        <f>'Retail Pricing Sheet'!U57</f>
        <v>0</v>
      </c>
      <c r="U124" s="65">
        <f>'Retail Pricing Sheet'!V57</f>
        <v>0</v>
      </c>
      <c r="V124" s="65">
        <f>'Retail Pricing Sheet'!W57</f>
        <v>0</v>
      </c>
      <c r="Y124" s="68"/>
    </row>
    <row r="125" spans="1:25" s="65" customFormat="1" x14ac:dyDescent="0.2">
      <c r="A125" s="152">
        <f>'Retail Pricing Sheet'!B58</f>
        <v>0</v>
      </c>
      <c r="B125" s="65" t="str">
        <f>'Retail Pricing Sheet'!C58</f>
        <v/>
      </c>
      <c r="C125" s="65">
        <f>'Retail Pricing Sheet'!D58</f>
        <v>0</v>
      </c>
      <c r="D125" s="65">
        <f>'Retail Pricing Sheet'!E58</f>
        <v>0</v>
      </c>
      <c r="E125" s="65">
        <f>'Retail Pricing Sheet'!F58</f>
        <v>0</v>
      </c>
      <c r="F125" s="65">
        <f>'Retail Pricing Sheet'!G58</f>
        <v>0</v>
      </c>
      <c r="G125" s="65">
        <f>'Retail Pricing Sheet'!H58</f>
        <v>0</v>
      </c>
      <c r="H125" s="65">
        <f>'Retail Pricing Sheet'!I58</f>
        <v>0</v>
      </c>
      <c r="I125" s="65">
        <f>'Retail Pricing Sheet'!J58</f>
        <v>0</v>
      </c>
      <c r="J125" s="65">
        <f>'Retail Pricing Sheet'!K58</f>
        <v>0</v>
      </c>
      <c r="K125" s="65">
        <f>'Retail Pricing Sheet'!L58</f>
        <v>0</v>
      </c>
      <c r="L125" s="65">
        <f>'Retail Pricing Sheet'!M58</f>
        <v>0</v>
      </c>
      <c r="M125" s="65">
        <f>'Retail Pricing Sheet'!N58</f>
        <v>0</v>
      </c>
      <c r="N125" s="65">
        <f>'Retail Pricing Sheet'!O58</f>
        <v>0</v>
      </c>
      <c r="O125" s="65">
        <f>'Retail Pricing Sheet'!P58</f>
        <v>0</v>
      </c>
      <c r="P125" s="65">
        <f>'Retail Pricing Sheet'!Q58</f>
        <v>0</v>
      </c>
      <c r="Q125" s="65">
        <f>'Retail Pricing Sheet'!R58</f>
        <v>0</v>
      </c>
      <c r="R125" s="65">
        <f>'Retail Pricing Sheet'!S58</f>
        <v>0</v>
      </c>
      <c r="S125" s="65">
        <f>'Retail Pricing Sheet'!T58</f>
        <v>0</v>
      </c>
      <c r="T125" s="65">
        <f>'Retail Pricing Sheet'!U58</f>
        <v>0</v>
      </c>
      <c r="U125" s="65">
        <f>'Retail Pricing Sheet'!V58</f>
        <v>0</v>
      </c>
      <c r="V125" s="65">
        <f>'Retail Pricing Sheet'!W58</f>
        <v>0</v>
      </c>
      <c r="Y125" s="68"/>
    </row>
    <row r="126" spans="1:25" s="65" customFormat="1" x14ac:dyDescent="0.2">
      <c r="A126" s="152">
        <f>'Retail Pricing Sheet'!B59</f>
        <v>0</v>
      </c>
      <c r="B126" s="65" t="str">
        <f>'Retail Pricing Sheet'!C59</f>
        <v/>
      </c>
      <c r="C126" s="65">
        <f>'Retail Pricing Sheet'!D59</f>
        <v>0</v>
      </c>
      <c r="D126" s="65">
        <f>'Retail Pricing Sheet'!E59</f>
        <v>0</v>
      </c>
      <c r="E126" s="65">
        <f>'Retail Pricing Sheet'!F59</f>
        <v>0</v>
      </c>
      <c r="F126" s="65">
        <f>'Retail Pricing Sheet'!G59</f>
        <v>0</v>
      </c>
      <c r="G126" s="65">
        <f>'Retail Pricing Sheet'!H59</f>
        <v>0</v>
      </c>
      <c r="H126" s="65">
        <f>'Retail Pricing Sheet'!I59</f>
        <v>0</v>
      </c>
      <c r="I126" s="65">
        <f>'Retail Pricing Sheet'!J59</f>
        <v>0</v>
      </c>
      <c r="J126" s="65">
        <f>'Retail Pricing Sheet'!K59</f>
        <v>0</v>
      </c>
      <c r="K126" s="65">
        <f>'Retail Pricing Sheet'!L59</f>
        <v>0</v>
      </c>
      <c r="L126" s="65">
        <f>'Retail Pricing Sheet'!M59</f>
        <v>0</v>
      </c>
      <c r="M126" s="65">
        <f>'Retail Pricing Sheet'!N59</f>
        <v>0</v>
      </c>
      <c r="N126" s="65">
        <f>'Retail Pricing Sheet'!O59</f>
        <v>0</v>
      </c>
      <c r="O126" s="65">
        <f>'Retail Pricing Sheet'!P59</f>
        <v>0</v>
      </c>
      <c r="P126" s="65">
        <f>'Retail Pricing Sheet'!Q59</f>
        <v>0</v>
      </c>
      <c r="Q126" s="65">
        <f>'Retail Pricing Sheet'!R59</f>
        <v>0</v>
      </c>
      <c r="R126" s="65">
        <f>'Retail Pricing Sheet'!S59</f>
        <v>0</v>
      </c>
      <c r="S126" s="65">
        <f>'Retail Pricing Sheet'!T59</f>
        <v>0</v>
      </c>
      <c r="T126" s="65">
        <f>'Retail Pricing Sheet'!U59</f>
        <v>0</v>
      </c>
      <c r="U126" s="65">
        <f>'Retail Pricing Sheet'!V59</f>
        <v>0</v>
      </c>
      <c r="V126" s="65">
        <f>'Retail Pricing Sheet'!W59</f>
        <v>0</v>
      </c>
      <c r="Y126" s="68"/>
    </row>
    <row r="127" spans="1:25" s="65" customFormat="1" x14ac:dyDescent="0.2">
      <c r="A127" s="152">
        <f>'Retail Pricing Sheet'!B60</f>
        <v>0</v>
      </c>
      <c r="B127" s="65" t="str">
        <f>'Retail Pricing Sheet'!C60</f>
        <v/>
      </c>
      <c r="C127" s="65">
        <f>'Retail Pricing Sheet'!D60</f>
        <v>0</v>
      </c>
      <c r="D127" s="65">
        <f>'Retail Pricing Sheet'!E60</f>
        <v>0</v>
      </c>
      <c r="E127" s="65">
        <f>'Retail Pricing Sheet'!F60</f>
        <v>0</v>
      </c>
      <c r="F127" s="65">
        <f>'Retail Pricing Sheet'!G60</f>
        <v>0</v>
      </c>
      <c r="G127" s="65">
        <f>'Retail Pricing Sheet'!H60</f>
        <v>0</v>
      </c>
      <c r="H127" s="65">
        <f>'Retail Pricing Sheet'!I60</f>
        <v>0</v>
      </c>
      <c r="I127" s="65">
        <f>'Retail Pricing Sheet'!J60</f>
        <v>0</v>
      </c>
      <c r="J127" s="65">
        <f>'Retail Pricing Sheet'!K60</f>
        <v>0</v>
      </c>
      <c r="K127" s="65">
        <f>'Retail Pricing Sheet'!L60</f>
        <v>0</v>
      </c>
      <c r="L127" s="65">
        <f>'Retail Pricing Sheet'!M60</f>
        <v>0</v>
      </c>
      <c r="M127" s="65">
        <f>'Retail Pricing Sheet'!N60</f>
        <v>0</v>
      </c>
      <c r="N127" s="65">
        <f>'Retail Pricing Sheet'!O60</f>
        <v>0</v>
      </c>
      <c r="O127" s="65">
        <f>'Retail Pricing Sheet'!P60</f>
        <v>0</v>
      </c>
      <c r="P127" s="65">
        <f>'Retail Pricing Sheet'!Q60</f>
        <v>0</v>
      </c>
      <c r="Q127" s="65">
        <f>'Retail Pricing Sheet'!R60</f>
        <v>0</v>
      </c>
      <c r="R127" s="65">
        <f>'Retail Pricing Sheet'!S60</f>
        <v>0</v>
      </c>
      <c r="S127" s="65">
        <f>'Retail Pricing Sheet'!T60</f>
        <v>0</v>
      </c>
      <c r="T127" s="65">
        <f>'Retail Pricing Sheet'!U60</f>
        <v>0</v>
      </c>
      <c r="U127" s="65">
        <f>'Retail Pricing Sheet'!V60</f>
        <v>0</v>
      </c>
      <c r="V127" s="65">
        <f>'Retail Pricing Sheet'!W60</f>
        <v>0</v>
      </c>
      <c r="Y127" s="68"/>
    </row>
    <row r="128" spans="1:25" s="65" customFormat="1" x14ac:dyDescent="0.2">
      <c r="A128" s="152">
        <f>'Retail Pricing Sheet'!B61</f>
        <v>0</v>
      </c>
      <c r="B128" s="65" t="str">
        <f>'Retail Pricing Sheet'!C61</f>
        <v/>
      </c>
      <c r="C128" s="65">
        <f>'Retail Pricing Sheet'!D61</f>
        <v>0</v>
      </c>
      <c r="D128" s="65">
        <f>'Retail Pricing Sheet'!E61</f>
        <v>0</v>
      </c>
      <c r="E128" s="65">
        <f>'Retail Pricing Sheet'!F61</f>
        <v>0</v>
      </c>
      <c r="F128" s="65">
        <f>'Retail Pricing Sheet'!G61</f>
        <v>0</v>
      </c>
      <c r="G128" s="65">
        <f>'Retail Pricing Sheet'!H61</f>
        <v>0</v>
      </c>
      <c r="H128" s="65">
        <f>'Retail Pricing Sheet'!I61</f>
        <v>0</v>
      </c>
      <c r="I128" s="65">
        <f>'Retail Pricing Sheet'!J61</f>
        <v>0</v>
      </c>
      <c r="J128" s="65">
        <f>'Retail Pricing Sheet'!K61</f>
        <v>0</v>
      </c>
      <c r="K128" s="65">
        <f>'Retail Pricing Sheet'!L61</f>
        <v>0</v>
      </c>
      <c r="L128" s="65">
        <f>'Retail Pricing Sheet'!M61</f>
        <v>0</v>
      </c>
      <c r="M128" s="65">
        <f>'Retail Pricing Sheet'!N61</f>
        <v>0</v>
      </c>
      <c r="N128" s="65">
        <f>'Retail Pricing Sheet'!O61</f>
        <v>0</v>
      </c>
      <c r="O128" s="65">
        <f>'Retail Pricing Sheet'!P61</f>
        <v>0</v>
      </c>
      <c r="P128" s="65">
        <f>'Retail Pricing Sheet'!Q61</f>
        <v>0</v>
      </c>
      <c r="Q128" s="65">
        <f>'Retail Pricing Sheet'!R61</f>
        <v>0</v>
      </c>
      <c r="R128" s="65">
        <f>'Retail Pricing Sheet'!S61</f>
        <v>0</v>
      </c>
      <c r="S128" s="65">
        <f>'Retail Pricing Sheet'!T61</f>
        <v>0</v>
      </c>
      <c r="T128" s="65">
        <f>'Retail Pricing Sheet'!U61</f>
        <v>0</v>
      </c>
      <c r="U128" s="65">
        <f>'Retail Pricing Sheet'!V61</f>
        <v>0</v>
      </c>
      <c r="V128" s="65">
        <f>'Retail Pricing Sheet'!W61</f>
        <v>0</v>
      </c>
      <c r="Y128" s="68"/>
    </row>
    <row r="129" spans="1:25" s="65" customFormat="1" x14ac:dyDescent="0.2">
      <c r="A129" s="152">
        <f>'Retail Pricing Sheet'!B62</f>
        <v>0</v>
      </c>
      <c r="B129" s="65" t="str">
        <f>'Retail Pricing Sheet'!C62</f>
        <v/>
      </c>
      <c r="C129" s="65">
        <f>'Retail Pricing Sheet'!D62</f>
        <v>0</v>
      </c>
      <c r="D129" s="65">
        <f>'Retail Pricing Sheet'!E62</f>
        <v>0</v>
      </c>
      <c r="E129" s="65">
        <f>'Retail Pricing Sheet'!F62</f>
        <v>0</v>
      </c>
      <c r="F129" s="65">
        <f>'Retail Pricing Sheet'!G62</f>
        <v>0</v>
      </c>
      <c r="G129" s="65">
        <f>'Retail Pricing Sheet'!H62</f>
        <v>0</v>
      </c>
      <c r="H129" s="65">
        <f>'Retail Pricing Sheet'!I62</f>
        <v>0</v>
      </c>
      <c r="I129" s="65">
        <f>'Retail Pricing Sheet'!J62</f>
        <v>0</v>
      </c>
      <c r="J129" s="65">
        <f>'Retail Pricing Sheet'!K62</f>
        <v>0</v>
      </c>
      <c r="K129" s="65">
        <f>'Retail Pricing Sheet'!L62</f>
        <v>0</v>
      </c>
      <c r="L129" s="65">
        <f>'Retail Pricing Sheet'!M62</f>
        <v>0</v>
      </c>
      <c r="M129" s="65">
        <f>'Retail Pricing Sheet'!N62</f>
        <v>0</v>
      </c>
      <c r="N129" s="65">
        <f>'Retail Pricing Sheet'!O62</f>
        <v>0</v>
      </c>
      <c r="O129" s="65">
        <f>'Retail Pricing Sheet'!P62</f>
        <v>0</v>
      </c>
      <c r="P129" s="65">
        <f>'Retail Pricing Sheet'!Q62</f>
        <v>0</v>
      </c>
      <c r="Q129" s="65">
        <f>'Retail Pricing Sheet'!R62</f>
        <v>0</v>
      </c>
      <c r="R129" s="65">
        <f>'Retail Pricing Sheet'!S62</f>
        <v>0</v>
      </c>
      <c r="S129" s="65">
        <f>'Retail Pricing Sheet'!T62</f>
        <v>0</v>
      </c>
      <c r="T129" s="65">
        <f>'Retail Pricing Sheet'!U62</f>
        <v>0</v>
      </c>
      <c r="U129" s="65">
        <f>'Retail Pricing Sheet'!V62</f>
        <v>0</v>
      </c>
      <c r="V129" s="65">
        <f>'Retail Pricing Sheet'!W62</f>
        <v>0</v>
      </c>
      <c r="Y129" s="68"/>
    </row>
    <row r="130" spans="1:25" s="65" customFormat="1" x14ac:dyDescent="0.2">
      <c r="A130" s="152">
        <f>'Retail Pricing Sheet'!B63</f>
        <v>0</v>
      </c>
      <c r="B130" s="65" t="str">
        <f>'Retail Pricing Sheet'!C63</f>
        <v/>
      </c>
      <c r="C130" s="65">
        <f>'Retail Pricing Sheet'!D63</f>
        <v>0</v>
      </c>
      <c r="D130" s="65">
        <f>'Retail Pricing Sheet'!E63</f>
        <v>0</v>
      </c>
      <c r="E130" s="65">
        <f>'Retail Pricing Sheet'!F63</f>
        <v>0</v>
      </c>
      <c r="F130" s="65">
        <f>'Retail Pricing Sheet'!G63</f>
        <v>0</v>
      </c>
      <c r="G130" s="65">
        <f>'Retail Pricing Sheet'!H63</f>
        <v>0</v>
      </c>
      <c r="H130" s="65">
        <f>'Retail Pricing Sheet'!I63</f>
        <v>0</v>
      </c>
      <c r="I130" s="65">
        <f>'Retail Pricing Sheet'!J63</f>
        <v>0</v>
      </c>
      <c r="J130" s="65">
        <f>'Retail Pricing Sheet'!K63</f>
        <v>0</v>
      </c>
      <c r="K130" s="65">
        <f>'Retail Pricing Sheet'!L63</f>
        <v>0</v>
      </c>
      <c r="L130" s="65">
        <f>'Retail Pricing Sheet'!M63</f>
        <v>0</v>
      </c>
      <c r="M130" s="65">
        <f>'Retail Pricing Sheet'!N63</f>
        <v>0</v>
      </c>
      <c r="N130" s="65">
        <f>'Retail Pricing Sheet'!O63</f>
        <v>0</v>
      </c>
      <c r="O130" s="65">
        <f>'Retail Pricing Sheet'!P63</f>
        <v>0</v>
      </c>
      <c r="P130" s="65">
        <f>'Retail Pricing Sheet'!Q63</f>
        <v>0</v>
      </c>
      <c r="Q130" s="65">
        <f>'Retail Pricing Sheet'!R63</f>
        <v>0</v>
      </c>
      <c r="R130" s="65">
        <f>'Retail Pricing Sheet'!S63</f>
        <v>0</v>
      </c>
      <c r="S130" s="65">
        <f>'Retail Pricing Sheet'!T63</f>
        <v>0</v>
      </c>
      <c r="T130" s="65">
        <f>'Retail Pricing Sheet'!U63</f>
        <v>0</v>
      </c>
      <c r="U130" s="65">
        <f>'Retail Pricing Sheet'!V63</f>
        <v>0</v>
      </c>
      <c r="V130" s="65">
        <f>'Retail Pricing Sheet'!W63</f>
        <v>0</v>
      </c>
      <c r="Y130" s="68"/>
    </row>
    <row r="131" spans="1:25" s="65" customFormat="1" x14ac:dyDescent="0.2">
      <c r="A131" s="152">
        <f>'Retail Pricing Sheet'!B64</f>
        <v>0</v>
      </c>
      <c r="B131" s="65" t="str">
        <f>'Retail Pricing Sheet'!C64</f>
        <v/>
      </c>
      <c r="C131" s="65">
        <f>'Retail Pricing Sheet'!D64</f>
        <v>0</v>
      </c>
      <c r="D131" s="65">
        <f>'Retail Pricing Sheet'!E64</f>
        <v>0</v>
      </c>
      <c r="E131" s="65">
        <f>'Retail Pricing Sheet'!F64</f>
        <v>0</v>
      </c>
      <c r="F131" s="65">
        <f>'Retail Pricing Sheet'!G64</f>
        <v>0</v>
      </c>
      <c r="G131" s="65">
        <f>'Retail Pricing Sheet'!H64</f>
        <v>0</v>
      </c>
      <c r="H131" s="65">
        <f>'Retail Pricing Sheet'!I64</f>
        <v>0</v>
      </c>
      <c r="I131" s="65">
        <f>'Retail Pricing Sheet'!J64</f>
        <v>0</v>
      </c>
      <c r="J131" s="65">
        <f>'Retail Pricing Sheet'!K64</f>
        <v>0</v>
      </c>
      <c r="K131" s="65">
        <f>'Retail Pricing Sheet'!L64</f>
        <v>0</v>
      </c>
      <c r="L131" s="65">
        <f>'Retail Pricing Sheet'!M64</f>
        <v>0</v>
      </c>
      <c r="M131" s="65">
        <f>'Retail Pricing Sheet'!N64</f>
        <v>0</v>
      </c>
      <c r="N131" s="65">
        <f>'Retail Pricing Sheet'!O64</f>
        <v>0</v>
      </c>
      <c r="O131" s="65">
        <f>'Retail Pricing Sheet'!P64</f>
        <v>0</v>
      </c>
      <c r="P131" s="65">
        <f>'Retail Pricing Sheet'!Q64</f>
        <v>0</v>
      </c>
      <c r="Q131" s="65">
        <f>'Retail Pricing Sheet'!R64</f>
        <v>0</v>
      </c>
      <c r="R131" s="65">
        <f>'Retail Pricing Sheet'!S64</f>
        <v>0</v>
      </c>
      <c r="S131" s="65">
        <f>'Retail Pricing Sheet'!T64</f>
        <v>0</v>
      </c>
      <c r="T131" s="65">
        <f>'Retail Pricing Sheet'!U64</f>
        <v>0</v>
      </c>
      <c r="U131" s="65">
        <f>'Retail Pricing Sheet'!V64</f>
        <v>0</v>
      </c>
      <c r="V131" s="65">
        <f>'Retail Pricing Sheet'!W64</f>
        <v>0</v>
      </c>
      <c r="Y131" s="68"/>
    </row>
    <row r="132" spans="1:25" s="65" customFormat="1" x14ac:dyDescent="0.2">
      <c r="A132" s="152">
        <f>'Retail Pricing Sheet'!B65</f>
        <v>0</v>
      </c>
      <c r="B132" s="65" t="str">
        <f>'Retail Pricing Sheet'!C65</f>
        <v/>
      </c>
      <c r="C132" s="65">
        <f>'Retail Pricing Sheet'!D65</f>
        <v>0</v>
      </c>
      <c r="D132" s="65">
        <f>'Retail Pricing Sheet'!E65</f>
        <v>0</v>
      </c>
      <c r="E132" s="65">
        <f>'Retail Pricing Sheet'!F65</f>
        <v>0</v>
      </c>
      <c r="F132" s="65">
        <f>'Retail Pricing Sheet'!G65</f>
        <v>0</v>
      </c>
      <c r="G132" s="65">
        <f>'Retail Pricing Sheet'!H65</f>
        <v>0</v>
      </c>
      <c r="H132" s="65">
        <f>'Retail Pricing Sheet'!I65</f>
        <v>0</v>
      </c>
      <c r="I132" s="65">
        <f>'Retail Pricing Sheet'!J65</f>
        <v>0</v>
      </c>
      <c r="J132" s="65">
        <f>'Retail Pricing Sheet'!K65</f>
        <v>0</v>
      </c>
      <c r="K132" s="65">
        <f>'Retail Pricing Sheet'!L65</f>
        <v>0</v>
      </c>
      <c r="L132" s="65">
        <f>'Retail Pricing Sheet'!M65</f>
        <v>0</v>
      </c>
      <c r="M132" s="65">
        <f>'Retail Pricing Sheet'!N65</f>
        <v>0</v>
      </c>
      <c r="N132" s="65">
        <f>'Retail Pricing Sheet'!O65</f>
        <v>0</v>
      </c>
      <c r="O132" s="65">
        <f>'Retail Pricing Sheet'!P65</f>
        <v>0</v>
      </c>
      <c r="P132" s="65">
        <f>'Retail Pricing Sheet'!Q65</f>
        <v>0</v>
      </c>
      <c r="Q132" s="65">
        <f>'Retail Pricing Sheet'!R65</f>
        <v>0</v>
      </c>
      <c r="R132" s="65">
        <f>'Retail Pricing Sheet'!S65</f>
        <v>0</v>
      </c>
      <c r="S132" s="65">
        <f>'Retail Pricing Sheet'!T65</f>
        <v>0</v>
      </c>
      <c r="T132" s="65">
        <f>'Retail Pricing Sheet'!U65</f>
        <v>0</v>
      </c>
      <c r="U132" s="65">
        <f>'Retail Pricing Sheet'!V65</f>
        <v>0</v>
      </c>
      <c r="V132" s="65">
        <f>'Retail Pricing Sheet'!W65</f>
        <v>0</v>
      </c>
      <c r="Y132" s="68"/>
    </row>
    <row r="133" spans="1:25" s="65" customFormat="1" x14ac:dyDescent="0.2">
      <c r="A133" s="152">
        <f>'Retail Pricing Sheet'!B66</f>
        <v>0</v>
      </c>
      <c r="B133" s="65" t="str">
        <f>'Retail Pricing Sheet'!C66</f>
        <v/>
      </c>
      <c r="C133" s="65">
        <f>'Retail Pricing Sheet'!D66</f>
        <v>0</v>
      </c>
      <c r="D133" s="65">
        <f>'Retail Pricing Sheet'!E66</f>
        <v>0</v>
      </c>
      <c r="E133" s="65">
        <f>'Retail Pricing Sheet'!F66</f>
        <v>0</v>
      </c>
      <c r="F133" s="65">
        <f>'Retail Pricing Sheet'!G66</f>
        <v>0</v>
      </c>
      <c r="G133" s="65">
        <f>'Retail Pricing Sheet'!H66</f>
        <v>0</v>
      </c>
      <c r="H133" s="65">
        <f>'Retail Pricing Sheet'!I66</f>
        <v>0</v>
      </c>
      <c r="I133" s="65">
        <f>'Retail Pricing Sheet'!J66</f>
        <v>0</v>
      </c>
      <c r="J133" s="65">
        <f>'Retail Pricing Sheet'!K66</f>
        <v>0</v>
      </c>
      <c r="K133" s="65">
        <f>'Retail Pricing Sheet'!L66</f>
        <v>0</v>
      </c>
      <c r="L133" s="65">
        <f>'Retail Pricing Sheet'!M66</f>
        <v>0</v>
      </c>
      <c r="M133" s="65">
        <f>'Retail Pricing Sheet'!N66</f>
        <v>0</v>
      </c>
      <c r="N133" s="65">
        <f>'Retail Pricing Sheet'!O66</f>
        <v>0</v>
      </c>
      <c r="O133" s="65">
        <f>'Retail Pricing Sheet'!P66</f>
        <v>0</v>
      </c>
      <c r="P133" s="65">
        <f>'Retail Pricing Sheet'!Q66</f>
        <v>0</v>
      </c>
      <c r="Q133" s="65">
        <f>'Retail Pricing Sheet'!R66</f>
        <v>0</v>
      </c>
      <c r="R133" s="65">
        <f>'Retail Pricing Sheet'!S66</f>
        <v>0</v>
      </c>
      <c r="S133" s="65">
        <f>'Retail Pricing Sheet'!T66</f>
        <v>0</v>
      </c>
      <c r="T133" s="65">
        <f>'Retail Pricing Sheet'!U66</f>
        <v>0</v>
      </c>
      <c r="U133" s="65">
        <f>'Retail Pricing Sheet'!V66</f>
        <v>0</v>
      </c>
      <c r="V133" s="65">
        <f>'Retail Pricing Sheet'!W66</f>
        <v>0</v>
      </c>
      <c r="Y133" s="68"/>
    </row>
    <row r="134" spans="1:25" s="65" customFormat="1" x14ac:dyDescent="0.2">
      <c r="A134" s="152">
        <f>'Retail Pricing Sheet'!B67</f>
        <v>0</v>
      </c>
      <c r="B134" s="65" t="str">
        <f>'Retail Pricing Sheet'!C67</f>
        <v/>
      </c>
      <c r="C134" s="65">
        <f>'Retail Pricing Sheet'!D67</f>
        <v>0</v>
      </c>
      <c r="D134" s="65">
        <f>'Retail Pricing Sheet'!E67</f>
        <v>0</v>
      </c>
      <c r="E134" s="65">
        <f>'Retail Pricing Sheet'!F67</f>
        <v>0</v>
      </c>
      <c r="F134" s="65">
        <f>'Retail Pricing Sheet'!G67</f>
        <v>0</v>
      </c>
      <c r="G134" s="65">
        <f>'Retail Pricing Sheet'!H67</f>
        <v>0</v>
      </c>
      <c r="H134" s="65">
        <f>'Retail Pricing Sheet'!I67</f>
        <v>0</v>
      </c>
      <c r="I134" s="65">
        <f>'Retail Pricing Sheet'!J67</f>
        <v>0</v>
      </c>
      <c r="J134" s="65">
        <f>'Retail Pricing Sheet'!K67</f>
        <v>0</v>
      </c>
      <c r="K134" s="65">
        <f>'Retail Pricing Sheet'!L67</f>
        <v>0</v>
      </c>
      <c r="L134" s="65">
        <f>'Retail Pricing Sheet'!M67</f>
        <v>0</v>
      </c>
      <c r="M134" s="65">
        <f>'Retail Pricing Sheet'!N67</f>
        <v>0</v>
      </c>
      <c r="N134" s="65">
        <f>'Retail Pricing Sheet'!O67</f>
        <v>0</v>
      </c>
      <c r="O134" s="65">
        <f>'Retail Pricing Sheet'!P67</f>
        <v>0</v>
      </c>
      <c r="P134" s="65">
        <f>'Retail Pricing Sheet'!Q67</f>
        <v>0</v>
      </c>
      <c r="Q134" s="65">
        <f>'Retail Pricing Sheet'!R67</f>
        <v>0</v>
      </c>
      <c r="R134" s="65">
        <f>'Retail Pricing Sheet'!S67</f>
        <v>0</v>
      </c>
      <c r="S134" s="65">
        <f>'Retail Pricing Sheet'!T67</f>
        <v>0</v>
      </c>
      <c r="T134" s="65">
        <f>'Retail Pricing Sheet'!U67</f>
        <v>0</v>
      </c>
      <c r="U134" s="65">
        <f>'Retail Pricing Sheet'!V67</f>
        <v>0</v>
      </c>
      <c r="V134" s="65">
        <f>'Retail Pricing Sheet'!W67</f>
        <v>0</v>
      </c>
      <c r="Y134" s="68"/>
    </row>
    <row r="135" spans="1:25" s="65" customFormat="1" x14ac:dyDescent="0.2">
      <c r="A135" s="152">
        <f>'Retail Pricing Sheet'!B68</f>
        <v>0</v>
      </c>
      <c r="B135" s="65" t="str">
        <f>'Retail Pricing Sheet'!C68</f>
        <v/>
      </c>
      <c r="C135" s="65">
        <f>'Retail Pricing Sheet'!D68</f>
        <v>0</v>
      </c>
      <c r="D135" s="65">
        <f>'Retail Pricing Sheet'!E68</f>
        <v>0</v>
      </c>
      <c r="E135" s="65">
        <f>'Retail Pricing Sheet'!F68</f>
        <v>0</v>
      </c>
      <c r="F135" s="65">
        <f>'Retail Pricing Sheet'!G68</f>
        <v>0</v>
      </c>
      <c r="G135" s="65">
        <f>'Retail Pricing Sheet'!H68</f>
        <v>0</v>
      </c>
      <c r="H135" s="65">
        <f>'Retail Pricing Sheet'!I68</f>
        <v>0</v>
      </c>
      <c r="I135" s="65">
        <f>'Retail Pricing Sheet'!J68</f>
        <v>0</v>
      </c>
      <c r="J135" s="65">
        <f>'Retail Pricing Sheet'!K68</f>
        <v>0</v>
      </c>
      <c r="K135" s="65">
        <f>'Retail Pricing Sheet'!L68</f>
        <v>0</v>
      </c>
      <c r="L135" s="65">
        <f>'Retail Pricing Sheet'!M68</f>
        <v>0</v>
      </c>
      <c r="M135" s="65">
        <f>'Retail Pricing Sheet'!N68</f>
        <v>0</v>
      </c>
      <c r="N135" s="65">
        <f>'Retail Pricing Sheet'!O68</f>
        <v>0</v>
      </c>
      <c r="O135" s="65">
        <f>'Retail Pricing Sheet'!P68</f>
        <v>0</v>
      </c>
      <c r="P135" s="65">
        <f>'Retail Pricing Sheet'!Q68</f>
        <v>0</v>
      </c>
      <c r="Q135" s="65">
        <f>'Retail Pricing Sheet'!R68</f>
        <v>0</v>
      </c>
      <c r="R135" s="65">
        <f>'Retail Pricing Sheet'!S68</f>
        <v>0</v>
      </c>
      <c r="S135" s="65">
        <f>'Retail Pricing Sheet'!T68</f>
        <v>0</v>
      </c>
      <c r="T135" s="65">
        <f>'Retail Pricing Sheet'!U68</f>
        <v>0</v>
      </c>
      <c r="U135" s="65">
        <f>'Retail Pricing Sheet'!V68</f>
        <v>0</v>
      </c>
      <c r="V135" s="65">
        <f>'Retail Pricing Sheet'!W68</f>
        <v>0</v>
      </c>
      <c r="Y135" s="68"/>
    </row>
    <row r="136" spans="1:25" s="65" customFormat="1" x14ac:dyDescent="0.2">
      <c r="A136" s="152">
        <f>'Retail Pricing Sheet'!B69</f>
        <v>0</v>
      </c>
      <c r="B136" s="65" t="str">
        <f>'Retail Pricing Sheet'!C69</f>
        <v/>
      </c>
      <c r="C136" s="65">
        <f>'Retail Pricing Sheet'!D69</f>
        <v>0</v>
      </c>
      <c r="D136" s="65">
        <f>'Retail Pricing Sheet'!E69</f>
        <v>0</v>
      </c>
      <c r="E136" s="65">
        <f>'Retail Pricing Sheet'!F69</f>
        <v>0</v>
      </c>
      <c r="F136" s="65">
        <f>'Retail Pricing Sheet'!G69</f>
        <v>0</v>
      </c>
      <c r="G136" s="65">
        <f>'Retail Pricing Sheet'!H69</f>
        <v>0</v>
      </c>
      <c r="H136" s="65">
        <f>'Retail Pricing Sheet'!I69</f>
        <v>0</v>
      </c>
      <c r="I136" s="65">
        <f>'Retail Pricing Sheet'!J69</f>
        <v>0</v>
      </c>
      <c r="J136" s="65">
        <f>'Retail Pricing Sheet'!K69</f>
        <v>0</v>
      </c>
      <c r="K136" s="65">
        <f>'Retail Pricing Sheet'!L69</f>
        <v>0</v>
      </c>
      <c r="L136" s="65">
        <f>'Retail Pricing Sheet'!M69</f>
        <v>0</v>
      </c>
      <c r="M136" s="65">
        <f>'Retail Pricing Sheet'!N69</f>
        <v>0</v>
      </c>
      <c r="N136" s="65">
        <f>'Retail Pricing Sheet'!O69</f>
        <v>0</v>
      </c>
      <c r="O136" s="65">
        <f>'Retail Pricing Sheet'!P69</f>
        <v>0</v>
      </c>
      <c r="P136" s="65">
        <f>'Retail Pricing Sheet'!Q69</f>
        <v>0</v>
      </c>
      <c r="Q136" s="65">
        <f>'Retail Pricing Sheet'!R69</f>
        <v>0</v>
      </c>
      <c r="R136" s="65">
        <f>'Retail Pricing Sheet'!S69</f>
        <v>0</v>
      </c>
      <c r="S136" s="65">
        <f>'Retail Pricing Sheet'!T69</f>
        <v>0</v>
      </c>
      <c r="T136" s="65">
        <f>'Retail Pricing Sheet'!U69</f>
        <v>0</v>
      </c>
      <c r="U136" s="65">
        <f>'Retail Pricing Sheet'!V69</f>
        <v>0</v>
      </c>
      <c r="V136" s="65">
        <f>'Retail Pricing Sheet'!W69</f>
        <v>0</v>
      </c>
      <c r="Y136" s="68"/>
    </row>
    <row r="137" spans="1:25" s="65" customFormat="1" x14ac:dyDescent="0.2">
      <c r="A137" s="152" t="str">
        <f>'Retail Pricing Sheet'!B70</f>
        <v>Guarantee Deposit Rule</v>
      </c>
      <c r="B137" s="65">
        <f>'Retail Pricing Sheet'!C70</f>
        <v>0</v>
      </c>
      <c r="C137" s="65">
        <f>'Retail Pricing Sheet'!D70</f>
        <v>0</v>
      </c>
      <c r="D137" s="65">
        <f>'Retail Pricing Sheet'!E70</f>
        <v>0</v>
      </c>
      <c r="E137" s="65">
        <f>'Retail Pricing Sheet'!F70</f>
        <v>0</v>
      </c>
      <c r="F137" s="65">
        <f>'Retail Pricing Sheet'!G70</f>
        <v>0</v>
      </c>
      <c r="G137" s="65">
        <f>'Retail Pricing Sheet'!H70</f>
        <v>0</v>
      </c>
      <c r="H137" s="65">
        <f>'Retail Pricing Sheet'!I70</f>
        <v>0</v>
      </c>
      <c r="I137" s="65">
        <f>'Retail Pricing Sheet'!J70</f>
        <v>0</v>
      </c>
      <c r="J137" s="65">
        <f>'Retail Pricing Sheet'!K70</f>
        <v>0</v>
      </c>
      <c r="K137" s="65">
        <f>'Retail Pricing Sheet'!L70</f>
        <v>0</v>
      </c>
      <c r="L137" s="65">
        <f>'Retail Pricing Sheet'!M70</f>
        <v>0</v>
      </c>
      <c r="M137" s="65">
        <f>'Retail Pricing Sheet'!N70</f>
        <v>0</v>
      </c>
      <c r="N137" s="65">
        <f>'Retail Pricing Sheet'!O70</f>
        <v>0</v>
      </c>
      <c r="O137" s="65">
        <f>'Retail Pricing Sheet'!P70</f>
        <v>0</v>
      </c>
      <c r="P137" s="65">
        <f>'Retail Pricing Sheet'!Q70</f>
        <v>0</v>
      </c>
      <c r="Q137" s="65">
        <f>'Retail Pricing Sheet'!R70</f>
        <v>0</v>
      </c>
      <c r="R137" s="65">
        <f>'Retail Pricing Sheet'!S70</f>
        <v>0</v>
      </c>
      <c r="S137" s="65">
        <f>'Retail Pricing Sheet'!T70</f>
        <v>0</v>
      </c>
      <c r="T137" s="65">
        <f>'Retail Pricing Sheet'!U70</f>
        <v>0</v>
      </c>
      <c r="U137" s="65">
        <f>'Retail Pricing Sheet'!V70</f>
        <v>0</v>
      </c>
      <c r="V137" s="65">
        <f>'Retail Pricing Sheet'!W70</f>
        <v>0</v>
      </c>
      <c r="Y137" s="68"/>
    </row>
    <row r="138" spans="1:25" s="154" customFormat="1" x14ac:dyDescent="0.2">
      <c r="A138" s="153" t="str">
        <f>'Retail Pricing Sheet'!B71</f>
        <v>Cancellation Policy</v>
      </c>
      <c r="B138" s="154">
        <f>'Retail Pricing Sheet'!C71</f>
        <v>0</v>
      </c>
      <c r="C138" s="154">
        <f>'Retail Pricing Sheet'!D71</f>
        <v>0</v>
      </c>
      <c r="D138" s="154">
        <f>'Retail Pricing Sheet'!E71</f>
        <v>0</v>
      </c>
      <c r="E138" s="154">
        <f>'Retail Pricing Sheet'!F71</f>
        <v>0</v>
      </c>
      <c r="F138" s="154">
        <f>'Retail Pricing Sheet'!G71</f>
        <v>0</v>
      </c>
      <c r="G138" s="154">
        <f>'Retail Pricing Sheet'!H71</f>
        <v>0</v>
      </c>
      <c r="H138" s="154">
        <f>'Retail Pricing Sheet'!I71</f>
        <v>0</v>
      </c>
      <c r="I138" s="154">
        <f>'Retail Pricing Sheet'!J71</f>
        <v>0</v>
      </c>
      <c r="J138" s="154">
        <f>'Retail Pricing Sheet'!K71</f>
        <v>0</v>
      </c>
      <c r="K138" s="154">
        <f>'Retail Pricing Sheet'!L71</f>
        <v>0</v>
      </c>
      <c r="L138" s="154">
        <f>'Retail Pricing Sheet'!M71</f>
        <v>0</v>
      </c>
      <c r="M138" s="154">
        <f>'Retail Pricing Sheet'!N71</f>
        <v>0</v>
      </c>
      <c r="N138" s="154">
        <f>'Retail Pricing Sheet'!O71</f>
        <v>0</v>
      </c>
      <c r="O138" s="154">
        <f>'Retail Pricing Sheet'!P71</f>
        <v>0</v>
      </c>
      <c r="P138" s="154">
        <f>'Retail Pricing Sheet'!Q71</f>
        <v>0</v>
      </c>
      <c r="Q138" s="154">
        <f>'Retail Pricing Sheet'!R71</f>
        <v>0</v>
      </c>
      <c r="R138" s="154">
        <f>'Retail Pricing Sheet'!S71</f>
        <v>0</v>
      </c>
      <c r="S138" s="154">
        <f>'Retail Pricing Sheet'!T71</f>
        <v>0</v>
      </c>
      <c r="T138" s="154">
        <f>'Retail Pricing Sheet'!U71</f>
        <v>0</v>
      </c>
      <c r="U138" s="154">
        <f>'Retail Pricing Sheet'!V71</f>
        <v>0</v>
      </c>
      <c r="V138" s="154">
        <f>'Retail Pricing Sheet'!W71</f>
        <v>0</v>
      </c>
      <c r="Y138" s="155"/>
    </row>
    <row r="141" spans="1:25" ht="15" x14ac:dyDescent="0.25">
      <c r="A141" s="205" t="s">
        <v>495</v>
      </c>
    </row>
    <row r="143" spans="1:25" x14ac:dyDescent="0.2">
      <c r="A143" s="151" t="str">
        <f>'Retail Pricing RI+TPS'!B3</f>
        <v>Tier Structure</v>
      </c>
      <c r="B143" s="67"/>
      <c r="C143" s="67"/>
      <c r="D143" s="67"/>
      <c r="E143" s="67"/>
      <c r="F143" s="64"/>
    </row>
    <row r="144" spans="1:25" x14ac:dyDescent="0.2">
      <c r="A144" s="152"/>
      <c r="B144" s="65"/>
      <c r="C144" s="65"/>
      <c r="D144" s="65" t="str">
        <f>'Retail Pricing RI+TPS'!E4</f>
        <v>Standard discount vs. Tier 1</v>
      </c>
      <c r="E144" s="65"/>
      <c r="F144" s="68"/>
    </row>
    <row r="145" spans="1:20" x14ac:dyDescent="0.2">
      <c r="A145" s="152"/>
      <c r="B145" s="65" t="str">
        <f>'Retail Pricing RI+TPS'!C5</f>
        <v>Tier 1</v>
      </c>
      <c r="C145" s="423" t="str">
        <f>'Retail Pricing RI+TPS'!D5</f>
        <v>1-4</v>
      </c>
      <c r="D145" s="65">
        <f>'Retail Pricing RI+TPS'!E5</f>
        <v>0</v>
      </c>
      <c r="E145" s="65"/>
      <c r="F145" s="68"/>
    </row>
    <row r="146" spans="1:20" x14ac:dyDescent="0.2">
      <c r="A146" s="152"/>
      <c r="B146" s="65" t="str">
        <f>'Retail Pricing RI+TPS'!C6</f>
        <v>Tier 2</v>
      </c>
      <c r="C146" s="423" t="str">
        <f>'Retail Pricing RI+TPS'!D6</f>
        <v>5-11</v>
      </c>
      <c r="D146" s="65">
        <f>'Retail Pricing RI+TPS'!E6</f>
        <v>0</v>
      </c>
      <c r="E146" s="65"/>
      <c r="F146" s="68"/>
    </row>
    <row r="147" spans="1:20" x14ac:dyDescent="0.2">
      <c r="A147" s="152"/>
      <c r="B147" s="65" t="str">
        <f>'Retail Pricing RI+TPS'!C7</f>
        <v>Tier 3</v>
      </c>
      <c r="C147" s="423" t="str">
        <f>'Retail Pricing RI+TPS'!D7</f>
        <v>12-29</v>
      </c>
      <c r="D147" s="65">
        <f>'Retail Pricing RI+TPS'!E7</f>
        <v>0</v>
      </c>
      <c r="E147" s="65"/>
      <c r="F147" s="68"/>
    </row>
    <row r="148" spans="1:20" x14ac:dyDescent="0.2">
      <c r="A148" s="153"/>
      <c r="B148" s="154" t="str">
        <f>'Retail Pricing RI+TPS'!C8</f>
        <v>Tier 4</v>
      </c>
      <c r="C148" s="424" t="str">
        <f>'Retail Pricing RI+TPS'!D8</f>
        <v>30+</v>
      </c>
      <c r="D148" s="154">
        <f>'Retail Pricing RI+TPS'!E8</f>
        <v>0</v>
      </c>
      <c r="E148" s="154"/>
      <c r="F148" s="155"/>
    </row>
    <row r="150" spans="1:20" x14ac:dyDescent="0.2">
      <c r="A150" s="35" t="s">
        <v>496</v>
      </c>
    </row>
    <row r="151" spans="1:20" x14ac:dyDescent="0.2">
      <c r="A151" s="151" t="str">
        <f>'Retail Pricing RI+TPS'!B14</f>
        <v>Room Pool</v>
      </c>
      <c r="B151" s="67" t="str">
        <f>'Retail Pricing RI+TPS'!C14</f>
        <v>Room Pool Classification</v>
      </c>
      <c r="C151" s="67" t="str">
        <f>'Retail Pricing RI+TPS'!D14</f>
        <v>Standard Supplement</v>
      </c>
      <c r="D151" s="67" t="str">
        <f>'Retail Pricing RI+TPS'!E14</f>
        <v>Alternate Supplement</v>
      </c>
      <c r="E151" s="67" t="str">
        <f>'Retail Pricing RI+TPS'!F14</f>
        <v>Default Rates</v>
      </c>
      <c r="F151" s="67">
        <f>'Retail Pricing RI+TPS'!G14</f>
        <v>0</v>
      </c>
      <c r="G151" s="67">
        <f>'Retail Pricing RI+TPS'!H14</f>
        <v>0</v>
      </c>
      <c r="H151" s="67">
        <f>'Retail Pricing RI+TPS'!I14</f>
        <v>0</v>
      </c>
      <c r="I151" s="67" t="str">
        <f>'Retail Pricing RI+TPS'!J14</f>
        <v>Enter Season Dates Here
(multiple date ranges with same pricing can be combined)</v>
      </c>
      <c r="J151" s="67">
        <f>'Retail Pricing RI+TPS'!K14</f>
        <v>0</v>
      </c>
      <c r="K151" s="67">
        <f>'Retail Pricing RI+TPS'!L14</f>
        <v>0</v>
      </c>
      <c r="L151" s="67">
        <f>'Retail Pricing RI+TPS'!M14</f>
        <v>0</v>
      </c>
      <c r="M151" s="67" t="str">
        <f>'Retail Pricing RI+TPS'!N14</f>
        <v>Enter Season Dates Here
(multiple date ranges with same pricing can be combined)</v>
      </c>
      <c r="N151" s="67">
        <f>'Retail Pricing RI+TPS'!O14</f>
        <v>0</v>
      </c>
      <c r="O151" s="67">
        <f>'Retail Pricing RI+TPS'!P14</f>
        <v>0</v>
      </c>
      <c r="P151" s="67">
        <f>'Retail Pricing RI+TPS'!Q14</f>
        <v>0</v>
      </c>
      <c r="Q151" s="67" t="str">
        <f>'Retail Pricing RI+TPS'!R14</f>
        <v>Enter Season Dates Here
(multiple date ranges with same pricing can be combined)</v>
      </c>
      <c r="R151" s="67">
        <f>'Retail Pricing RI+TPS'!S14</f>
        <v>0</v>
      </c>
      <c r="S151" s="67">
        <f>'Retail Pricing RI+TPS'!T14</f>
        <v>0</v>
      </c>
      <c r="T151" s="64">
        <f>'Retail Pricing RI+TPS'!U14</f>
        <v>0</v>
      </c>
    </row>
    <row r="152" spans="1:20" x14ac:dyDescent="0.2">
      <c r="A152" s="152">
        <f>'Retail Pricing RI+TPS'!B15</f>
        <v>0</v>
      </c>
      <c r="B152" s="65">
        <f>'Retail Pricing RI+TPS'!C15</f>
        <v>0</v>
      </c>
      <c r="C152" s="65">
        <f>'Retail Pricing RI+TPS'!D15</f>
        <v>0</v>
      </c>
      <c r="D152" s="65">
        <f>'Retail Pricing RI+TPS'!E15</f>
        <v>0</v>
      </c>
      <c r="E152" s="65" t="str">
        <f>'Retail Pricing RI+TPS'!F15</f>
        <v>Tier 1</v>
      </c>
      <c r="F152" s="65" t="str">
        <f>'Retail Pricing RI+TPS'!G15</f>
        <v>Tier 2</v>
      </c>
      <c r="G152" s="65" t="str">
        <f>'Retail Pricing RI+TPS'!H15</f>
        <v>Tier 3</v>
      </c>
      <c r="H152" s="65" t="str">
        <f>'Retail Pricing RI+TPS'!I15</f>
        <v>Tier 4</v>
      </c>
      <c r="I152" s="65" t="str">
        <f>'Retail Pricing RI+TPS'!J15</f>
        <v>Tier 1</v>
      </c>
      <c r="J152" s="65" t="str">
        <f>'Retail Pricing RI+TPS'!K15</f>
        <v>Tier 2</v>
      </c>
      <c r="K152" s="65" t="str">
        <f>'Retail Pricing RI+TPS'!L15</f>
        <v>Tier 3</v>
      </c>
      <c r="L152" s="65" t="str">
        <f>'Retail Pricing RI+TPS'!M15</f>
        <v>Tier 4</v>
      </c>
      <c r="M152" s="65" t="str">
        <f>'Retail Pricing RI+TPS'!N15</f>
        <v>Tier 1</v>
      </c>
      <c r="N152" s="65" t="str">
        <f>'Retail Pricing RI+TPS'!O15</f>
        <v>Tier 2</v>
      </c>
      <c r="O152" s="65" t="str">
        <f>'Retail Pricing RI+TPS'!P15</f>
        <v>Tier 3</v>
      </c>
      <c r="P152" s="65" t="str">
        <f>'Retail Pricing RI+TPS'!Q15</f>
        <v>Tier 4</v>
      </c>
      <c r="Q152" s="65" t="str">
        <f>'Retail Pricing RI+TPS'!R15</f>
        <v>Tier 1</v>
      </c>
      <c r="R152" s="65" t="str">
        <f>'Retail Pricing RI+TPS'!S15</f>
        <v>Tier 2</v>
      </c>
      <c r="S152" s="65" t="str">
        <f>'Retail Pricing RI+TPS'!T15</f>
        <v>Tier 3</v>
      </c>
      <c r="T152" s="68" t="str">
        <f>'Retail Pricing RI+TPS'!U15</f>
        <v>Tier 4</v>
      </c>
    </row>
    <row r="153" spans="1:20" x14ac:dyDescent="0.2">
      <c r="A153" s="152">
        <f>'Retail Pricing RI+TPS'!B16</f>
        <v>0</v>
      </c>
      <c r="B153" s="65">
        <f>'Retail Pricing RI+TPS'!C16</f>
        <v>0</v>
      </c>
      <c r="C153" s="65">
        <f>'Retail Pricing RI+TPS'!D16</f>
        <v>0</v>
      </c>
      <c r="D153" s="65">
        <f>'Retail Pricing RI+TPS'!E16</f>
        <v>0</v>
      </c>
      <c r="E153" s="65" t="str">
        <f>'Retail Pricing RI+TPS'!F16</f>
        <v>Standard</v>
      </c>
      <c r="F153" s="65" t="str">
        <f>'Retail Pricing RI+TPS'!G16</f>
        <v>Standard</v>
      </c>
      <c r="G153" s="65" t="str">
        <f>'Retail Pricing RI+TPS'!H16</f>
        <v>Standard</v>
      </c>
      <c r="H153" s="65" t="str">
        <f>'Retail Pricing RI+TPS'!I16</f>
        <v>Standard</v>
      </c>
      <c r="I153" s="65" t="str">
        <f>'Retail Pricing RI+TPS'!J16</f>
        <v>Standard</v>
      </c>
      <c r="J153" s="65" t="str">
        <f>'Retail Pricing RI+TPS'!K16</f>
        <v>Standard</v>
      </c>
      <c r="K153" s="65" t="str">
        <f>'Retail Pricing RI+TPS'!L16</f>
        <v>Standard</v>
      </c>
      <c r="L153" s="65" t="str">
        <f>'Retail Pricing RI+TPS'!M16</f>
        <v>Standard</v>
      </c>
      <c r="M153" s="65" t="str">
        <f>'Retail Pricing RI+TPS'!N16</f>
        <v/>
      </c>
      <c r="N153" s="65" t="str">
        <f>'Retail Pricing RI+TPS'!O16</f>
        <v/>
      </c>
      <c r="O153" s="65" t="str">
        <f>'Retail Pricing RI+TPS'!P16</f>
        <v/>
      </c>
      <c r="P153" s="65" t="str">
        <f>'Retail Pricing RI+TPS'!Q16</f>
        <v/>
      </c>
      <c r="Q153" s="65" t="str">
        <f>'Retail Pricing RI+TPS'!R16</f>
        <v/>
      </c>
      <c r="R153" s="65" t="str">
        <f>'Retail Pricing RI+TPS'!S16</f>
        <v/>
      </c>
      <c r="S153" s="65" t="str">
        <f>'Retail Pricing RI+TPS'!T16</f>
        <v/>
      </c>
      <c r="T153" s="68" t="str">
        <f>'Retail Pricing RI+TPS'!U16</f>
        <v/>
      </c>
    </row>
    <row r="154" spans="1:20" x14ac:dyDescent="0.2">
      <c r="A154" s="152" t="str">
        <f>'Retail Pricing RI+TPS'!B17</f>
        <v>KING</v>
      </c>
      <c r="B154" s="65" t="str">
        <f>'Retail Pricing RI+TPS'!C17</f>
        <v>Standard</v>
      </c>
      <c r="C154" s="65">
        <f>'Retail Pricing RI+TPS'!D17</f>
        <v>0</v>
      </c>
      <c r="D154" s="65">
        <f>'Retail Pricing RI+TPS'!E17</f>
        <v>0</v>
      </c>
      <c r="E154" s="65">
        <f>'Retail Pricing RI+TPS'!F17</f>
        <v>0</v>
      </c>
      <c r="F154" s="65" t="str">
        <f>'Retail Pricing RI+TPS'!G17</f>
        <v/>
      </c>
      <c r="G154" s="65" t="str">
        <f>'Retail Pricing RI+TPS'!H17</f>
        <v/>
      </c>
      <c r="H154" s="65" t="str">
        <f>'Retail Pricing RI+TPS'!I17</f>
        <v/>
      </c>
      <c r="I154" s="65">
        <f>'Retail Pricing RI+TPS'!J17</f>
        <v>0</v>
      </c>
      <c r="J154" s="65" t="str">
        <f>'Retail Pricing RI+TPS'!K17</f>
        <v/>
      </c>
      <c r="K154" s="65" t="str">
        <f>'Retail Pricing RI+TPS'!L17</f>
        <v/>
      </c>
      <c r="L154" s="65" t="str">
        <f>'Retail Pricing RI+TPS'!M17</f>
        <v/>
      </c>
      <c r="M154" s="65">
        <f>'Retail Pricing RI+TPS'!N17</f>
        <v>0</v>
      </c>
      <c r="N154" s="65" t="str">
        <f>'Retail Pricing RI+TPS'!O17</f>
        <v/>
      </c>
      <c r="O154" s="65" t="str">
        <f>'Retail Pricing RI+TPS'!P17</f>
        <v/>
      </c>
      <c r="P154" s="65" t="str">
        <f>'Retail Pricing RI+TPS'!Q17</f>
        <v/>
      </c>
      <c r="Q154" s="65">
        <f>'Retail Pricing RI+TPS'!R17</f>
        <v>0</v>
      </c>
      <c r="R154" s="65" t="str">
        <f>'Retail Pricing RI+TPS'!S17</f>
        <v/>
      </c>
      <c r="S154" s="65" t="str">
        <f>'Retail Pricing RI+TPS'!T17</f>
        <v/>
      </c>
      <c r="T154" s="68" t="str">
        <f>'Retail Pricing RI+TPS'!U17</f>
        <v/>
      </c>
    </row>
    <row r="155" spans="1:20" x14ac:dyDescent="0.2">
      <c r="A155" s="152" t="str">
        <f>'Retail Pricing RI+TPS'!B18</f>
        <v>DBDB</v>
      </c>
      <c r="B155" s="65" t="str">
        <f>'Retail Pricing RI+TPS'!C18</f>
        <v>Standard</v>
      </c>
      <c r="C155" s="65">
        <f>'Retail Pricing RI+TPS'!D18</f>
        <v>0</v>
      </c>
      <c r="D155" s="65">
        <f>'Retail Pricing RI+TPS'!E18</f>
        <v>0</v>
      </c>
      <c r="E155" s="65" t="str">
        <f>'Retail Pricing RI+TPS'!F18</f>
        <v/>
      </c>
      <c r="F155" s="65" t="str">
        <f>'Retail Pricing RI+TPS'!G18</f>
        <v/>
      </c>
      <c r="G155" s="65" t="str">
        <f>'Retail Pricing RI+TPS'!H18</f>
        <v/>
      </c>
      <c r="H155" s="65" t="str">
        <f>'Retail Pricing RI+TPS'!I18</f>
        <v/>
      </c>
      <c r="I155" s="65" t="str">
        <f>'Retail Pricing RI+TPS'!J18</f>
        <v/>
      </c>
      <c r="J155" s="65" t="str">
        <f>'Retail Pricing RI+TPS'!K18</f>
        <v/>
      </c>
      <c r="K155" s="65" t="str">
        <f>'Retail Pricing RI+TPS'!L18</f>
        <v/>
      </c>
      <c r="L155" s="65" t="str">
        <f>'Retail Pricing RI+TPS'!M18</f>
        <v/>
      </c>
      <c r="M155" s="65" t="str">
        <f>'Retail Pricing RI+TPS'!N18</f>
        <v/>
      </c>
      <c r="N155" s="65" t="str">
        <f>'Retail Pricing RI+TPS'!O18</f>
        <v/>
      </c>
      <c r="O155" s="65" t="str">
        <f>'Retail Pricing RI+TPS'!P18</f>
        <v/>
      </c>
      <c r="P155" s="65" t="str">
        <f>'Retail Pricing RI+TPS'!Q18</f>
        <v/>
      </c>
      <c r="Q155" s="65" t="str">
        <f>'Retail Pricing RI+TPS'!R18</f>
        <v/>
      </c>
      <c r="R155" s="65" t="str">
        <f>'Retail Pricing RI+TPS'!S18</f>
        <v/>
      </c>
      <c r="S155" s="65" t="str">
        <f>'Retail Pricing RI+TPS'!T18</f>
        <v/>
      </c>
      <c r="T155" s="68" t="str">
        <f>'Retail Pricing RI+TPS'!U18</f>
        <v/>
      </c>
    </row>
    <row r="156" spans="1:20" x14ac:dyDescent="0.2">
      <c r="A156" s="152" t="str">
        <f>'Retail Pricing RI+TPS'!B19</f>
        <v>PMRS</v>
      </c>
      <c r="B156" s="65" t="str">
        <f>'Retail Pricing RI+TPS'!C19</f>
        <v>Standard</v>
      </c>
      <c r="C156" s="65">
        <f>'Retail Pricing RI+TPS'!D19</f>
        <v>0</v>
      </c>
      <c r="D156" s="65">
        <f>'Retail Pricing RI+TPS'!E19</f>
        <v>0</v>
      </c>
      <c r="E156" s="65" t="str">
        <f>'Retail Pricing RI+TPS'!F19</f>
        <v/>
      </c>
      <c r="F156" s="65" t="str">
        <f>'Retail Pricing RI+TPS'!G19</f>
        <v/>
      </c>
      <c r="G156" s="65" t="str">
        <f>'Retail Pricing RI+TPS'!H19</f>
        <v/>
      </c>
      <c r="H156" s="65" t="str">
        <f>'Retail Pricing RI+TPS'!I19</f>
        <v/>
      </c>
      <c r="I156" s="65" t="str">
        <f>'Retail Pricing RI+TPS'!J19</f>
        <v/>
      </c>
      <c r="J156" s="65" t="str">
        <f>'Retail Pricing RI+TPS'!K19</f>
        <v/>
      </c>
      <c r="K156" s="65" t="str">
        <f>'Retail Pricing RI+TPS'!L19</f>
        <v/>
      </c>
      <c r="L156" s="65" t="str">
        <f>'Retail Pricing RI+TPS'!M19</f>
        <v/>
      </c>
      <c r="M156" s="65" t="str">
        <f>'Retail Pricing RI+TPS'!N19</f>
        <v/>
      </c>
      <c r="N156" s="65" t="str">
        <f>'Retail Pricing RI+TPS'!O19</f>
        <v/>
      </c>
      <c r="O156" s="65" t="str">
        <f>'Retail Pricing RI+TPS'!P19</f>
        <v/>
      </c>
      <c r="P156" s="65" t="str">
        <f>'Retail Pricing RI+TPS'!Q19</f>
        <v/>
      </c>
      <c r="Q156" s="65" t="str">
        <f>'Retail Pricing RI+TPS'!R19</f>
        <v/>
      </c>
      <c r="R156" s="65" t="str">
        <f>'Retail Pricing RI+TPS'!S19</f>
        <v/>
      </c>
      <c r="S156" s="65" t="str">
        <f>'Retail Pricing RI+TPS'!T19</f>
        <v/>
      </c>
      <c r="T156" s="68" t="str">
        <f>'Retail Pricing RI+TPS'!U19</f>
        <v/>
      </c>
    </row>
    <row r="157" spans="1:20" x14ac:dyDescent="0.2">
      <c r="A157" s="152" t="str">
        <f>'Retail Pricing RI+TPS'!B20</f>
        <v>PMRS</v>
      </c>
      <c r="B157" s="65" t="str">
        <f>'Retail Pricing RI+TPS'!C20</f>
        <v>Standard</v>
      </c>
      <c r="C157" s="65">
        <f>'Retail Pricing RI+TPS'!D20</f>
        <v>0</v>
      </c>
      <c r="D157" s="65">
        <f>'Retail Pricing RI+TPS'!E20</f>
        <v>0</v>
      </c>
      <c r="E157" s="65" t="str">
        <f>'Retail Pricing RI+TPS'!F20</f>
        <v/>
      </c>
      <c r="F157" s="65" t="str">
        <f>'Retail Pricing RI+TPS'!G20</f>
        <v/>
      </c>
      <c r="G157" s="65" t="str">
        <f>'Retail Pricing RI+TPS'!H20</f>
        <v/>
      </c>
      <c r="H157" s="65" t="str">
        <f>'Retail Pricing RI+TPS'!I20</f>
        <v/>
      </c>
      <c r="I157" s="65" t="str">
        <f>'Retail Pricing RI+TPS'!J20</f>
        <v/>
      </c>
      <c r="J157" s="65" t="str">
        <f>'Retail Pricing RI+TPS'!K20</f>
        <v/>
      </c>
      <c r="K157" s="65" t="str">
        <f>'Retail Pricing RI+TPS'!L20</f>
        <v/>
      </c>
      <c r="L157" s="65" t="str">
        <f>'Retail Pricing RI+TPS'!M20</f>
        <v/>
      </c>
      <c r="M157" s="65" t="str">
        <f>'Retail Pricing RI+TPS'!N20</f>
        <v/>
      </c>
      <c r="N157" s="65" t="str">
        <f>'Retail Pricing RI+TPS'!O20</f>
        <v/>
      </c>
      <c r="O157" s="65" t="str">
        <f>'Retail Pricing RI+TPS'!P20</f>
        <v/>
      </c>
      <c r="P157" s="65" t="str">
        <f>'Retail Pricing RI+TPS'!Q20</f>
        <v/>
      </c>
      <c r="Q157" s="65" t="str">
        <f>'Retail Pricing RI+TPS'!R20</f>
        <v/>
      </c>
      <c r="R157" s="65" t="str">
        <f>'Retail Pricing RI+TPS'!S20</f>
        <v/>
      </c>
      <c r="S157" s="65" t="str">
        <f>'Retail Pricing RI+TPS'!T20</f>
        <v/>
      </c>
      <c r="T157" s="68" t="str">
        <f>'Retail Pricing RI+TPS'!U20</f>
        <v/>
      </c>
    </row>
    <row r="158" spans="1:20" x14ac:dyDescent="0.2">
      <c r="A158" s="152">
        <f>'Retail Pricing RI+TPS'!B21</f>
        <v>0</v>
      </c>
      <c r="B158" s="65" t="str">
        <f>'Retail Pricing RI+TPS'!C21</f>
        <v/>
      </c>
      <c r="C158" s="65">
        <f>'Retail Pricing RI+TPS'!D21</f>
        <v>0</v>
      </c>
      <c r="D158" s="65">
        <f>'Retail Pricing RI+TPS'!E21</f>
        <v>0</v>
      </c>
      <c r="E158" s="65" t="str">
        <f>'Retail Pricing RI+TPS'!F21</f>
        <v/>
      </c>
      <c r="F158" s="65" t="str">
        <f>'Retail Pricing RI+TPS'!G21</f>
        <v/>
      </c>
      <c r="G158" s="65" t="str">
        <f>'Retail Pricing RI+TPS'!H21</f>
        <v/>
      </c>
      <c r="H158" s="65" t="str">
        <f>'Retail Pricing RI+TPS'!I21</f>
        <v/>
      </c>
      <c r="I158" s="65" t="str">
        <f>'Retail Pricing RI+TPS'!J21</f>
        <v/>
      </c>
      <c r="J158" s="65" t="str">
        <f>'Retail Pricing RI+TPS'!K21</f>
        <v/>
      </c>
      <c r="K158" s="65" t="str">
        <f>'Retail Pricing RI+TPS'!L21</f>
        <v/>
      </c>
      <c r="L158" s="65" t="str">
        <f>'Retail Pricing RI+TPS'!M21</f>
        <v/>
      </c>
      <c r="M158" s="65" t="str">
        <f>'Retail Pricing RI+TPS'!N21</f>
        <v/>
      </c>
      <c r="N158" s="65" t="str">
        <f>'Retail Pricing RI+TPS'!O21</f>
        <v/>
      </c>
      <c r="O158" s="65" t="str">
        <f>'Retail Pricing RI+TPS'!P21</f>
        <v/>
      </c>
      <c r="P158" s="65" t="str">
        <f>'Retail Pricing RI+TPS'!Q21</f>
        <v/>
      </c>
      <c r="Q158" s="65" t="str">
        <f>'Retail Pricing RI+TPS'!R21</f>
        <v/>
      </c>
      <c r="R158" s="65" t="str">
        <f>'Retail Pricing RI+TPS'!S21</f>
        <v/>
      </c>
      <c r="S158" s="65" t="str">
        <f>'Retail Pricing RI+TPS'!T21</f>
        <v/>
      </c>
      <c r="T158" s="68" t="str">
        <f>'Retail Pricing RI+TPS'!U21</f>
        <v/>
      </c>
    </row>
    <row r="159" spans="1:20" x14ac:dyDescent="0.2">
      <c r="A159" s="152">
        <f>'Retail Pricing RI+TPS'!B22</f>
        <v>0</v>
      </c>
      <c r="B159" s="65" t="str">
        <f>'Retail Pricing RI+TPS'!C22</f>
        <v/>
      </c>
      <c r="C159" s="65">
        <f>'Retail Pricing RI+TPS'!D22</f>
        <v>0</v>
      </c>
      <c r="D159" s="65">
        <f>'Retail Pricing RI+TPS'!E22</f>
        <v>0</v>
      </c>
      <c r="E159" s="65" t="str">
        <f>'Retail Pricing RI+TPS'!F22</f>
        <v/>
      </c>
      <c r="F159" s="65" t="str">
        <f>'Retail Pricing RI+TPS'!G22</f>
        <v/>
      </c>
      <c r="G159" s="65" t="str">
        <f>'Retail Pricing RI+TPS'!H22</f>
        <v/>
      </c>
      <c r="H159" s="65" t="str">
        <f>'Retail Pricing RI+TPS'!I22</f>
        <v/>
      </c>
      <c r="I159" s="65" t="str">
        <f>'Retail Pricing RI+TPS'!J22</f>
        <v/>
      </c>
      <c r="J159" s="65" t="str">
        <f>'Retail Pricing RI+TPS'!K22</f>
        <v/>
      </c>
      <c r="K159" s="65" t="str">
        <f>'Retail Pricing RI+TPS'!L22</f>
        <v/>
      </c>
      <c r="L159" s="65" t="str">
        <f>'Retail Pricing RI+TPS'!M22</f>
        <v/>
      </c>
      <c r="M159" s="65" t="str">
        <f>'Retail Pricing RI+TPS'!N22</f>
        <v/>
      </c>
      <c r="N159" s="65" t="str">
        <f>'Retail Pricing RI+TPS'!O22</f>
        <v/>
      </c>
      <c r="O159" s="65" t="str">
        <f>'Retail Pricing RI+TPS'!P22</f>
        <v/>
      </c>
      <c r="P159" s="65" t="str">
        <f>'Retail Pricing RI+TPS'!Q22</f>
        <v/>
      </c>
      <c r="Q159" s="65" t="str">
        <f>'Retail Pricing RI+TPS'!R22</f>
        <v/>
      </c>
      <c r="R159" s="65" t="str">
        <f>'Retail Pricing RI+TPS'!S22</f>
        <v/>
      </c>
      <c r="S159" s="65" t="str">
        <f>'Retail Pricing RI+TPS'!T22</f>
        <v/>
      </c>
      <c r="T159" s="68" t="str">
        <f>'Retail Pricing RI+TPS'!U22</f>
        <v/>
      </c>
    </row>
    <row r="160" spans="1:20" x14ac:dyDescent="0.2">
      <c r="A160" s="152">
        <f>'Retail Pricing RI+TPS'!B23</f>
        <v>0</v>
      </c>
      <c r="B160" s="65" t="str">
        <f>'Retail Pricing RI+TPS'!C23</f>
        <v/>
      </c>
      <c r="C160" s="65">
        <f>'Retail Pricing RI+TPS'!D23</f>
        <v>0</v>
      </c>
      <c r="D160" s="65">
        <f>'Retail Pricing RI+TPS'!E23</f>
        <v>0</v>
      </c>
      <c r="E160" s="65" t="str">
        <f>'Retail Pricing RI+TPS'!F23</f>
        <v/>
      </c>
      <c r="F160" s="65" t="str">
        <f>'Retail Pricing RI+TPS'!G23</f>
        <v/>
      </c>
      <c r="G160" s="65" t="str">
        <f>'Retail Pricing RI+TPS'!H23</f>
        <v/>
      </c>
      <c r="H160" s="65" t="str">
        <f>'Retail Pricing RI+TPS'!I23</f>
        <v/>
      </c>
      <c r="I160" s="65" t="str">
        <f>'Retail Pricing RI+TPS'!J23</f>
        <v/>
      </c>
      <c r="J160" s="65" t="str">
        <f>'Retail Pricing RI+TPS'!K23</f>
        <v/>
      </c>
      <c r="K160" s="65" t="str">
        <f>'Retail Pricing RI+TPS'!L23</f>
        <v/>
      </c>
      <c r="L160" s="65" t="str">
        <f>'Retail Pricing RI+TPS'!M23</f>
        <v/>
      </c>
      <c r="M160" s="65" t="str">
        <f>'Retail Pricing RI+TPS'!N23</f>
        <v/>
      </c>
      <c r="N160" s="65" t="str">
        <f>'Retail Pricing RI+TPS'!O23</f>
        <v/>
      </c>
      <c r="O160" s="65" t="str">
        <f>'Retail Pricing RI+TPS'!P23</f>
        <v/>
      </c>
      <c r="P160" s="65" t="str">
        <f>'Retail Pricing RI+TPS'!Q23</f>
        <v/>
      </c>
      <c r="Q160" s="65" t="str">
        <f>'Retail Pricing RI+TPS'!R23</f>
        <v/>
      </c>
      <c r="R160" s="65" t="str">
        <f>'Retail Pricing RI+TPS'!S23</f>
        <v/>
      </c>
      <c r="S160" s="65" t="str">
        <f>'Retail Pricing RI+TPS'!T23</f>
        <v/>
      </c>
      <c r="T160" s="68" t="str">
        <f>'Retail Pricing RI+TPS'!U23</f>
        <v/>
      </c>
    </row>
    <row r="161" spans="1:20" x14ac:dyDescent="0.2">
      <c r="A161" s="152">
        <f>'Retail Pricing RI+TPS'!B24</f>
        <v>0</v>
      </c>
      <c r="B161" s="65" t="str">
        <f>'Retail Pricing RI+TPS'!C24</f>
        <v/>
      </c>
      <c r="C161" s="65">
        <f>'Retail Pricing RI+TPS'!D24</f>
        <v>0</v>
      </c>
      <c r="D161" s="65">
        <f>'Retail Pricing RI+TPS'!E24</f>
        <v>0</v>
      </c>
      <c r="E161" s="65" t="str">
        <f>'Retail Pricing RI+TPS'!F24</f>
        <v/>
      </c>
      <c r="F161" s="65" t="str">
        <f>'Retail Pricing RI+TPS'!G24</f>
        <v/>
      </c>
      <c r="G161" s="65" t="str">
        <f>'Retail Pricing RI+TPS'!H24</f>
        <v/>
      </c>
      <c r="H161" s="65" t="str">
        <f>'Retail Pricing RI+TPS'!I24</f>
        <v/>
      </c>
      <c r="I161" s="65" t="str">
        <f>'Retail Pricing RI+TPS'!J24</f>
        <v/>
      </c>
      <c r="J161" s="65" t="str">
        <f>'Retail Pricing RI+TPS'!K24</f>
        <v/>
      </c>
      <c r="K161" s="65" t="str">
        <f>'Retail Pricing RI+TPS'!L24</f>
        <v/>
      </c>
      <c r="L161" s="65" t="str">
        <f>'Retail Pricing RI+TPS'!M24</f>
        <v/>
      </c>
      <c r="M161" s="65" t="str">
        <f>'Retail Pricing RI+TPS'!N24</f>
        <v/>
      </c>
      <c r="N161" s="65" t="str">
        <f>'Retail Pricing RI+TPS'!O24</f>
        <v/>
      </c>
      <c r="O161" s="65" t="str">
        <f>'Retail Pricing RI+TPS'!P24</f>
        <v/>
      </c>
      <c r="P161" s="65" t="str">
        <f>'Retail Pricing RI+TPS'!Q24</f>
        <v/>
      </c>
      <c r="Q161" s="65" t="str">
        <f>'Retail Pricing RI+TPS'!R24</f>
        <v/>
      </c>
      <c r="R161" s="65" t="str">
        <f>'Retail Pricing RI+TPS'!S24</f>
        <v/>
      </c>
      <c r="S161" s="65" t="str">
        <f>'Retail Pricing RI+TPS'!T24</f>
        <v/>
      </c>
      <c r="T161" s="68" t="str">
        <f>'Retail Pricing RI+TPS'!U24</f>
        <v/>
      </c>
    </row>
    <row r="162" spans="1:20" x14ac:dyDescent="0.2">
      <c r="A162" s="152">
        <f>'Retail Pricing RI+TPS'!B25</f>
        <v>0</v>
      </c>
      <c r="B162" s="65" t="str">
        <f>'Retail Pricing RI+TPS'!C25</f>
        <v/>
      </c>
      <c r="C162" s="65">
        <f>'Retail Pricing RI+TPS'!D25</f>
        <v>0</v>
      </c>
      <c r="D162" s="65">
        <f>'Retail Pricing RI+TPS'!E25</f>
        <v>0</v>
      </c>
      <c r="E162" s="65" t="str">
        <f>'Retail Pricing RI+TPS'!F25</f>
        <v/>
      </c>
      <c r="F162" s="65" t="str">
        <f>'Retail Pricing RI+TPS'!G25</f>
        <v/>
      </c>
      <c r="G162" s="65" t="str">
        <f>'Retail Pricing RI+TPS'!H25</f>
        <v/>
      </c>
      <c r="H162" s="65" t="str">
        <f>'Retail Pricing RI+TPS'!I25</f>
        <v/>
      </c>
      <c r="I162" s="65" t="str">
        <f>'Retail Pricing RI+TPS'!J25</f>
        <v/>
      </c>
      <c r="J162" s="65" t="str">
        <f>'Retail Pricing RI+TPS'!K25</f>
        <v/>
      </c>
      <c r="K162" s="65" t="str">
        <f>'Retail Pricing RI+TPS'!L25</f>
        <v/>
      </c>
      <c r="L162" s="65" t="str">
        <f>'Retail Pricing RI+TPS'!M25</f>
        <v/>
      </c>
      <c r="M162" s="65" t="str">
        <f>'Retail Pricing RI+TPS'!N25</f>
        <v/>
      </c>
      <c r="N162" s="65" t="str">
        <f>'Retail Pricing RI+TPS'!O25</f>
        <v/>
      </c>
      <c r="O162" s="65" t="str">
        <f>'Retail Pricing RI+TPS'!P25</f>
        <v/>
      </c>
      <c r="P162" s="65" t="str">
        <f>'Retail Pricing RI+TPS'!Q25</f>
        <v/>
      </c>
      <c r="Q162" s="65" t="str">
        <f>'Retail Pricing RI+TPS'!R25</f>
        <v/>
      </c>
      <c r="R162" s="65" t="str">
        <f>'Retail Pricing RI+TPS'!S25</f>
        <v/>
      </c>
      <c r="S162" s="65" t="str">
        <f>'Retail Pricing RI+TPS'!T25</f>
        <v/>
      </c>
      <c r="T162" s="68" t="str">
        <f>'Retail Pricing RI+TPS'!U25</f>
        <v/>
      </c>
    </row>
    <row r="163" spans="1:20" x14ac:dyDescent="0.2">
      <c r="A163" s="152">
        <f>'Retail Pricing RI+TPS'!B26</f>
        <v>0</v>
      </c>
      <c r="B163" s="65" t="str">
        <f>'Retail Pricing RI+TPS'!C26</f>
        <v/>
      </c>
      <c r="C163" s="65">
        <f>'Retail Pricing RI+TPS'!D26</f>
        <v>0</v>
      </c>
      <c r="D163" s="65">
        <f>'Retail Pricing RI+TPS'!E26</f>
        <v>0</v>
      </c>
      <c r="E163" s="65" t="str">
        <f>'Retail Pricing RI+TPS'!F26</f>
        <v/>
      </c>
      <c r="F163" s="65" t="str">
        <f>'Retail Pricing RI+TPS'!G26</f>
        <v/>
      </c>
      <c r="G163" s="65" t="str">
        <f>'Retail Pricing RI+TPS'!H26</f>
        <v/>
      </c>
      <c r="H163" s="65" t="str">
        <f>'Retail Pricing RI+TPS'!I26</f>
        <v/>
      </c>
      <c r="I163" s="65" t="str">
        <f>'Retail Pricing RI+TPS'!J26</f>
        <v/>
      </c>
      <c r="J163" s="65" t="str">
        <f>'Retail Pricing RI+TPS'!K26</f>
        <v/>
      </c>
      <c r="K163" s="65" t="str">
        <f>'Retail Pricing RI+TPS'!L26</f>
        <v/>
      </c>
      <c r="L163" s="65" t="str">
        <f>'Retail Pricing RI+TPS'!M26</f>
        <v/>
      </c>
      <c r="M163" s="65" t="str">
        <f>'Retail Pricing RI+TPS'!N26</f>
        <v/>
      </c>
      <c r="N163" s="65" t="str">
        <f>'Retail Pricing RI+TPS'!O26</f>
        <v/>
      </c>
      <c r="O163" s="65" t="str">
        <f>'Retail Pricing RI+TPS'!P26</f>
        <v/>
      </c>
      <c r="P163" s="65" t="str">
        <f>'Retail Pricing RI+TPS'!Q26</f>
        <v/>
      </c>
      <c r="Q163" s="65" t="str">
        <f>'Retail Pricing RI+TPS'!R26</f>
        <v/>
      </c>
      <c r="R163" s="65" t="str">
        <f>'Retail Pricing RI+TPS'!S26</f>
        <v/>
      </c>
      <c r="S163" s="65" t="str">
        <f>'Retail Pricing RI+TPS'!T26</f>
        <v/>
      </c>
      <c r="T163" s="68" t="str">
        <f>'Retail Pricing RI+TPS'!U26</f>
        <v/>
      </c>
    </row>
    <row r="164" spans="1:20" x14ac:dyDescent="0.2">
      <c r="A164" s="152">
        <f>'Retail Pricing RI+TPS'!B27</f>
        <v>0</v>
      </c>
      <c r="B164" s="65" t="str">
        <f>'Retail Pricing RI+TPS'!C27</f>
        <v/>
      </c>
      <c r="C164" s="65">
        <f>'Retail Pricing RI+TPS'!D27</f>
        <v>0</v>
      </c>
      <c r="D164" s="65">
        <f>'Retail Pricing RI+TPS'!E27</f>
        <v>0</v>
      </c>
      <c r="E164" s="65" t="str">
        <f>'Retail Pricing RI+TPS'!F27</f>
        <v/>
      </c>
      <c r="F164" s="65" t="str">
        <f>'Retail Pricing RI+TPS'!G27</f>
        <v/>
      </c>
      <c r="G164" s="65" t="str">
        <f>'Retail Pricing RI+TPS'!H27</f>
        <v/>
      </c>
      <c r="H164" s="65" t="str">
        <f>'Retail Pricing RI+TPS'!I27</f>
        <v/>
      </c>
      <c r="I164" s="65" t="str">
        <f>'Retail Pricing RI+TPS'!J27</f>
        <v/>
      </c>
      <c r="J164" s="65" t="str">
        <f>'Retail Pricing RI+TPS'!K27</f>
        <v/>
      </c>
      <c r="K164" s="65" t="str">
        <f>'Retail Pricing RI+TPS'!L27</f>
        <v/>
      </c>
      <c r="L164" s="65" t="str">
        <f>'Retail Pricing RI+TPS'!M27</f>
        <v/>
      </c>
      <c r="M164" s="65" t="str">
        <f>'Retail Pricing RI+TPS'!N27</f>
        <v/>
      </c>
      <c r="N164" s="65" t="str">
        <f>'Retail Pricing RI+TPS'!O27</f>
        <v/>
      </c>
      <c r="O164" s="65" t="str">
        <f>'Retail Pricing RI+TPS'!P27</f>
        <v/>
      </c>
      <c r="P164" s="65" t="str">
        <f>'Retail Pricing RI+TPS'!Q27</f>
        <v/>
      </c>
      <c r="Q164" s="65" t="str">
        <f>'Retail Pricing RI+TPS'!R27</f>
        <v/>
      </c>
      <c r="R164" s="65" t="str">
        <f>'Retail Pricing RI+TPS'!S27</f>
        <v/>
      </c>
      <c r="S164" s="65" t="str">
        <f>'Retail Pricing RI+TPS'!T27</f>
        <v/>
      </c>
      <c r="T164" s="68" t="str">
        <f>'Retail Pricing RI+TPS'!U27</f>
        <v/>
      </c>
    </row>
    <row r="165" spans="1:20" x14ac:dyDescent="0.2">
      <c r="A165" s="152">
        <f>'Retail Pricing RI+TPS'!B28</f>
        <v>0</v>
      </c>
      <c r="B165" s="65" t="str">
        <f>'Retail Pricing RI+TPS'!C28</f>
        <v/>
      </c>
      <c r="C165" s="65">
        <f>'Retail Pricing RI+TPS'!D28</f>
        <v>0</v>
      </c>
      <c r="D165" s="65">
        <f>'Retail Pricing RI+TPS'!E28</f>
        <v>0</v>
      </c>
      <c r="E165" s="65" t="str">
        <f>'Retail Pricing RI+TPS'!F28</f>
        <v/>
      </c>
      <c r="F165" s="65" t="str">
        <f>'Retail Pricing RI+TPS'!G28</f>
        <v/>
      </c>
      <c r="G165" s="65" t="str">
        <f>'Retail Pricing RI+TPS'!H28</f>
        <v/>
      </c>
      <c r="H165" s="65" t="str">
        <f>'Retail Pricing RI+TPS'!I28</f>
        <v/>
      </c>
      <c r="I165" s="65" t="str">
        <f>'Retail Pricing RI+TPS'!J28</f>
        <v/>
      </c>
      <c r="J165" s="65" t="str">
        <f>'Retail Pricing RI+TPS'!K28</f>
        <v/>
      </c>
      <c r="K165" s="65" t="str">
        <f>'Retail Pricing RI+TPS'!L28</f>
        <v/>
      </c>
      <c r="L165" s="65" t="str">
        <f>'Retail Pricing RI+TPS'!M28</f>
        <v/>
      </c>
      <c r="M165" s="65" t="str">
        <f>'Retail Pricing RI+TPS'!N28</f>
        <v/>
      </c>
      <c r="N165" s="65" t="str">
        <f>'Retail Pricing RI+TPS'!O28</f>
        <v/>
      </c>
      <c r="O165" s="65" t="str">
        <f>'Retail Pricing RI+TPS'!P28</f>
        <v/>
      </c>
      <c r="P165" s="65" t="str">
        <f>'Retail Pricing RI+TPS'!Q28</f>
        <v/>
      </c>
      <c r="Q165" s="65" t="str">
        <f>'Retail Pricing RI+TPS'!R28</f>
        <v/>
      </c>
      <c r="R165" s="65" t="str">
        <f>'Retail Pricing RI+TPS'!S28</f>
        <v/>
      </c>
      <c r="S165" s="65" t="str">
        <f>'Retail Pricing RI+TPS'!T28</f>
        <v/>
      </c>
      <c r="T165" s="68" t="str">
        <f>'Retail Pricing RI+TPS'!U28</f>
        <v/>
      </c>
    </row>
    <row r="166" spans="1:20" x14ac:dyDescent="0.2">
      <c r="A166" s="152">
        <f>'Retail Pricing RI+TPS'!B29</f>
        <v>0</v>
      </c>
      <c r="B166" s="65" t="str">
        <f>'Retail Pricing RI+TPS'!C29</f>
        <v/>
      </c>
      <c r="C166" s="65">
        <f>'Retail Pricing RI+TPS'!D29</f>
        <v>0</v>
      </c>
      <c r="D166" s="65">
        <f>'Retail Pricing RI+TPS'!E29</f>
        <v>0</v>
      </c>
      <c r="E166" s="65" t="str">
        <f>'Retail Pricing RI+TPS'!F29</f>
        <v/>
      </c>
      <c r="F166" s="65" t="str">
        <f>'Retail Pricing RI+TPS'!G29</f>
        <v/>
      </c>
      <c r="G166" s="65" t="str">
        <f>'Retail Pricing RI+TPS'!H29</f>
        <v/>
      </c>
      <c r="H166" s="65" t="str">
        <f>'Retail Pricing RI+TPS'!I29</f>
        <v/>
      </c>
      <c r="I166" s="65" t="str">
        <f>'Retail Pricing RI+TPS'!J29</f>
        <v/>
      </c>
      <c r="J166" s="65" t="str">
        <f>'Retail Pricing RI+TPS'!K29</f>
        <v/>
      </c>
      <c r="K166" s="65" t="str">
        <f>'Retail Pricing RI+TPS'!L29</f>
        <v/>
      </c>
      <c r="L166" s="65" t="str">
        <f>'Retail Pricing RI+TPS'!M29</f>
        <v/>
      </c>
      <c r="M166" s="65" t="str">
        <f>'Retail Pricing RI+TPS'!N29</f>
        <v/>
      </c>
      <c r="N166" s="65" t="str">
        <f>'Retail Pricing RI+TPS'!O29</f>
        <v/>
      </c>
      <c r="O166" s="65" t="str">
        <f>'Retail Pricing RI+TPS'!P29</f>
        <v/>
      </c>
      <c r="P166" s="65" t="str">
        <f>'Retail Pricing RI+TPS'!Q29</f>
        <v/>
      </c>
      <c r="Q166" s="65" t="str">
        <f>'Retail Pricing RI+TPS'!R29</f>
        <v/>
      </c>
      <c r="R166" s="65" t="str">
        <f>'Retail Pricing RI+TPS'!S29</f>
        <v/>
      </c>
      <c r="S166" s="65" t="str">
        <f>'Retail Pricing RI+TPS'!T29</f>
        <v/>
      </c>
      <c r="T166" s="68" t="str">
        <f>'Retail Pricing RI+TPS'!U29</f>
        <v/>
      </c>
    </row>
    <row r="167" spans="1:20" x14ac:dyDescent="0.2">
      <c r="A167" s="152">
        <f>'Retail Pricing RI+TPS'!B30</f>
        <v>0</v>
      </c>
      <c r="B167" s="65" t="str">
        <f>'Retail Pricing RI+TPS'!C30</f>
        <v/>
      </c>
      <c r="C167" s="65">
        <f>'Retail Pricing RI+TPS'!D30</f>
        <v>0</v>
      </c>
      <c r="D167" s="65">
        <f>'Retail Pricing RI+TPS'!E30</f>
        <v>0</v>
      </c>
      <c r="E167" s="65" t="str">
        <f>'Retail Pricing RI+TPS'!F30</f>
        <v/>
      </c>
      <c r="F167" s="65" t="str">
        <f>'Retail Pricing RI+TPS'!G30</f>
        <v/>
      </c>
      <c r="G167" s="65" t="str">
        <f>'Retail Pricing RI+TPS'!H30</f>
        <v/>
      </c>
      <c r="H167" s="65" t="str">
        <f>'Retail Pricing RI+TPS'!I30</f>
        <v/>
      </c>
      <c r="I167" s="65" t="str">
        <f>'Retail Pricing RI+TPS'!J30</f>
        <v/>
      </c>
      <c r="J167" s="65" t="str">
        <f>'Retail Pricing RI+TPS'!K30</f>
        <v/>
      </c>
      <c r="K167" s="65" t="str">
        <f>'Retail Pricing RI+TPS'!L30</f>
        <v/>
      </c>
      <c r="L167" s="65" t="str">
        <f>'Retail Pricing RI+TPS'!M30</f>
        <v/>
      </c>
      <c r="M167" s="65" t="str">
        <f>'Retail Pricing RI+TPS'!N30</f>
        <v/>
      </c>
      <c r="N167" s="65" t="str">
        <f>'Retail Pricing RI+TPS'!O30</f>
        <v/>
      </c>
      <c r="O167" s="65" t="str">
        <f>'Retail Pricing RI+TPS'!P30</f>
        <v/>
      </c>
      <c r="P167" s="65" t="str">
        <f>'Retail Pricing RI+TPS'!Q30</f>
        <v/>
      </c>
      <c r="Q167" s="65" t="str">
        <f>'Retail Pricing RI+TPS'!R30</f>
        <v/>
      </c>
      <c r="R167" s="65" t="str">
        <f>'Retail Pricing RI+TPS'!S30</f>
        <v/>
      </c>
      <c r="S167" s="65" t="str">
        <f>'Retail Pricing RI+TPS'!T30</f>
        <v/>
      </c>
      <c r="T167" s="68" t="str">
        <f>'Retail Pricing RI+TPS'!U30</f>
        <v/>
      </c>
    </row>
    <row r="168" spans="1:20" x14ac:dyDescent="0.2">
      <c r="A168" s="152">
        <f>'Retail Pricing RI+TPS'!B31</f>
        <v>0</v>
      </c>
      <c r="B168" s="65" t="str">
        <f>'Retail Pricing RI+TPS'!C31</f>
        <v/>
      </c>
      <c r="C168" s="65">
        <f>'Retail Pricing RI+TPS'!D31</f>
        <v>0</v>
      </c>
      <c r="D168" s="65">
        <f>'Retail Pricing RI+TPS'!E31</f>
        <v>0</v>
      </c>
      <c r="E168" s="65" t="str">
        <f>'Retail Pricing RI+TPS'!F31</f>
        <v/>
      </c>
      <c r="F168" s="65" t="str">
        <f>'Retail Pricing RI+TPS'!G31</f>
        <v/>
      </c>
      <c r="G168" s="65" t="str">
        <f>'Retail Pricing RI+TPS'!H31</f>
        <v/>
      </c>
      <c r="H168" s="65" t="str">
        <f>'Retail Pricing RI+TPS'!I31</f>
        <v/>
      </c>
      <c r="I168" s="65" t="str">
        <f>'Retail Pricing RI+TPS'!J31</f>
        <v/>
      </c>
      <c r="J168" s="65" t="str">
        <f>'Retail Pricing RI+TPS'!K31</f>
        <v/>
      </c>
      <c r="K168" s="65" t="str">
        <f>'Retail Pricing RI+TPS'!L31</f>
        <v/>
      </c>
      <c r="L168" s="65" t="str">
        <f>'Retail Pricing RI+TPS'!M31</f>
        <v/>
      </c>
      <c r="M168" s="65" t="str">
        <f>'Retail Pricing RI+TPS'!N31</f>
        <v/>
      </c>
      <c r="N168" s="65" t="str">
        <f>'Retail Pricing RI+TPS'!O31</f>
        <v/>
      </c>
      <c r="O168" s="65" t="str">
        <f>'Retail Pricing RI+TPS'!P31</f>
        <v/>
      </c>
      <c r="P168" s="65" t="str">
        <f>'Retail Pricing RI+TPS'!Q31</f>
        <v/>
      </c>
      <c r="Q168" s="65" t="str">
        <f>'Retail Pricing RI+TPS'!R31</f>
        <v/>
      </c>
      <c r="R168" s="65" t="str">
        <f>'Retail Pricing RI+TPS'!S31</f>
        <v/>
      </c>
      <c r="S168" s="65" t="str">
        <f>'Retail Pricing RI+TPS'!T31</f>
        <v/>
      </c>
      <c r="T168" s="68" t="str">
        <f>'Retail Pricing RI+TPS'!U31</f>
        <v/>
      </c>
    </row>
    <row r="169" spans="1:20" x14ac:dyDescent="0.2">
      <c r="A169" s="153">
        <f>'Retail Pricing RI+TPS'!B32</f>
        <v>0</v>
      </c>
      <c r="B169" s="154" t="str">
        <f>'Retail Pricing RI+TPS'!C32</f>
        <v/>
      </c>
      <c r="C169" s="154">
        <f>'Retail Pricing RI+TPS'!D32</f>
        <v>0</v>
      </c>
      <c r="D169" s="154">
        <f>'Retail Pricing RI+TPS'!E32</f>
        <v>0</v>
      </c>
      <c r="E169" s="154" t="str">
        <f>'Retail Pricing RI+TPS'!F32</f>
        <v/>
      </c>
      <c r="F169" s="154" t="str">
        <f>'Retail Pricing RI+TPS'!G32</f>
        <v/>
      </c>
      <c r="G169" s="154" t="str">
        <f>'Retail Pricing RI+TPS'!H32</f>
        <v/>
      </c>
      <c r="H169" s="154" t="str">
        <f>'Retail Pricing RI+TPS'!I32</f>
        <v/>
      </c>
      <c r="I169" s="154" t="str">
        <f>'Retail Pricing RI+TPS'!J32</f>
        <v/>
      </c>
      <c r="J169" s="154" t="str">
        <f>'Retail Pricing RI+TPS'!K32</f>
        <v/>
      </c>
      <c r="K169" s="154" t="str">
        <f>'Retail Pricing RI+TPS'!L32</f>
        <v/>
      </c>
      <c r="L169" s="154" t="str">
        <f>'Retail Pricing RI+TPS'!M32</f>
        <v/>
      </c>
      <c r="M169" s="154" t="str">
        <f>'Retail Pricing RI+TPS'!N32</f>
        <v/>
      </c>
      <c r="N169" s="154" t="str">
        <f>'Retail Pricing RI+TPS'!O32</f>
        <v/>
      </c>
      <c r="O169" s="154" t="str">
        <f>'Retail Pricing RI+TPS'!P32</f>
        <v/>
      </c>
      <c r="P169" s="154" t="str">
        <f>'Retail Pricing RI+TPS'!Q32</f>
        <v/>
      </c>
      <c r="Q169" s="154" t="str">
        <f>'Retail Pricing RI+TPS'!R32</f>
        <v/>
      </c>
      <c r="R169" s="154" t="str">
        <f>'Retail Pricing RI+TPS'!S32</f>
        <v/>
      </c>
      <c r="S169" s="154" t="str">
        <f>'Retail Pricing RI+TPS'!T32</f>
        <v/>
      </c>
      <c r="T169" s="155" t="str">
        <f>'Retail Pricing RI+TPS'!U32</f>
        <v/>
      </c>
    </row>
    <row r="172" spans="1:20" x14ac:dyDescent="0.2">
      <c r="A172" s="190" t="str">
        <f>'Retail Pricing RI+TPS'!B35</f>
        <v>Weekend Pricing</v>
      </c>
      <c r="B172" s="191"/>
      <c r="C172" s="191" t="str">
        <f>'Retail Pricing RI+TPS'!D35</f>
        <v>Friday</v>
      </c>
      <c r="D172" s="192" t="str">
        <f>'Retail Pricing RI+TPS'!E35</f>
        <v>Saturday</v>
      </c>
    </row>
    <row r="174" spans="1:20" x14ac:dyDescent="0.2">
      <c r="A174" s="190" t="str">
        <f>'Retail Pricing RI+TPS'!B37</f>
        <v>Weekend Strategy</v>
      </c>
      <c r="B174" s="191"/>
      <c r="C174" s="191" t="str">
        <f>'Retail Pricing RI+TPS'!D37</f>
        <v>Set-up details will be reviewed with SRM during initial call</v>
      </c>
      <c r="D174" s="191"/>
      <c r="E174" s="191"/>
      <c r="F174" s="191"/>
      <c r="G174" s="191"/>
      <c r="H174" s="192"/>
    </row>
    <row r="176" spans="1:20" x14ac:dyDescent="0.2">
      <c r="A176" s="151" t="str">
        <f>'Retail Pricing RI+TPS'!B39</f>
        <v>Applies to Tier 1 only</v>
      </c>
      <c r="B176" s="67"/>
      <c r="C176" s="67"/>
      <c r="D176" s="67"/>
      <c r="E176" s="64"/>
    </row>
    <row r="177" spans="1:20" x14ac:dyDescent="0.2">
      <c r="A177" s="153" t="str">
        <f>'Retail Pricing RI+TPS'!B40</f>
        <v>Do not complete table below if having 7 day pricing</v>
      </c>
      <c r="B177" s="154"/>
      <c r="C177" s="154"/>
      <c r="D177" s="154"/>
      <c r="E177" s="155"/>
    </row>
    <row r="179" spans="1:20" x14ac:dyDescent="0.2">
      <c r="A179" s="151" t="str">
        <f>'Retail Pricing RI+TPS'!B42</f>
        <v>Room Pool</v>
      </c>
      <c r="B179" s="67" t="str">
        <f>'Retail Pricing RI+TPS'!C42</f>
        <v>Room Pool Classification</v>
      </c>
      <c r="C179" s="67" t="str">
        <f>'Retail Pricing RI+TPS'!D42</f>
        <v>Standard Supplement</v>
      </c>
      <c r="D179" s="67" t="str">
        <f>'Retail Pricing RI+TPS'!E42</f>
        <v>Alternate Supplement</v>
      </c>
      <c r="E179" s="67" t="str">
        <f>'Retail Pricing RI+TPS'!F42</f>
        <v>Default Rates</v>
      </c>
      <c r="F179" s="67" t="str">
        <f>'Retail Pricing RI+TPS'!G42</f>
        <v>Enter Season Dates Here</v>
      </c>
      <c r="G179" s="67" t="str">
        <f>'Retail Pricing RI+TPS'!H42</f>
        <v>Enter Season Dates Here</v>
      </c>
      <c r="H179" s="67" t="str">
        <f>'Retail Pricing RI+TPS'!I42</f>
        <v>Enter Season Dates Here</v>
      </c>
      <c r="I179" s="67" t="str">
        <f>'Retail Pricing RI+TPS'!J42</f>
        <v>Enter Season Dates Here</v>
      </c>
      <c r="J179" s="67" t="str">
        <f>'Retail Pricing RI+TPS'!K42</f>
        <v>Enter Season Dates Here</v>
      </c>
      <c r="K179" s="67" t="str">
        <f>'Retail Pricing RI+TPS'!L42</f>
        <v>Enter Season Dates Here</v>
      </c>
      <c r="L179" s="67" t="str">
        <f>'Retail Pricing RI+TPS'!M42</f>
        <v>Enter Season Dates Here</v>
      </c>
      <c r="M179" s="67" t="str">
        <f>'Retail Pricing RI+TPS'!N42</f>
        <v>Enter Season Dates Here</v>
      </c>
      <c r="N179" s="67" t="str">
        <f>'Retail Pricing RI+TPS'!O42</f>
        <v>Enter Season Dates Here</v>
      </c>
      <c r="O179" s="67" t="str">
        <f>'Retail Pricing RI+TPS'!P42</f>
        <v>Enter Season Dates Here</v>
      </c>
      <c r="P179" s="67" t="str">
        <f>'Retail Pricing RI+TPS'!Q42</f>
        <v>Enter Season Dates Here</v>
      </c>
      <c r="Q179" s="67" t="str">
        <f>'Retail Pricing RI+TPS'!R42</f>
        <v>Enter Season Dates Here</v>
      </c>
      <c r="R179" s="67" t="str">
        <f>'Retail Pricing RI+TPS'!S42</f>
        <v>Enter Season Dates Here</v>
      </c>
      <c r="S179" s="67" t="str">
        <f>'Retail Pricing RI+TPS'!T42</f>
        <v>Enter Season Dates Here</v>
      </c>
      <c r="T179" s="64" t="str">
        <f>'Retail Pricing RI+TPS'!U42</f>
        <v>Enter Season Dates Here</v>
      </c>
    </row>
    <row r="180" spans="1:20" x14ac:dyDescent="0.2">
      <c r="A180" s="152"/>
      <c r="B180" s="65"/>
      <c r="C180" s="65"/>
      <c r="D180" s="65"/>
      <c r="E180" s="65" t="str">
        <f>'Retail Pricing RI+TPS'!F43</f>
        <v>Standard</v>
      </c>
      <c r="F180" s="65">
        <f>'Retail Pricing RI+TPS'!G43</f>
        <v>0</v>
      </c>
      <c r="G180" s="65">
        <f>'Retail Pricing RI+TPS'!H43</f>
        <v>0</v>
      </c>
      <c r="H180" s="65">
        <f>'Retail Pricing RI+TPS'!I43</f>
        <v>0</v>
      </c>
      <c r="I180" s="65">
        <f>'Retail Pricing RI+TPS'!J43</f>
        <v>0</v>
      </c>
      <c r="J180" s="65">
        <f>'Retail Pricing RI+TPS'!K43</f>
        <v>0</v>
      </c>
      <c r="K180" s="65">
        <f>'Retail Pricing RI+TPS'!L43</f>
        <v>0</v>
      </c>
      <c r="L180" s="65">
        <f>'Retail Pricing RI+TPS'!M43</f>
        <v>0</v>
      </c>
      <c r="M180" s="65">
        <f>'Retail Pricing RI+TPS'!N43</f>
        <v>0</v>
      </c>
      <c r="N180" s="65">
        <f>'Retail Pricing RI+TPS'!O43</f>
        <v>0</v>
      </c>
      <c r="O180" s="65">
        <f>'Retail Pricing RI+TPS'!P43</f>
        <v>0</v>
      </c>
      <c r="P180" s="65">
        <f>'Retail Pricing RI+TPS'!Q43</f>
        <v>0</v>
      </c>
      <c r="Q180" s="65">
        <f>'Retail Pricing RI+TPS'!R43</f>
        <v>0</v>
      </c>
      <c r="R180" s="65">
        <f>'Retail Pricing RI+TPS'!S43</f>
        <v>0</v>
      </c>
      <c r="S180" s="65">
        <f>'Retail Pricing RI+TPS'!T43</f>
        <v>0</v>
      </c>
      <c r="T180" s="68">
        <f>'Retail Pricing RI+TPS'!U43</f>
        <v>0</v>
      </c>
    </row>
    <row r="181" spans="1:20" x14ac:dyDescent="0.2">
      <c r="A181" s="152" t="str">
        <f>'Retail Pricing RI+TPS'!B44</f>
        <v>KING</v>
      </c>
      <c r="B181" s="65" t="str">
        <f>'Retail Pricing RI+TPS'!C44</f>
        <v>Standard</v>
      </c>
      <c r="C181" s="65">
        <f>'Retail Pricing RI+TPS'!D44</f>
        <v>0</v>
      </c>
      <c r="D181" s="65">
        <f>'Retail Pricing RI+TPS'!E44</f>
        <v>0</v>
      </c>
      <c r="E181" s="65">
        <f>'Retail Pricing RI+TPS'!F44</f>
        <v>0</v>
      </c>
      <c r="F181" s="65">
        <f>'Retail Pricing RI+TPS'!G44</f>
        <v>0</v>
      </c>
      <c r="G181" s="65">
        <f>'Retail Pricing RI+TPS'!H44</f>
        <v>0</v>
      </c>
      <c r="H181" s="65">
        <f>'Retail Pricing RI+TPS'!I44</f>
        <v>0</v>
      </c>
      <c r="I181" s="65">
        <f>'Retail Pricing RI+TPS'!J44</f>
        <v>0</v>
      </c>
      <c r="J181" s="65">
        <f>'Retail Pricing RI+TPS'!K44</f>
        <v>0</v>
      </c>
      <c r="K181" s="65">
        <f>'Retail Pricing RI+TPS'!L44</f>
        <v>0</v>
      </c>
      <c r="L181" s="65">
        <f>'Retail Pricing RI+TPS'!M44</f>
        <v>0</v>
      </c>
      <c r="M181" s="65">
        <f>'Retail Pricing RI+TPS'!N44</f>
        <v>0</v>
      </c>
      <c r="N181" s="65">
        <f>'Retail Pricing RI+TPS'!O44</f>
        <v>0</v>
      </c>
      <c r="O181" s="65">
        <f>'Retail Pricing RI+TPS'!P44</f>
        <v>0</v>
      </c>
      <c r="P181" s="65">
        <f>'Retail Pricing RI+TPS'!Q44</f>
        <v>0</v>
      </c>
      <c r="Q181" s="65">
        <f>'Retail Pricing RI+TPS'!R44</f>
        <v>0</v>
      </c>
      <c r="R181" s="65">
        <f>'Retail Pricing RI+TPS'!S44</f>
        <v>0</v>
      </c>
      <c r="S181" s="65">
        <f>'Retail Pricing RI+TPS'!T44</f>
        <v>0</v>
      </c>
      <c r="T181" s="68">
        <f>'Retail Pricing RI+TPS'!U44</f>
        <v>0</v>
      </c>
    </row>
    <row r="182" spans="1:20" x14ac:dyDescent="0.2">
      <c r="A182" s="152" t="str">
        <f>'Retail Pricing RI+TPS'!B45</f>
        <v>DBDB</v>
      </c>
      <c r="B182" s="65" t="str">
        <f>'Retail Pricing RI+TPS'!C45</f>
        <v>Standard</v>
      </c>
      <c r="C182" s="65" t="str">
        <f>'Retail Pricing RI+TPS'!D45</f>
        <v/>
      </c>
      <c r="D182" s="65" t="str">
        <f>'Retail Pricing RI+TPS'!E45</f>
        <v/>
      </c>
      <c r="E182" s="65" t="str">
        <f>'Retail Pricing RI+TPS'!F45</f>
        <v/>
      </c>
      <c r="F182" s="65" t="str">
        <f>'Retail Pricing RI+TPS'!G45</f>
        <v/>
      </c>
      <c r="G182" s="65" t="str">
        <f>'Retail Pricing RI+TPS'!H45</f>
        <v/>
      </c>
      <c r="H182" s="65" t="str">
        <f>'Retail Pricing RI+TPS'!I45</f>
        <v/>
      </c>
      <c r="I182" s="65" t="str">
        <f>'Retail Pricing RI+TPS'!J45</f>
        <v/>
      </c>
      <c r="J182" s="65" t="str">
        <f>'Retail Pricing RI+TPS'!K45</f>
        <v/>
      </c>
      <c r="K182" s="65" t="str">
        <f>'Retail Pricing RI+TPS'!L45</f>
        <v/>
      </c>
      <c r="L182" s="65" t="str">
        <f>'Retail Pricing RI+TPS'!M45</f>
        <v/>
      </c>
      <c r="M182" s="65" t="str">
        <f>'Retail Pricing RI+TPS'!N45</f>
        <v/>
      </c>
      <c r="N182" s="65" t="str">
        <f>'Retail Pricing RI+TPS'!O45</f>
        <v/>
      </c>
      <c r="O182" s="65" t="str">
        <f>'Retail Pricing RI+TPS'!P45</f>
        <v/>
      </c>
      <c r="P182" s="65" t="str">
        <f>'Retail Pricing RI+TPS'!Q45</f>
        <v/>
      </c>
      <c r="Q182" s="65" t="str">
        <f>'Retail Pricing RI+TPS'!R45</f>
        <v/>
      </c>
      <c r="R182" s="65" t="str">
        <f>'Retail Pricing RI+TPS'!S45</f>
        <v/>
      </c>
      <c r="S182" s="65" t="str">
        <f>'Retail Pricing RI+TPS'!T45</f>
        <v/>
      </c>
      <c r="T182" s="68" t="str">
        <f>'Retail Pricing RI+TPS'!U45</f>
        <v/>
      </c>
    </row>
    <row r="183" spans="1:20" x14ac:dyDescent="0.2">
      <c r="A183" s="152" t="str">
        <f>'Retail Pricing RI+TPS'!B46</f>
        <v>PMRS</v>
      </c>
      <c r="B183" s="65" t="str">
        <f>'Retail Pricing RI+TPS'!C46</f>
        <v>Standard</v>
      </c>
      <c r="C183" s="65" t="str">
        <f>'Retail Pricing RI+TPS'!D46</f>
        <v/>
      </c>
      <c r="D183" s="65" t="str">
        <f>'Retail Pricing RI+TPS'!E46</f>
        <v/>
      </c>
      <c r="E183" s="65" t="str">
        <f>'Retail Pricing RI+TPS'!F46</f>
        <v/>
      </c>
      <c r="F183" s="65" t="str">
        <f>'Retail Pricing RI+TPS'!G46</f>
        <v/>
      </c>
      <c r="G183" s="65" t="str">
        <f>'Retail Pricing RI+TPS'!H46</f>
        <v/>
      </c>
      <c r="H183" s="65" t="str">
        <f>'Retail Pricing RI+TPS'!I46</f>
        <v/>
      </c>
      <c r="I183" s="65" t="str">
        <f>'Retail Pricing RI+TPS'!J46</f>
        <v/>
      </c>
      <c r="J183" s="65" t="str">
        <f>'Retail Pricing RI+TPS'!K46</f>
        <v/>
      </c>
      <c r="K183" s="65" t="str">
        <f>'Retail Pricing RI+TPS'!L46</f>
        <v/>
      </c>
      <c r="L183" s="65" t="str">
        <f>'Retail Pricing RI+TPS'!M46</f>
        <v/>
      </c>
      <c r="M183" s="65" t="str">
        <f>'Retail Pricing RI+TPS'!N46</f>
        <v/>
      </c>
      <c r="N183" s="65" t="str">
        <f>'Retail Pricing RI+TPS'!O46</f>
        <v/>
      </c>
      <c r="O183" s="65" t="str">
        <f>'Retail Pricing RI+TPS'!P46</f>
        <v/>
      </c>
      <c r="P183" s="65" t="str">
        <f>'Retail Pricing RI+TPS'!Q46</f>
        <v/>
      </c>
      <c r="Q183" s="65" t="str">
        <f>'Retail Pricing RI+TPS'!R46</f>
        <v/>
      </c>
      <c r="R183" s="65" t="str">
        <f>'Retail Pricing RI+TPS'!S46</f>
        <v/>
      </c>
      <c r="S183" s="65" t="str">
        <f>'Retail Pricing RI+TPS'!T46</f>
        <v/>
      </c>
      <c r="T183" s="68" t="str">
        <f>'Retail Pricing RI+TPS'!U46</f>
        <v/>
      </c>
    </row>
    <row r="184" spans="1:20" x14ac:dyDescent="0.2">
      <c r="A184" s="152" t="str">
        <f>'Retail Pricing RI+TPS'!B47</f>
        <v>PMRS</v>
      </c>
      <c r="B184" s="65" t="str">
        <f>'Retail Pricing RI+TPS'!C47</f>
        <v>Standard</v>
      </c>
      <c r="C184" s="65" t="str">
        <f>'Retail Pricing RI+TPS'!D47</f>
        <v/>
      </c>
      <c r="D184" s="65" t="str">
        <f>'Retail Pricing RI+TPS'!E47</f>
        <v/>
      </c>
      <c r="E184" s="65" t="str">
        <f>'Retail Pricing RI+TPS'!F47</f>
        <v/>
      </c>
      <c r="F184" s="65" t="str">
        <f>'Retail Pricing RI+TPS'!G47</f>
        <v/>
      </c>
      <c r="G184" s="65" t="str">
        <f>'Retail Pricing RI+TPS'!H47</f>
        <v/>
      </c>
      <c r="H184" s="65" t="str">
        <f>'Retail Pricing RI+TPS'!I47</f>
        <v/>
      </c>
      <c r="I184" s="65" t="str">
        <f>'Retail Pricing RI+TPS'!J47</f>
        <v/>
      </c>
      <c r="J184" s="65" t="str">
        <f>'Retail Pricing RI+TPS'!K47</f>
        <v/>
      </c>
      <c r="K184" s="65" t="str">
        <f>'Retail Pricing RI+TPS'!L47</f>
        <v/>
      </c>
      <c r="L184" s="65" t="str">
        <f>'Retail Pricing RI+TPS'!M47</f>
        <v/>
      </c>
      <c r="M184" s="65" t="str">
        <f>'Retail Pricing RI+TPS'!N47</f>
        <v/>
      </c>
      <c r="N184" s="65" t="str">
        <f>'Retail Pricing RI+TPS'!O47</f>
        <v/>
      </c>
      <c r="O184" s="65" t="str">
        <f>'Retail Pricing RI+TPS'!P47</f>
        <v/>
      </c>
      <c r="P184" s="65" t="str">
        <f>'Retail Pricing RI+TPS'!Q47</f>
        <v/>
      </c>
      <c r="Q184" s="65" t="str">
        <f>'Retail Pricing RI+TPS'!R47</f>
        <v/>
      </c>
      <c r="R184" s="65" t="str">
        <f>'Retail Pricing RI+TPS'!S47</f>
        <v/>
      </c>
      <c r="S184" s="65" t="str">
        <f>'Retail Pricing RI+TPS'!T47</f>
        <v/>
      </c>
      <c r="T184" s="68" t="str">
        <f>'Retail Pricing RI+TPS'!U47</f>
        <v/>
      </c>
    </row>
    <row r="185" spans="1:20" x14ac:dyDescent="0.2">
      <c r="A185" s="152">
        <f>'Retail Pricing RI+TPS'!B48</f>
        <v>0</v>
      </c>
      <c r="B185" s="65" t="str">
        <f>'Retail Pricing RI+TPS'!C48</f>
        <v/>
      </c>
      <c r="C185" s="65" t="str">
        <f>'Retail Pricing RI+TPS'!D48</f>
        <v/>
      </c>
      <c r="D185" s="65" t="str">
        <f>'Retail Pricing RI+TPS'!E48</f>
        <v/>
      </c>
      <c r="E185" s="65" t="str">
        <f>'Retail Pricing RI+TPS'!F48</f>
        <v/>
      </c>
      <c r="F185" s="65" t="str">
        <f>'Retail Pricing RI+TPS'!G48</f>
        <v/>
      </c>
      <c r="G185" s="65" t="str">
        <f>'Retail Pricing RI+TPS'!H48</f>
        <v/>
      </c>
      <c r="H185" s="65" t="str">
        <f>'Retail Pricing RI+TPS'!I48</f>
        <v/>
      </c>
      <c r="I185" s="65" t="str">
        <f>'Retail Pricing RI+TPS'!J48</f>
        <v/>
      </c>
      <c r="J185" s="65" t="str">
        <f>'Retail Pricing RI+TPS'!K48</f>
        <v/>
      </c>
      <c r="K185" s="65" t="str">
        <f>'Retail Pricing RI+TPS'!L48</f>
        <v/>
      </c>
      <c r="L185" s="65" t="str">
        <f>'Retail Pricing RI+TPS'!M48</f>
        <v/>
      </c>
      <c r="M185" s="65" t="str">
        <f>'Retail Pricing RI+TPS'!N48</f>
        <v/>
      </c>
      <c r="N185" s="65" t="str">
        <f>'Retail Pricing RI+TPS'!O48</f>
        <v/>
      </c>
      <c r="O185" s="65" t="str">
        <f>'Retail Pricing RI+TPS'!P48</f>
        <v/>
      </c>
      <c r="P185" s="65" t="str">
        <f>'Retail Pricing RI+TPS'!Q48</f>
        <v/>
      </c>
      <c r="Q185" s="65" t="str">
        <f>'Retail Pricing RI+TPS'!R48</f>
        <v/>
      </c>
      <c r="R185" s="65" t="str">
        <f>'Retail Pricing RI+TPS'!S48</f>
        <v/>
      </c>
      <c r="S185" s="65" t="str">
        <f>'Retail Pricing RI+TPS'!T48</f>
        <v/>
      </c>
      <c r="T185" s="68" t="str">
        <f>'Retail Pricing RI+TPS'!U48</f>
        <v/>
      </c>
    </row>
    <row r="186" spans="1:20" x14ac:dyDescent="0.2">
      <c r="A186" s="152">
        <f>'Retail Pricing RI+TPS'!B49</f>
        <v>0</v>
      </c>
      <c r="B186" s="65" t="str">
        <f>'Retail Pricing RI+TPS'!C49</f>
        <v/>
      </c>
      <c r="C186" s="65" t="str">
        <f>'Retail Pricing RI+TPS'!D49</f>
        <v/>
      </c>
      <c r="D186" s="65" t="str">
        <f>'Retail Pricing RI+TPS'!E49</f>
        <v/>
      </c>
      <c r="E186" s="65" t="str">
        <f>'Retail Pricing RI+TPS'!F49</f>
        <v/>
      </c>
      <c r="F186" s="65" t="str">
        <f>'Retail Pricing RI+TPS'!G49</f>
        <v/>
      </c>
      <c r="G186" s="65" t="str">
        <f>'Retail Pricing RI+TPS'!H49</f>
        <v/>
      </c>
      <c r="H186" s="65" t="str">
        <f>'Retail Pricing RI+TPS'!I49</f>
        <v/>
      </c>
      <c r="I186" s="65" t="str">
        <f>'Retail Pricing RI+TPS'!J49</f>
        <v/>
      </c>
      <c r="J186" s="65" t="str">
        <f>'Retail Pricing RI+TPS'!K49</f>
        <v/>
      </c>
      <c r="K186" s="65" t="str">
        <f>'Retail Pricing RI+TPS'!L49</f>
        <v/>
      </c>
      <c r="L186" s="65" t="str">
        <f>'Retail Pricing RI+TPS'!M49</f>
        <v/>
      </c>
      <c r="M186" s="65" t="str">
        <f>'Retail Pricing RI+TPS'!N49</f>
        <v/>
      </c>
      <c r="N186" s="65" t="str">
        <f>'Retail Pricing RI+TPS'!O49</f>
        <v/>
      </c>
      <c r="O186" s="65" t="str">
        <f>'Retail Pricing RI+TPS'!P49</f>
        <v/>
      </c>
      <c r="P186" s="65" t="str">
        <f>'Retail Pricing RI+TPS'!Q49</f>
        <v/>
      </c>
      <c r="Q186" s="65" t="str">
        <f>'Retail Pricing RI+TPS'!R49</f>
        <v/>
      </c>
      <c r="R186" s="65" t="str">
        <f>'Retail Pricing RI+TPS'!S49</f>
        <v/>
      </c>
      <c r="S186" s="65" t="str">
        <f>'Retail Pricing RI+TPS'!T49</f>
        <v/>
      </c>
      <c r="T186" s="68" t="str">
        <f>'Retail Pricing RI+TPS'!U49</f>
        <v/>
      </c>
    </row>
    <row r="187" spans="1:20" x14ac:dyDescent="0.2">
      <c r="A187" s="152">
        <f>'Retail Pricing RI+TPS'!B50</f>
        <v>0</v>
      </c>
      <c r="B187" s="65" t="str">
        <f>'Retail Pricing RI+TPS'!C50</f>
        <v/>
      </c>
      <c r="C187" s="65" t="str">
        <f>'Retail Pricing RI+TPS'!D50</f>
        <v/>
      </c>
      <c r="D187" s="65" t="str">
        <f>'Retail Pricing RI+TPS'!E50</f>
        <v/>
      </c>
      <c r="E187" s="65" t="str">
        <f>'Retail Pricing RI+TPS'!F50</f>
        <v/>
      </c>
      <c r="F187" s="65" t="str">
        <f>'Retail Pricing RI+TPS'!G50</f>
        <v/>
      </c>
      <c r="G187" s="65" t="str">
        <f>'Retail Pricing RI+TPS'!H50</f>
        <v/>
      </c>
      <c r="H187" s="65" t="str">
        <f>'Retail Pricing RI+TPS'!I50</f>
        <v/>
      </c>
      <c r="I187" s="65" t="str">
        <f>'Retail Pricing RI+TPS'!J50</f>
        <v/>
      </c>
      <c r="J187" s="65" t="str">
        <f>'Retail Pricing RI+TPS'!K50</f>
        <v/>
      </c>
      <c r="K187" s="65" t="str">
        <f>'Retail Pricing RI+TPS'!L50</f>
        <v/>
      </c>
      <c r="L187" s="65" t="str">
        <f>'Retail Pricing RI+TPS'!M50</f>
        <v/>
      </c>
      <c r="M187" s="65" t="str">
        <f>'Retail Pricing RI+TPS'!N50</f>
        <v/>
      </c>
      <c r="N187" s="65" t="str">
        <f>'Retail Pricing RI+TPS'!O50</f>
        <v/>
      </c>
      <c r="O187" s="65" t="str">
        <f>'Retail Pricing RI+TPS'!P50</f>
        <v/>
      </c>
      <c r="P187" s="65" t="str">
        <f>'Retail Pricing RI+TPS'!Q50</f>
        <v/>
      </c>
      <c r="Q187" s="65" t="str">
        <f>'Retail Pricing RI+TPS'!R50</f>
        <v/>
      </c>
      <c r="R187" s="65" t="str">
        <f>'Retail Pricing RI+TPS'!S50</f>
        <v/>
      </c>
      <c r="S187" s="65" t="str">
        <f>'Retail Pricing RI+TPS'!T50</f>
        <v/>
      </c>
      <c r="T187" s="68" t="str">
        <f>'Retail Pricing RI+TPS'!U50</f>
        <v/>
      </c>
    </row>
    <row r="188" spans="1:20" x14ac:dyDescent="0.2">
      <c r="A188" s="152">
        <f>'Retail Pricing RI+TPS'!B51</f>
        <v>0</v>
      </c>
      <c r="B188" s="65" t="str">
        <f>'Retail Pricing RI+TPS'!C51</f>
        <v/>
      </c>
      <c r="C188" s="65" t="str">
        <f>'Retail Pricing RI+TPS'!D51</f>
        <v/>
      </c>
      <c r="D188" s="65" t="str">
        <f>'Retail Pricing RI+TPS'!E51</f>
        <v/>
      </c>
      <c r="E188" s="65" t="str">
        <f>'Retail Pricing RI+TPS'!F51</f>
        <v/>
      </c>
      <c r="F188" s="65" t="str">
        <f>'Retail Pricing RI+TPS'!G51</f>
        <v/>
      </c>
      <c r="G188" s="65" t="str">
        <f>'Retail Pricing RI+TPS'!H51</f>
        <v/>
      </c>
      <c r="H188" s="65" t="str">
        <f>'Retail Pricing RI+TPS'!I51</f>
        <v/>
      </c>
      <c r="I188" s="65" t="str">
        <f>'Retail Pricing RI+TPS'!J51</f>
        <v/>
      </c>
      <c r="J188" s="65" t="str">
        <f>'Retail Pricing RI+TPS'!K51</f>
        <v/>
      </c>
      <c r="K188" s="65" t="str">
        <f>'Retail Pricing RI+TPS'!L51</f>
        <v/>
      </c>
      <c r="L188" s="65" t="str">
        <f>'Retail Pricing RI+TPS'!M51</f>
        <v/>
      </c>
      <c r="M188" s="65" t="str">
        <f>'Retail Pricing RI+TPS'!N51</f>
        <v/>
      </c>
      <c r="N188" s="65" t="str">
        <f>'Retail Pricing RI+TPS'!O51</f>
        <v/>
      </c>
      <c r="O188" s="65" t="str">
        <f>'Retail Pricing RI+TPS'!P51</f>
        <v/>
      </c>
      <c r="P188" s="65" t="str">
        <f>'Retail Pricing RI+TPS'!Q51</f>
        <v/>
      </c>
      <c r="Q188" s="65" t="str">
        <f>'Retail Pricing RI+TPS'!R51</f>
        <v/>
      </c>
      <c r="R188" s="65" t="str">
        <f>'Retail Pricing RI+TPS'!S51</f>
        <v/>
      </c>
      <c r="S188" s="65" t="str">
        <f>'Retail Pricing RI+TPS'!T51</f>
        <v/>
      </c>
      <c r="T188" s="68" t="str">
        <f>'Retail Pricing RI+TPS'!U51</f>
        <v/>
      </c>
    </row>
    <row r="189" spans="1:20" x14ac:dyDescent="0.2">
      <c r="A189" s="152">
        <f>'Retail Pricing RI+TPS'!B52</f>
        <v>0</v>
      </c>
      <c r="B189" s="65" t="str">
        <f>'Retail Pricing RI+TPS'!C52</f>
        <v/>
      </c>
      <c r="C189" s="65" t="str">
        <f>'Retail Pricing RI+TPS'!D52</f>
        <v/>
      </c>
      <c r="D189" s="65" t="str">
        <f>'Retail Pricing RI+TPS'!E52</f>
        <v/>
      </c>
      <c r="E189" s="65" t="str">
        <f>'Retail Pricing RI+TPS'!F52</f>
        <v/>
      </c>
      <c r="F189" s="65" t="str">
        <f>'Retail Pricing RI+TPS'!G52</f>
        <v/>
      </c>
      <c r="G189" s="65" t="str">
        <f>'Retail Pricing RI+TPS'!H52</f>
        <v/>
      </c>
      <c r="H189" s="65" t="str">
        <f>'Retail Pricing RI+TPS'!I52</f>
        <v/>
      </c>
      <c r="I189" s="65" t="str">
        <f>'Retail Pricing RI+TPS'!J52</f>
        <v/>
      </c>
      <c r="J189" s="65" t="str">
        <f>'Retail Pricing RI+TPS'!K52</f>
        <v/>
      </c>
      <c r="K189" s="65" t="str">
        <f>'Retail Pricing RI+TPS'!L52</f>
        <v/>
      </c>
      <c r="L189" s="65" t="str">
        <f>'Retail Pricing RI+TPS'!M52</f>
        <v/>
      </c>
      <c r="M189" s="65" t="str">
        <f>'Retail Pricing RI+TPS'!N52</f>
        <v/>
      </c>
      <c r="N189" s="65" t="str">
        <f>'Retail Pricing RI+TPS'!O52</f>
        <v/>
      </c>
      <c r="O189" s="65" t="str">
        <f>'Retail Pricing RI+TPS'!P52</f>
        <v/>
      </c>
      <c r="P189" s="65" t="str">
        <f>'Retail Pricing RI+TPS'!Q52</f>
        <v/>
      </c>
      <c r="Q189" s="65" t="str">
        <f>'Retail Pricing RI+TPS'!R52</f>
        <v/>
      </c>
      <c r="R189" s="65" t="str">
        <f>'Retail Pricing RI+TPS'!S52</f>
        <v/>
      </c>
      <c r="S189" s="65" t="str">
        <f>'Retail Pricing RI+TPS'!T52</f>
        <v/>
      </c>
      <c r="T189" s="68" t="str">
        <f>'Retail Pricing RI+TPS'!U52</f>
        <v/>
      </c>
    </row>
    <row r="190" spans="1:20" x14ac:dyDescent="0.2">
      <c r="A190" s="152">
        <f>'Retail Pricing RI+TPS'!B53</f>
        <v>0</v>
      </c>
      <c r="B190" s="65" t="str">
        <f>'Retail Pricing RI+TPS'!C53</f>
        <v/>
      </c>
      <c r="C190" s="65" t="str">
        <f>'Retail Pricing RI+TPS'!D53</f>
        <v/>
      </c>
      <c r="D190" s="65" t="str">
        <f>'Retail Pricing RI+TPS'!E53</f>
        <v/>
      </c>
      <c r="E190" s="65" t="str">
        <f>'Retail Pricing RI+TPS'!F53</f>
        <v/>
      </c>
      <c r="F190" s="65" t="str">
        <f>'Retail Pricing RI+TPS'!G53</f>
        <v/>
      </c>
      <c r="G190" s="65" t="str">
        <f>'Retail Pricing RI+TPS'!H53</f>
        <v/>
      </c>
      <c r="H190" s="65" t="str">
        <f>'Retail Pricing RI+TPS'!I53</f>
        <v/>
      </c>
      <c r="I190" s="65" t="str">
        <f>'Retail Pricing RI+TPS'!J53</f>
        <v/>
      </c>
      <c r="J190" s="65" t="str">
        <f>'Retail Pricing RI+TPS'!K53</f>
        <v/>
      </c>
      <c r="K190" s="65" t="str">
        <f>'Retail Pricing RI+TPS'!L53</f>
        <v/>
      </c>
      <c r="L190" s="65" t="str">
        <f>'Retail Pricing RI+TPS'!M53</f>
        <v/>
      </c>
      <c r="M190" s="65" t="str">
        <f>'Retail Pricing RI+TPS'!N53</f>
        <v/>
      </c>
      <c r="N190" s="65" t="str">
        <f>'Retail Pricing RI+TPS'!O53</f>
        <v/>
      </c>
      <c r="O190" s="65" t="str">
        <f>'Retail Pricing RI+TPS'!P53</f>
        <v/>
      </c>
      <c r="P190" s="65" t="str">
        <f>'Retail Pricing RI+TPS'!Q53</f>
        <v/>
      </c>
      <c r="Q190" s="65" t="str">
        <f>'Retail Pricing RI+TPS'!R53</f>
        <v/>
      </c>
      <c r="R190" s="65" t="str">
        <f>'Retail Pricing RI+TPS'!S53</f>
        <v/>
      </c>
      <c r="S190" s="65" t="str">
        <f>'Retail Pricing RI+TPS'!T53</f>
        <v/>
      </c>
      <c r="T190" s="68" t="str">
        <f>'Retail Pricing RI+TPS'!U53</f>
        <v/>
      </c>
    </row>
    <row r="191" spans="1:20" x14ac:dyDescent="0.2">
      <c r="A191" s="152">
        <f>'Retail Pricing RI+TPS'!B54</f>
        <v>0</v>
      </c>
      <c r="B191" s="65" t="str">
        <f>'Retail Pricing RI+TPS'!C54</f>
        <v/>
      </c>
      <c r="C191" s="65" t="str">
        <f>'Retail Pricing RI+TPS'!D54</f>
        <v/>
      </c>
      <c r="D191" s="65" t="str">
        <f>'Retail Pricing RI+TPS'!E54</f>
        <v/>
      </c>
      <c r="E191" s="65" t="str">
        <f>'Retail Pricing RI+TPS'!F54</f>
        <v/>
      </c>
      <c r="F191" s="65" t="str">
        <f>'Retail Pricing RI+TPS'!G54</f>
        <v/>
      </c>
      <c r="G191" s="65" t="str">
        <f>'Retail Pricing RI+TPS'!H54</f>
        <v/>
      </c>
      <c r="H191" s="65" t="str">
        <f>'Retail Pricing RI+TPS'!I54</f>
        <v/>
      </c>
      <c r="I191" s="65" t="str">
        <f>'Retail Pricing RI+TPS'!J54</f>
        <v/>
      </c>
      <c r="J191" s="65" t="str">
        <f>'Retail Pricing RI+TPS'!K54</f>
        <v/>
      </c>
      <c r="K191" s="65" t="str">
        <f>'Retail Pricing RI+TPS'!L54</f>
        <v/>
      </c>
      <c r="L191" s="65" t="str">
        <f>'Retail Pricing RI+TPS'!M54</f>
        <v/>
      </c>
      <c r="M191" s="65" t="str">
        <f>'Retail Pricing RI+TPS'!N54</f>
        <v/>
      </c>
      <c r="N191" s="65" t="str">
        <f>'Retail Pricing RI+TPS'!O54</f>
        <v/>
      </c>
      <c r="O191" s="65" t="str">
        <f>'Retail Pricing RI+TPS'!P54</f>
        <v/>
      </c>
      <c r="P191" s="65" t="str">
        <f>'Retail Pricing RI+TPS'!Q54</f>
        <v/>
      </c>
      <c r="Q191" s="65" t="str">
        <f>'Retail Pricing RI+TPS'!R54</f>
        <v/>
      </c>
      <c r="R191" s="65" t="str">
        <f>'Retail Pricing RI+TPS'!S54</f>
        <v/>
      </c>
      <c r="S191" s="65" t="str">
        <f>'Retail Pricing RI+TPS'!T54</f>
        <v/>
      </c>
      <c r="T191" s="68" t="str">
        <f>'Retail Pricing RI+TPS'!U54</f>
        <v/>
      </c>
    </row>
    <row r="192" spans="1:20" x14ac:dyDescent="0.2">
      <c r="A192" s="152">
        <f>'Retail Pricing RI+TPS'!B55</f>
        <v>0</v>
      </c>
      <c r="B192" s="65" t="str">
        <f>'Retail Pricing RI+TPS'!C55</f>
        <v/>
      </c>
      <c r="C192" s="65" t="str">
        <f>'Retail Pricing RI+TPS'!D55</f>
        <v/>
      </c>
      <c r="D192" s="65" t="str">
        <f>'Retail Pricing RI+TPS'!E55</f>
        <v/>
      </c>
      <c r="E192" s="65" t="str">
        <f>'Retail Pricing RI+TPS'!F55</f>
        <v/>
      </c>
      <c r="F192" s="65" t="str">
        <f>'Retail Pricing RI+TPS'!G55</f>
        <v/>
      </c>
      <c r="G192" s="65" t="str">
        <f>'Retail Pricing RI+TPS'!H55</f>
        <v/>
      </c>
      <c r="H192" s="65" t="str">
        <f>'Retail Pricing RI+TPS'!I55</f>
        <v/>
      </c>
      <c r="I192" s="65" t="str">
        <f>'Retail Pricing RI+TPS'!J55</f>
        <v/>
      </c>
      <c r="J192" s="65" t="str">
        <f>'Retail Pricing RI+TPS'!K55</f>
        <v/>
      </c>
      <c r="K192" s="65" t="str">
        <f>'Retail Pricing RI+TPS'!L55</f>
        <v/>
      </c>
      <c r="L192" s="65" t="str">
        <f>'Retail Pricing RI+TPS'!M55</f>
        <v/>
      </c>
      <c r="M192" s="65" t="str">
        <f>'Retail Pricing RI+TPS'!N55</f>
        <v/>
      </c>
      <c r="N192" s="65" t="str">
        <f>'Retail Pricing RI+TPS'!O55</f>
        <v/>
      </c>
      <c r="O192" s="65" t="str">
        <f>'Retail Pricing RI+TPS'!P55</f>
        <v/>
      </c>
      <c r="P192" s="65" t="str">
        <f>'Retail Pricing RI+TPS'!Q55</f>
        <v/>
      </c>
      <c r="Q192" s="65" t="str">
        <f>'Retail Pricing RI+TPS'!R55</f>
        <v/>
      </c>
      <c r="R192" s="65" t="str">
        <f>'Retail Pricing RI+TPS'!S55</f>
        <v/>
      </c>
      <c r="S192" s="65" t="str">
        <f>'Retail Pricing RI+TPS'!T55</f>
        <v/>
      </c>
      <c r="T192" s="68" t="str">
        <f>'Retail Pricing RI+TPS'!U55</f>
        <v/>
      </c>
    </row>
    <row r="193" spans="1:20" x14ac:dyDescent="0.2">
      <c r="A193" s="152">
        <f>'Retail Pricing RI+TPS'!B56</f>
        <v>0</v>
      </c>
      <c r="B193" s="65" t="str">
        <f>'Retail Pricing RI+TPS'!C56</f>
        <v/>
      </c>
      <c r="C193" s="65" t="str">
        <f>'Retail Pricing RI+TPS'!D56</f>
        <v/>
      </c>
      <c r="D193" s="65" t="str">
        <f>'Retail Pricing RI+TPS'!E56</f>
        <v/>
      </c>
      <c r="E193" s="65" t="str">
        <f>'Retail Pricing RI+TPS'!F56</f>
        <v/>
      </c>
      <c r="F193" s="65" t="str">
        <f>'Retail Pricing RI+TPS'!G56</f>
        <v/>
      </c>
      <c r="G193" s="65" t="str">
        <f>'Retail Pricing RI+TPS'!H56</f>
        <v/>
      </c>
      <c r="H193" s="65" t="str">
        <f>'Retail Pricing RI+TPS'!I56</f>
        <v/>
      </c>
      <c r="I193" s="65" t="str">
        <f>'Retail Pricing RI+TPS'!J56</f>
        <v/>
      </c>
      <c r="J193" s="65" t="str">
        <f>'Retail Pricing RI+TPS'!K56</f>
        <v/>
      </c>
      <c r="K193" s="65" t="str">
        <f>'Retail Pricing RI+TPS'!L56</f>
        <v/>
      </c>
      <c r="L193" s="65" t="str">
        <f>'Retail Pricing RI+TPS'!M56</f>
        <v/>
      </c>
      <c r="M193" s="65" t="str">
        <f>'Retail Pricing RI+TPS'!N56</f>
        <v/>
      </c>
      <c r="N193" s="65" t="str">
        <f>'Retail Pricing RI+TPS'!O56</f>
        <v/>
      </c>
      <c r="O193" s="65" t="str">
        <f>'Retail Pricing RI+TPS'!P56</f>
        <v/>
      </c>
      <c r="P193" s="65" t="str">
        <f>'Retail Pricing RI+TPS'!Q56</f>
        <v/>
      </c>
      <c r="Q193" s="65" t="str">
        <f>'Retail Pricing RI+TPS'!R56</f>
        <v/>
      </c>
      <c r="R193" s="65" t="str">
        <f>'Retail Pricing RI+TPS'!S56</f>
        <v/>
      </c>
      <c r="S193" s="65" t="str">
        <f>'Retail Pricing RI+TPS'!T56</f>
        <v/>
      </c>
      <c r="T193" s="68" t="str">
        <f>'Retail Pricing RI+TPS'!U56</f>
        <v/>
      </c>
    </row>
    <row r="194" spans="1:20" x14ac:dyDescent="0.2">
      <c r="A194" s="152">
        <f>'Retail Pricing RI+TPS'!B57</f>
        <v>0</v>
      </c>
      <c r="B194" s="65" t="str">
        <f>'Retail Pricing RI+TPS'!C57</f>
        <v/>
      </c>
      <c r="C194" s="65" t="str">
        <f>'Retail Pricing RI+TPS'!D57</f>
        <v/>
      </c>
      <c r="D194" s="65" t="str">
        <f>'Retail Pricing RI+TPS'!E57</f>
        <v/>
      </c>
      <c r="E194" s="65" t="str">
        <f>'Retail Pricing RI+TPS'!F57</f>
        <v/>
      </c>
      <c r="F194" s="65" t="str">
        <f>'Retail Pricing RI+TPS'!G57</f>
        <v/>
      </c>
      <c r="G194" s="65" t="str">
        <f>'Retail Pricing RI+TPS'!H57</f>
        <v/>
      </c>
      <c r="H194" s="65" t="str">
        <f>'Retail Pricing RI+TPS'!I57</f>
        <v/>
      </c>
      <c r="I194" s="65" t="str">
        <f>'Retail Pricing RI+TPS'!J57</f>
        <v/>
      </c>
      <c r="J194" s="65" t="str">
        <f>'Retail Pricing RI+TPS'!K57</f>
        <v/>
      </c>
      <c r="K194" s="65" t="str">
        <f>'Retail Pricing RI+TPS'!L57</f>
        <v/>
      </c>
      <c r="L194" s="65" t="str">
        <f>'Retail Pricing RI+TPS'!M57</f>
        <v/>
      </c>
      <c r="M194" s="65" t="str">
        <f>'Retail Pricing RI+TPS'!N57</f>
        <v/>
      </c>
      <c r="N194" s="65" t="str">
        <f>'Retail Pricing RI+TPS'!O57</f>
        <v/>
      </c>
      <c r="O194" s="65" t="str">
        <f>'Retail Pricing RI+TPS'!P57</f>
        <v/>
      </c>
      <c r="P194" s="65" t="str">
        <f>'Retail Pricing RI+TPS'!Q57</f>
        <v/>
      </c>
      <c r="Q194" s="65" t="str">
        <f>'Retail Pricing RI+TPS'!R57</f>
        <v/>
      </c>
      <c r="R194" s="65" t="str">
        <f>'Retail Pricing RI+TPS'!S57</f>
        <v/>
      </c>
      <c r="S194" s="65" t="str">
        <f>'Retail Pricing RI+TPS'!T57</f>
        <v/>
      </c>
      <c r="T194" s="68" t="str">
        <f>'Retail Pricing RI+TPS'!U57</f>
        <v/>
      </c>
    </row>
    <row r="195" spans="1:20" x14ac:dyDescent="0.2">
      <c r="A195" s="152">
        <f>'Retail Pricing RI+TPS'!B58</f>
        <v>0</v>
      </c>
      <c r="B195" s="65" t="str">
        <f>'Retail Pricing RI+TPS'!C58</f>
        <v/>
      </c>
      <c r="C195" s="65" t="str">
        <f>'Retail Pricing RI+TPS'!D58</f>
        <v/>
      </c>
      <c r="D195" s="65" t="str">
        <f>'Retail Pricing RI+TPS'!E58</f>
        <v/>
      </c>
      <c r="E195" s="65" t="str">
        <f>'Retail Pricing RI+TPS'!F58</f>
        <v/>
      </c>
      <c r="F195" s="65" t="str">
        <f>'Retail Pricing RI+TPS'!G58</f>
        <v/>
      </c>
      <c r="G195" s="65" t="str">
        <f>'Retail Pricing RI+TPS'!H58</f>
        <v/>
      </c>
      <c r="H195" s="65" t="str">
        <f>'Retail Pricing RI+TPS'!I58</f>
        <v/>
      </c>
      <c r="I195" s="65" t="str">
        <f>'Retail Pricing RI+TPS'!J58</f>
        <v/>
      </c>
      <c r="J195" s="65" t="str">
        <f>'Retail Pricing RI+TPS'!K58</f>
        <v/>
      </c>
      <c r="K195" s="65" t="str">
        <f>'Retail Pricing RI+TPS'!L58</f>
        <v/>
      </c>
      <c r="L195" s="65" t="str">
        <f>'Retail Pricing RI+TPS'!M58</f>
        <v/>
      </c>
      <c r="M195" s="65" t="str">
        <f>'Retail Pricing RI+TPS'!N58</f>
        <v/>
      </c>
      <c r="N195" s="65" t="str">
        <f>'Retail Pricing RI+TPS'!O58</f>
        <v/>
      </c>
      <c r="O195" s="65" t="str">
        <f>'Retail Pricing RI+TPS'!P58</f>
        <v/>
      </c>
      <c r="P195" s="65" t="str">
        <f>'Retail Pricing RI+TPS'!Q58</f>
        <v/>
      </c>
      <c r="Q195" s="65" t="str">
        <f>'Retail Pricing RI+TPS'!R58</f>
        <v/>
      </c>
      <c r="R195" s="65" t="str">
        <f>'Retail Pricing RI+TPS'!S58</f>
        <v/>
      </c>
      <c r="S195" s="65" t="str">
        <f>'Retail Pricing RI+TPS'!T58</f>
        <v/>
      </c>
      <c r="T195" s="68" t="str">
        <f>'Retail Pricing RI+TPS'!U58</f>
        <v/>
      </c>
    </row>
    <row r="196" spans="1:20" x14ac:dyDescent="0.2">
      <c r="A196" s="153">
        <f>'Retail Pricing RI+TPS'!B59</f>
        <v>0</v>
      </c>
      <c r="B196" s="154" t="str">
        <f>'Retail Pricing RI+TPS'!C59</f>
        <v/>
      </c>
      <c r="C196" s="154" t="str">
        <f>'Retail Pricing RI+TPS'!D59</f>
        <v/>
      </c>
      <c r="D196" s="154" t="str">
        <f>'Retail Pricing RI+TPS'!E59</f>
        <v/>
      </c>
      <c r="E196" s="154" t="str">
        <f>'Retail Pricing RI+TPS'!F59</f>
        <v/>
      </c>
      <c r="F196" s="154" t="str">
        <f>'Retail Pricing RI+TPS'!G59</f>
        <v/>
      </c>
      <c r="G196" s="65" t="str">
        <f>'Retail Pricing RI+TPS'!H59</f>
        <v/>
      </c>
      <c r="H196" s="154" t="str">
        <f>'Retail Pricing RI+TPS'!I59</f>
        <v/>
      </c>
      <c r="I196" s="154" t="str">
        <f>'Retail Pricing RI+TPS'!J59</f>
        <v/>
      </c>
      <c r="J196" s="154" t="str">
        <f>'Retail Pricing RI+TPS'!K59</f>
        <v/>
      </c>
      <c r="K196" s="154" t="str">
        <f>'Retail Pricing RI+TPS'!L59</f>
        <v/>
      </c>
      <c r="L196" s="154" t="str">
        <f>'Retail Pricing RI+TPS'!M59</f>
        <v/>
      </c>
      <c r="M196" s="154" t="str">
        <f>'Retail Pricing RI+TPS'!N59</f>
        <v/>
      </c>
      <c r="N196" s="154" t="str">
        <f>'Retail Pricing RI+TPS'!O59</f>
        <v/>
      </c>
      <c r="O196" s="154" t="str">
        <f>'Retail Pricing RI+TPS'!P59</f>
        <v/>
      </c>
      <c r="P196" s="154" t="str">
        <f>'Retail Pricing RI+TPS'!Q59</f>
        <v/>
      </c>
      <c r="Q196" s="154" t="str">
        <f>'Retail Pricing RI+TPS'!R59</f>
        <v/>
      </c>
      <c r="R196" s="154" t="str">
        <f>'Retail Pricing RI+TPS'!S59</f>
        <v/>
      </c>
      <c r="S196" s="154" t="str">
        <f>'Retail Pricing RI+TPS'!T59</f>
        <v/>
      </c>
      <c r="T196" s="155" t="str">
        <f>'Retail Pricing RI+TPS'!U59</f>
        <v/>
      </c>
    </row>
    <row r="198" spans="1:20" x14ac:dyDescent="0.2">
      <c r="A198" s="151"/>
      <c r="B198" s="67"/>
      <c r="C198" s="67"/>
      <c r="D198" s="67"/>
      <c r="E198" s="67"/>
      <c r="F198" s="67"/>
      <c r="G198" s="67"/>
      <c r="H198" s="67"/>
      <c r="I198" s="67"/>
      <c r="J198" s="67"/>
      <c r="K198" s="67"/>
      <c r="L198" s="67"/>
      <c r="M198" s="67"/>
      <c r="N198" s="67"/>
      <c r="O198" s="67"/>
      <c r="P198" s="67"/>
      <c r="Q198" s="67"/>
      <c r="R198" s="67"/>
      <c r="S198" s="67"/>
      <c r="T198" s="64"/>
    </row>
    <row r="199" spans="1:20" x14ac:dyDescent="0.2">
      <c r="A199" s="190" t="str">
        <f>'Retail Pricing RI+TPS'!B62</f>
        <v>High Demand Dates</v>
      </c>
      <c r="B199" s="192"/>
      <c r="C199" s="65"/>
      <c r="D199" s="65"/>
      <c r="E199" s="65"/>
      <c r="F199" s="65"/>
      <c r="G199" s="65"/>
      <c r="H199" s="65"/>
      <c r="I199" s="65"/>
      <c r="J199" s="65"/>
      <c r="K199" s="65"/>
      <c r="L199" s="65"/>
      <c r="M199" s="65"/>
      <c r="N199" s="65"/>
      <c r="O199" s="65"/>
      <c r="P199" s="65"/>
      <c r="Q199" s="65"/>
      <c r="R199" s="65"/>
      <c r="S199" s="65"/>
      <c r="T199" s="68"/>
    </row>
    <row r="200" spans="1:20" x14ac:dyDescent="0.2">
      <c r="A200" s="152"/>
      <c r="B200" s="65"/>
      <c r="C200" s="65"/>
      <c r="D200" s="65"/>
      <c r="E200" s="65"/>
      <c r="F200" s="65"/>
      <c r="G200" s="65"/>
      <c r="H200" s="65"/>
      <c r="I200" s="65"/>
      <c r="J200" s="65"/>
      <c r="K200" s="65"/>
      <c r="L200" s="65"/>
      <c r="M200" s="65"/>
      <c r="N200" s="65"/>
      <c r="O200" s="65"/>
      <c r="P200" s="65"/>
      <c r="Q200" s="65"/>
      <c r="R200" s="65"/>
      <c r="S200" s="65"/>
      <c r="T200" s="68"/>
    </row>
    <row r="201" spans="1:20" x14ac:dyDescent="0.2">
      <c r="A201" s="152" t="str">
        <f>'Retail Pricing RI+TPS'!B64</f>
        <v>Applies to Tier 1 only</v>
      </c>
      <c r="B201" s="65"/>
      <c r="C201" s="65" t="str">
        <f>'Retail Pricing RI+TPS'!D64</f>
        <v>Event 1</v>
      </c>
      <c r="D201" s="65">
        <f>'Retail Pricing RI+TPS'!E64</f>
        <v>0</v>
      </c>
      <c r="E201" s="65" t="str">
        <f>'Retail Pricing RI+TPS'!F64</f>
        <v>Event 2</v>
      </c>
      <c r="F201" s="65">
        <f>'Retail Pricing RI+TPS'!G64</f>
        <v>0</v>
      </c>
      <c r="G201" s="65" t="str">
        <f>'Retail Pricing RI+TPS'!H64</f>
        <v>Event 3</v>
      </c>
      <c r="H201" s="65">
        <f>'Retail Pricing RI+TPS'!I64</f>
        <v>0</v>
      </c>
      <c r="I201" s="65" t="str">
        <f>'Retail Pricing RI+TPS'!J64</f>
        <v>Event 4</v>
      </c>
      <c r="J201" s="65">
        <f>'Retail Pricing RI+TPS'!K64</f>
        <v>0</v>
      </c>
      <c r="K201" s="65" t="str">
        <f>'Retail Pricing RI+TPS'!L64</f>
        <v>Event 5</v>
      </c>
      <c r="L201" s="65">
        <f>'Retail Pricing RI+TPS'!M64</f>
        <v>0</v>
      </c>
      <c r="M201" s="65" t="str">
        <f>'Retail Pricing RI+TPS'!N64</f>
        <v>Event 6</v>
      </c>
      <c r="N201" s="65">
        <f>'Retail Pricing RI+TPS'!O64</f>
        <v>0</v>
      </c>
      <c r="O201" s="65" t="str">
        <f>'Retail Pricing RI+TPS'!P64</f>
        <v>Event 7</v>
      </c>
      <c r="P201" s="65">
        <f>'Retail Pricing RI+TPS'!Q64</f>
        <v>0</v>
      </c>
      <c r="Q201" s="65" t="str">
        <f>'Retail Pricing RI+TPS'!R64</f>
        <v>Event 8</v>
      </c>
      <c r="R201" s="65">
        <f>'Retail Pricing RI+TPS'!S64</f>
        <v>0</v>
      </c>
      <c r="S201" s="65" t="str">
        <f>'Retail Pricing RI+TPS'!T64</f>
        <v>Event 9</v>
      </c>
      <c r="T201" s="68">
        <f>'Retail Pricing RI+TPS'!U64</f>
        <v>0</v>
      </c>
    </row>
    <row r="202" spans="1:20" x14ac:dyDescent="0.2">
      <c r="A202" s="152"/>
      <c r="B202" s="65"/>
      <c r="C202" s="65" t="str">
        <f>'Retail Pricing RI+TPS'!D65</f>
        <v>Enter event dates here</v>
      </c>
      <c r="D202" s="65">
        <f>'Retail Pricing RI+TPS'!E65</f>
        <v>0</v>
      </c>
      <c r="E202" s="65" t="str">
        <f>'Retail Pricing RI+TPS'!F65</f>
        <v>Enter event dates here</v>
      </c>
      <c r="F202" s="65">
        <f>'Retail Pricing RI+TPS'!G65</f>
        <v>0</v>
      </c>
      <c r="G202" s="65" t="str">
        <f>'Retail Pricing RI+TPS'!H65</f>
        <v>Enter event dates here</v>
      </c>
      <c r="H202" s="65">
        <f>'Retail Pricing RI+TPS'!I65</f>
        <v>0</v>
      </c>
      <c r="I202" s="65" t="str">
        <f>'Retail Pricing RI+TPS'!J65</f>
        <v>Enter event dates here</v>
      </c>
      <c r="J202" s="65">
        <f>'Retail Pricing RI+TPS'!K65</f>
        <v>0</v>
      </c>
      <c r="K202" s="65" t="str">
        <f>'Retail Pricing RI+TPS'!L65</f>
        <v>Enter event dates here</v>
      </c>
      <c r="L202" s="65">
        <f>'Retail Pricing RI+TPS'!M65</f>
        <v>0</v>
      </c>
      <c r="M202" s="65" t="str">
        <f>'Retail Pricing RI+TPS'!N65</f>
        <v>Enter event dates here</v>
      </c>
      <c r="N202" s="65">
        <f>'Retail Pricing RI+TPS'!O65</f>
        <v>0</v>
      </c>
      <c r="O202" s="65" t="str">
        <f>'Retail Pricing RI+TPS'!P65</f>
        <v>Enter event dates here</v>
      </c>
      <c r="P202" s="65">
        <f>'Retail Pricing RI+TPS'!Q65</f>
        <v>0</v>
      </c>
      <c r="Q202" s="65" t="str">
        <f>'Retail Pricing RI+TPS'!R65</f>
        <v>Enter event dates here</v>
      </c>
      <c r="R202" s="65">
        <f>'Retail Pricing RI+TPS'!S65</f>
        <v>0</v>
      </c>
      <c r="S202" s="65" t="str">
        <f>'Retail Pricing RI+TPS'!T65</f>
        <v>Enter event dates here</v>
      </c>
      <c r="T202" s="68">
        <f>'Retail Pricing RI+TPS'!U65</f>
        <v>0</v>
      </c>
    </row>
    <row r="203" spans="1:20" x14ac:dyDescent="0.2">
      <c r="A203" s="152" t="str">
        <f>'Retail Pricing RI+TPS'!B66</f>
        <v>Room Pool</v>
      </c>
      <c r="B203" s="65" t="str">
        <f>'Retail Pricing RI+TPS'!C66</f>
        <v>Room Pool Classification</v>
      </c>
      <c r="C203" s="65" t="str">
        <f>'Retail Pricing RI+TPS'!D66</f>
        <v>Rate</v>
      </c>
      <c r="D203" s="65" t="str">
        <f>'Retail Pricing RI+TPS'!E66</f>
        <v>Restriction</v>
      </c>
      <c r="E203" s="65" t="str">
        <f>'Retail Pricing RI+TPS'!F66</f>
        <v>Rate</v>
      </c>
      <c r="F203" s="65" t="str">
        <f>'Retail Pricing RI+TPS'!G66</f>
        <v>Restriction</v>
      </c>
      <c r="G203" s="65" t="str">
        <f>'Retail Pricing RI+TPS'!H66</f>
        <v>Rate</v>
      </c>
      <c r="H203" s="65" t="str">
        <f>'Retail Pricing RI+TPS'!I66</f>
        <v>Restriction</v>
      </c>
      <c r="I203" s="65" t="str">
        <f>'Retail Pricing RI+TPS'!J66</f>
        <v>Rate</v>
      </c>
      <c r="J203" s="65" t="str">
        <f>'Retail Pricing RI+TPS'!K66</f>
        <v>Restriction</v>
      </c>
      <c r="K203" s="65" t="str">
        <f>'Retail Pricing RI+TPS'!L66</f>
        <v>Rate</v>
      </c>
      <c r="L203" s="65" t="str">
        <f>'Retail Pricing RI+TPS'!M66</f>
        <v>Restriction</v>
      </c>
      <c r="M203" s="65" t="str">
        <f>'Retail Pricing RI+TPS'!N66</f>
        <v>Rate</v>
      </c>
      <c r="N203" s="65" t="str">
        <f>'Retail Pricing RI+TPS'!O66</f>
        <v>Restriction</v>
      </c>
      <c r="O203" s="65" t="str">
        <f>'Retail Pricing RI+TPS'!P66</f>
        <v>Rate</v>
      </c>
      <c r="P203" s="65" t="str">
        <f>'Retail Pricing RI+TPS'!Q66</f>
        <v>Restriction</v>
      </c>
      <c r="Q203" s="65" t="str">
        <f>'Retail Pricing RI+TPS'!R66</f>
        <v>Rate</v>
      </c>
      <c r="R203" s="65" t="str">
        <f>'Retail Pricing RI+TPS'!S66</f>
        <v>Restriction</v>
      </c>
      <c r="S203" s="65" t="str">
        <f>'Retail Pricing RI+TPS'!T66</f>
        <v>Rate</v>
      </c>
      <c r="T203" s="68" t="str">
        <f>'Retail Pricing RI+TPS'!U66</f>
        <v>Restriction</v>
      </c>
    </row>
    <row r="204" spans="1:20" x14ac:dyDescent="0.2">
      <c r="A204" s="152" t="str">
        <f>'Retail Pricing RI+TPS'!B67</f>
        <v>KING</v>
      </c>
      <c r="B204" s="65" t="str">
        <f>'Retail Pricing RI+TPS'!C67</f>
        <v>Standard</v>
      </c>
      <c r="C204" s="65">
        <f>'Retail Pricing RI+TPS'!D67</f>
        <v>0</v>
      </c>
      <c r="D204" s="65">
        <f>'Retail Pricing RI+TPS'!E67</f>
        <v>0</v>
      </c>
      <c r="E204" s="65">
        <f>'Retail Pricing RI+TPS'!F67</f>
        <v>0</v>
      </c>
      <c r="F204" s="65">
        <f>'Retail Pricing RI+TPS'!G67</f>
        <v>0</v>
      </c>
      <c r="G204" s="65">
        <f>'Retail Pricing RI+TPS'!H67</f>
        <v>0</v>
      </c>
      <c r="H204" s="65">
        <f>'Retail Pricing RI+TPS'!I67</f>
        <v>0</v>
      </c>
      <c r="I204" s="65">
        <f>'Retail Pricing RI+TPS'!J67</f>
        <v>0</v>
      </c>
      <c r="J204" s="65">
        <f>'Retail Pricing RI+TPS'!K67</f>
        <v>0</v>
      </c>
      <c r="K204" s="65">
        <f>'Retail Pricing RI+TPS'!L67</f>
        <v>0</v>
      </c>
      <c r="L204" s="65">
        <f>'Retail Pricing RI+TPS'!M67</f>
        <v>0</v>
      </c>
      <c r="M204" s="65">
        <f>'Retail Pricing RI+TPS'!N67</f>
        <v>0</v>
      </c>
      <c r="N204" s="65">
        <f>'Retail Pricing RI+TPS'!O67</f>
        <v>0</v>
      </c>
      <c r="O204" s="65">
        <f>'Retail Pricing RI+TPS'!P67</f>
        <v>0</v>
      </c>
      <c r="P204" s="65">
        <f>'Retail Pricing RI+TPS'!Q67</f>
        <v>0</v>
      </c>
      <c r="Q204" s="65">
        <f>'Retail Pricing RI+TPS'!R67</f>
        <v>0</v>
      </c>
      <c r="R204" s="65">
        <f>'Retail Pricing RI+TPS'!S67</f>
        <v>0</v>
      </c>
      <c r="S204" s="65">
        <f>'Retail Pricing RI+TPS'!T67</f>
        <v>0</v>
      </c>
      <c r="T204" s="68">
        <f>'Retail Pricing RI+TPS'!U67</f>
        <v>0</v>
      </c>
    </row>
    <row r="205" spans="1:20" x14ac:dyDescent="0.2">
      <c r="A205" s="152" t="str">
        <f>'Retail Pricing RI+TPS'!B68</f>
        <v>DBDB</v>
      </c>
      <c r="B205" s="65" t="str">
        <f>'Retail Pricing RI+TPS'!C68</f>
        <v>Standard</v>
      </c>
      <c r="C205" s="65">
        <f>'Retail Pricing RI+TPS'!D68</f>
        <v>0</v>
      </c>
      <c r="D205" s="65">
        <f>'Retail Pricing RI+TPS'!E68</f>
        <v>0</v>
      </c>
      <c r="E205" s="65">
        <f>'Retail Pricing RI+TPS'!F68</f>
        <v>0</v>
      </c>
      <c r="F205" s="65">
        <f>'Retail Pricing RI+TPS'!G68</f>
        <v>0</v>
      </c>
      <c r="G205" s="65">
        <f>'Retail Pricing RI+TPS'!H68</f>
        <v>0</v>
      </c>
      <c r="H205" s="65">
        <f>'Retail Pricing RI+TPS'!I68</f>
        <v>0</v>
      </c>
      <c r="I205" s="65">
        <f>'Retail Pricing RI+TPS'!J68</f>
        <v>0</v>
      </c>
      <c r="J205" s="65">
        <f>'Retail Pricing RI+TPS'!K68</f>
        <v>0</v>
      </c>
      <c r="K205" s="65">
        <f>'Retail Pricing RI+TPS'!L68</f>
        <v>0</v>
      </c>
      <c r="L205" s="65">
        <f>'Retail Pricing RI+TPS'!M68</f>
        <v>0</v>
      </c>
      <c r="M205" s="65">
        <f>'Retail Pricing RI+TPS'!N68</f>
        <v>0</v>
      </c>
      <c r="N205" s="65">
        <f>'Retail Pricing RI+TPS'!O68</f>
        <v>0</v>
      </c>
      <c r="O205" s="65">
        <f>'Retail Pricing RI+TPS'!P68</f>
        <v>0</v>
      </c>
      <c r="P205" s="65">
        <f>'Retail Pricing RI+TPS'!Q68</f>
        <v>0</v>
      </c>
      <c r="Q205" s="65">
        <f>'Retail Pricing RI+TPS'!R68</f>
        <v>0</v>
      </c>
      <c r="R205" s="65">
        <f>'Retail Pricing RI+TPS'!S68</f>
        <v>0</v>
      </c>
      <c r="S205" s="65">
        <f>'Retail Pricing RI+TPS'!T68</f>
        <v>0</v>
      </c>
      <c r="T205" s="68">
        <f>'Retail Pricing RI+TPS'!U68</f>
        <v>0</v>
      </c>
    </row>
    <row r="206" spans="1:20" x14ac:dyDescent="0.2">
      <c r="A206" s="152" t="str">
        <f>'Retail Pricing RI+TPS'!B69</f>
        <v>PMRS</v>
      </c>
      <c r="B206" s="65" t="str">
        <f>'Retail Pricing RI+TPS'!C69</f>
        <v>Standard</v>
      </c>
      <c r="C206" s="65">
        <f>'Retail Pricing RI+TPS'!D69</f>
        <v>0</v>
      </c>
      <c r="D206" s="65">
        <f>'Retail Pricing RI+TPS'!E69</f>
        <v>0</v>
      </c>
      <c r="E206" s="65">
        <f>'Retail Pricing RI+TPS'!F69</f>
        <v>0</v>
      </c>
      <c r="F206" s="65">
        <f>'Retail Pricing RI+TPS'!G69</f>
        <v>0</v>
      </c>
      <c r="G206" s="65">
        <f>'Retail Pricing RI+TPS'!H69</f>
        <v>0</v>
      </c>
      <c r="H206" s="65">
        <f>'Retail Pricing RI+TPS'!I69</f>
        <v>0</v>
      </c>
      <c r="I206" s="65">
        <f>'Retail Pricing RI+TPS'!J69</f>
        <v>0</v>
      </c>
      <c r="J206" s="65">
        <f>'Retail Pricing RI+TPS'!K69</f>
        <v>0</v>
      </c>
      <c r="K206" s="65">
        <f>'Retail Pricing RI+TPS'!L69</f>
        <v>0</v>
      </c>
      <c r="L206" s="65">
        <f>'Retail Pricing RI+TPS'!M69</f>
        <v>0</v>
      </c>
      <c r="M206" s="65">
        <f>'Retail Pricing RI+TPS'!N69</f>
        <v>0</v>
      </c>
      <c r="N206" s="65">
        <f>'Retail Pricing RI+TPS'!O69</f>
        <v>0</v>
      </c>
      <c r="O206" s="65">
        <f>'Retail Pricing RI+TPS'!P69</f>
        <v>0</v>
      </c>
      <c r="P206" s="65">
        <f>'Retail Pricing RI+TPS'!Q69</f>
        <v>0</v>
      </c>
      <c r="Q206" s="65">
        <f>'Retail Pricing RI+TPS'!R69</f>
        <v>0</v>
      </c>
      <c r="R206" s="65">
        <f>'Retail Pricing RI+TPS'!S69</f>
        <v>0</v>
      </c>
      <c r="S206" s="65">
        <f>'Retail Pricing RI+TPS'!T69</f>
        <v>0</v>
      </c>
      <c r="T206" s="68">
        <f>'Retail Pricing RI+TPS'!U69</f>
        <v>0</v>
      </c>
    </row>
    <row r="207" spans="1:20" x14ac:dyDescent="0.2">
      <c r="A207" s="152" t="str">
        <f>'Retail Pricing RI+TPS'!B70</f>
        <v>PMRS</v>
      </c>
      <c r="B207" s="65" t="str">
        <f>'Retail Pricing RI+TPS'!C70</f>
        <v>Standard</v>
      </c>
      <c r="C207" s="65">
        <f>'Retail Pricing RI+TPS'!D70</f>
        <v>0</v>
      </c>
      <c r="D207" s="65">
        <f>'Retail Pricing RI+TPS'!E70</f>
        <v>0</v>
      </c>
      <c r="E207" s="65">
        <f>'Retail Pricing RI+TPS'!F70</f>
        <v>0</v>
      </c>
      <c r="F207" s="65">
        <f>'Retail Pricing RI+TPS'!G70</f>
        <v>0</v>
      </c>
      <c r="G207" s="65">
        <f>'Retail Pricing RI+TPS'!H70</f>
        <v>0</v>
      </c>
      <c r="H207" s="65">
        <f>'Retail Pricing RI+TPS'!I70</f>
        <v>0</v>
      </c>
      <c r="I207" s="65">
        <f>'Retail Pricing RI+TPS'!J70</f>
        <v>0</v>
      </c>
      <c r="J207" s="65">
        <f>'Retail Pricing RI+TPS'!K70</f>
        <v>0</v>
      </c>
      <c r="K207" s="65">
        <f>'Retail Pricing RI+TPS'!L70</f>
        <v>0</v>
      </c>
      <c r="L207" s="65">
        <f>'Retail Pricing RI+TPS'!M70</f>
        <v>0</v>
      </c>
      <c r="M207" s="65">
        <f>'Retail Pricing RI+TPS'!N70</f>
        <v>0</v>
      </c>
      <c r="N207" s="65">
        <f>'Retail Pricing RI+TPS'!O70</f>
        <v>0</v>
      </c>
      <c r="O207" s="65">
        <f>'Retail Pricing RI+TPS'!P70</f>
        <v>0</v>
      </c>
      <c r="P207" s="65">
        <f>'Retail Pricing RI+TPS'!Q70</f>
        <v>0</v>
      </c>
      <c r="Q207" s="65">
        <f>'Retail Pricing RI+TPS'!R70</f>
        <v>0</v>
      </c>
      <c r="R207" s="65">
        <f>'Retail Pricing RI+TPS'!S70</f>
        <v>0</v>
      </c>
      <c r="S207" s="65">
        <f>'Retail Pricing RI+TPS'!T70</f>
        <v>0</v>
      </c>
      <c r="T207" s="68">
        <f>'Retail Pricing RI+TPS'!U70</f>
        <v>0</v>
      </c>
    </row>
    <row r="208" spans="1:20" x14ac:dyDescent="0.2">
      <c r="A208" s="152">
        <f>'Retail Pricing RI+TPS'!B71</f>
        <v>0</v>
      </c>
      <c r="B208" s="65" t="str">
        <f>'Retail Pricing RI+TPS'!C71</f>
        <v/>
      </c>
      <c r="C208" s="65">
        <f>'Retail Pricing RI+TPS'!D71</f>
        <v>0</v>
      </c>
      <c r="D208" s="65">
        <f>'Retail Pricing RI+TPS'!E71</f>
        <v>0</v>
      </c>
      <c r="E208" s="65">
        <f>'Retail Pricing RI+TPS'!F71</f>
        <v>0</v>
      </c>
      <c r="F208" s="65">
        <f>'Retail Pricing RI+TPS'!G71</f>
        <v>0</v>
      </c>
      <c r="G208" s="65">
        <f>'Retail Pricing RI+TPS'!H71</f>
        <v>0</v>
      </c>
      <c r="H208" s="65">
        <f>'Retail Pricing RI+TPS'!I71</f>
        <v>0</v>
      </c>
      <c r="I208" s="65">
        <f>'Retail Pricing RI+TPS'!J71</f>
        <v>0</v>
      </c>
      <c r="J208" s="65">
        <f>'Retail Pricing RI+TPS'!K71</f>
        <v>0</v>
      </c>
      <c r="K208" s="65">
        <f>'Retail Pricing RI+TPS'!L71</f>
        <v>0</v>
      </c>
      <c r="L208" s="65">
        <f>'Retail Pricing RI+TPS'!M71</f>
        <v>0</v>
      </c>
      <c r="M208" s="65">
        <f>'Retail Pricing RI+TPS'!N71</f>
        <v>0</v>
      </c>
      <c r="N208" s="65">
        <f>'Retail Pricing RI+TPS'!O71</f>
        <v>0</v>
      </c>
      <c r="O208" s="65">
        <f>'Retail Pricing RI+TPS'!P71</f>
        <v>0</v>
      </c>
      <c r="P208" s="65">
        <f>'Retail Pricing RI+TPS'!Q71</f>
        <v>0</v>
      </c>
      <c r="Q208" s="65">
        <f>'Retail Pricing RI+TPS'!R71</f>
        <v>0</v>
      </c>
      <c r="R208" s="65">
        <f>'Retail Pricing RI+TPS'!S71</f>
        <v>0</v>
      </c>
      <c r="S208" s="65">
        <f>'Retail Pricing RI+TPS'!T71</f>
        <v>0</v>
      </c>
      <c r="T208" s="68">
        <f>'Retail Pricing RI+TPS'!U71</f>
        <v>0</v>
      </c>
    </row>
    <row r="209" spans="1:22" x14ac:dyDescent="0.2">
      <c r="A209" s="152">
        <f>'Retail Pricing RI+TPS'!B72</f>
        <v>0</v>
      </c>
      <c r="B209" s="65" t="str">
        <f>'Retail Pricing RI+TPS'!C72</f>
        <v/>
      </c>
      <c r="C209" s="65">
        <f>'Retail Pricing RI+TPS'!D72</f>
        <v>0</v>
      </c>
      <c r="D209" s="65">
        <f>'Retail Pricing RI+TPS'!E72</f>
        <v>0</v>
      </c>
      <c r="E209" s="65">
        <f>'Retail Pricing RI+TPS'!F72</f>
        <v>0</v>
      </c>
      <c r="F209" s="65">
        <f>'Retail Pricing RI+TPS'!G72</f>
        <v>0</v>
      </c>
      <c r="G209" s="65">
        <f>'Retail Pricing RI+TPS'!H72</f>
        <v>0</v>
      </c>
      <c r="H209" s="65">
        <f>'Retail Pricing RI+TPS'!I72</f>
        <v>0</v>
      </c>
      <c r="I209" s="65">
        <f>'Retail Pricing RI+TPS'!J72</f>
        <v>0</v>
      </c>
      <c r="J209" s="65">
        <f>'Retail Pricing RI+TPS'!K72</f>
        <v>0</v>
      </c>
      <c r="K209" s="65">
        <f>'Retail Pricing RI+TPS'!L72</f>
        <v>0</v>
      </c>
      <c r="L209" s="65">
        <f>'Retail Pricing RI+TPS'!M72</f>
        <v>0</v>
      </c>
      <c r="M209" s="65">
        <f>'Retail Pricing RI+TPS'!N72</f>
        <v>0</v>
      </c>
      <c r="N209" s="65">
        <f>'Retail Pricing RI+TPS'!O72</f>
        <v>0</v>
      </c>
      <c r="O209" s="65">
        <f>'Retail Pricing RI+TPS'!P72</f>
        <v>0</v>
      </c>
      <c r="P209" s="65">
        <f>'Retail Pricing RI+TPS'!Q72</f>
        <v>0</v>
      </c>
      <c r="Q209" s="65">
        <f>'Retail Pricing RI+TPS'!R72</f>
        <v>0</v>
      </c>
      <c r="R209" s="65">
        <f>'Retail Pricing RI+TPS'!S72</f>
        <v>0</v>
      </c>
      <c r="S209" s="65">
        <f>'Retail Pricing RI+TPS'!T72</f>
        <v>0</v>
      </c>
      <c r="T209" s="68">
        <f>'Retail Pricing RI+TPS'!U72</f>
        <v>0</v>
      </c>
    </row>
    <row r="210" spans="1:22" x14ac:dyDescent="0.2">
      <c r="A210" s="152">
        <f>'Retail Pricing RI+TPS'!B73</f>
        <v>0</v>
      </c>
      <c r="B210" s="65" t="str">
        <f>'Retail Pricing RI+TPS'!C73</f>
        <v/>
      </c>
      <c r="C210" s="65">
        <f>'Retail Pricing RI+TPS'!D73</f>
        <v>0</v>
      </c>
      <c r="D210" s="65">
        <f>'Retail Pricing RI+TPS'!E73</f>
        <v>0</v>
      </c>
      <c r="E210" s="65">
        <f>'Retail Pricing RI+TPS'!F73</f>
        <v>0</v>
      </c>
      <c r="F210" s="65">
        <f>'Retail Pricing RI+TPS'!G73</f>
        <v>0</v>
      </c>
      <c r="G210" s="65">
        <f>'Retail Pricing RI+TPS'!H73</f>
        <v>0</v>
      </c>
      <c r="H210" s="65">
        <f>'Retail Pricing RI+TPS'!I73</f>
        <v>0</v>
      </c>
      <c r="I210" s="65">
        <f>'Retail Pricing RI+TPS'!J73</f>
        <v>0</v>
      </c>
      <c r="J210" s="65">
        <f>'Retail Pricing RI+TPS'!K73</f>
        <v>0</v>
      </c>
      <c r="K210" s="65">
        <f>'Retail Pricing RI+TPS'!L73</f>
        <v>0</v>
      </c>
      <c r="L210" s="65">
        <f>'Retail Pricing RI+TPS'!M73</f>
        <v>0</v>
      </c>
      <c r="M210" s="65">
        <f>'Retail Pricing RI+TPS'!N73</f>
        <v>0</v>
      </c>
      <c r="N210" s="65">
        <f>'Retail Pricing RI+TPS'!O73</f>
        <v>0</v>
      </c>
      <c r="O210" s="65">
        <f>'Retail Pricing RI+TPS'!P73</f>
        <v>0</v>
      </c>
      <c r="P210" s="65">
        <f>'Retail Pricing RI+TPS'!Q73</f>
        <v>0</v>
      </c>
      <c r="Q210" s="65">
        <f>'Retail Pricing RI+TPS'!R73</f>
        <v>0</v>
      </c>
      <c r="R210" s="65">
        <f>'Retail Pricing RI+TPS'!S73</f>
        <v>0</v>
      </c>
      <c r="S210" s="65">
        <f>'Retail Pricing RI+TPS'!T73</f>
        <v>0</v>
      </c>
      <c r="T210" s="68">
        <f>'Retail Pricing RI+TPS'!U73</f>
        <v>0</v>
      </c>
    </row>
    <row r="211" spans="1:22" x14ac:dyDescent="0.2">
      <c r="A211" s="152">
        <f>'Retail Pricing RI+TPS'!B74</f>
        <v>0</v>
      </c>
      <c r="B211" s="65" t="str">
        <f>'Retail Pricing RI+TPS'!C74</f>
        <v/>
      </c>
      <c r="C211" s="65">
        <f>'Retail Pricing RI+TPS'!D74</f>
        <v>0</v>
      </c>
      <c r="D211" s="65">
        <f>'Retail Pricing RI+TPS'!E74</f>
        <v>0</v>
      </c>
      <c r="E211" s="65">
        <f>'Retail Pricing RI+TPS'!F74</f>
        <v>0</v>
      </c>
      <c r="F211" s="65">
        <f>'Retail Pricing RI+TPS'!G74</f>
        <v>0</v>
      </c>
      <c r="G211" s="65">
        <f>'Retail Pricing RI+TPS'!H74</f>
        <v>0</v>
      </c>
      <c r="H211" s="65">
        <f>'Retail Pricing RI+TPS'!I74</f>
        <v>0</v>
      </c>
      <c r="I211" s="65">
        <f>'Retail Pricing RI+TPS'!J74</f>
        <v>0</v>
      </c>
      <c r="J211" s="65">
        <f>'Retail Pricing RI+TPS'!K74</f>
        <v>0</v>
      </c>
      <c r="K211" s="65">
        <f>'Retail Pricing RI+TPS'!L74</f>
        <v>0</v>
      </c>
      <c r="L211" s="65">
        <f>'Retail Pricing RI+TPS'!M74</f>
        <v>0</v>
      </c>
      <c r="M211" s="65">
        <f>'Retail Pricing RI+TPS'!N74</f>
        <v>0</v>
      </c>
      <c r="N211" s="65">
        <f>'Retail Pricing RI+TPS'!O74</f>
        <v>0</v>
      </c>
      <c r="O211" s="65">
        <f>'Retail Pricing RI+TPS'!P74</f>
        <v>0</v>
      </c>
      <c r="P211" s="65">
        <f>'Retail Pricing RI+TPS'!Q74</f>
        <v>0</v>
      </c>
      <c r="Q211" s="65">
        <f>'Retail Pricing RI+TPS'!R74</f>
        <v>0</v>
      </c>
      <c r="R211" s="65">
        <f>'Retail Pricing RI+TPS'!S74</f>
        <v>0</v>
      </c>
      <c r="S211" s="65">
        <f>'Retail Pricing RI+TPS'!T74</f>
        <v>0</v>
      </c>
      <c r="T211" s="68">
        <f>'Retail Pricing RI+TPS'!U74</f>
        <v>0</v>
      </c>
    </row>
    <row r="212" spans="1:22" x14ac:dyDescent="0.2">
      <c r="A212" s="152">
        <f>'Retail Pricing RI+TPS'!B75</f>
        <v>0</v>
      </c>
      <c r="B212" s="65" t="str">
        <f>'Retail Pricing RI+TPS'!C75</f>
        <v/>
      </c>
      <c r="C212" s="65">
        <f>'Retail Pricing RI+TPS'!D75</f>
        <v>0</v>
      </c>
      <c r="D212" s="65">
        <f>'Retail Pricing RI+TPS'!E75</f>
        <v>0</v>
      </c>
      <c r="E212" s="65">
        <f>'Retail Pricing RI+TPS'!F75</f>
        <v>0</v>
      </c>
      <c r="F212" s="65">
        <f>'Retail Pricing RI+TPS'!G75</f>
        <v>0</v>
      </c>
      <c r="G212" s="65">
        <f>'Retail Pricing RI+TPS'!H75</f>
        <v>0</v>
      </c>
      <c r="H212" s="65">
        <f>'Retail Pricing RI+TPS'!I75</f>
        <v>0</v>
      </c>
      <c r="I212" s="65">
        <f>'Retail Pricing RI+TPS'!J75</f>
        <v>0</v>
      </c>
      <c r="J212" s="65">
        <f>'Retail Pricing RI+TPS'!K75</f>
        <v>0</v>
      </c>
      <c r="K212" s="65">
        <f>'Retail Pricing RI+TPS'!L75</f>
        <v>0</v>
      </c>
      <c r="L212" s="65">
        <f>'Retail Pricing RI+TPS'!M75</f>
        <v>0</v>
      </c>
      <c r="M212" s="65">
        <f>'Retail Pricing RI+TPS'!N75</f>
        <v>0</v>
      </c>
      <c r="N212" s="65">
        <f>'Retail Pricing RI+TPS'!O75</f>
        <v>0</v>
      </c>
      <c r="O212" s="65">
        <f>'Retail Pricing RI+TPS'!P75</f>
        <v>0</v>
      </c>
      <c r="P212" s="65">
        <f>'Retail Pricing RI+TPS'!Q75</f>
        <v>0</v>
      </c>
      <c r="Q212" s="65">
        <f>'Retail Pricing RI+TPS'!R75</f>
        <v>0</v>
      </c>
      <c r="R212" s="65">
        <f>'Retail Pricing RI+TPS'!S75</f>
        <v>0</v>
      </c>
      <c r="S212" s="65">
        <f>'Retail Pricing RI+TPS'!T75</f>
        <v>0</v>
      </c>
      <c r="T212" s="68">
        <f>'Retail Pricing RI+TPS'!U75</f>
        <v>0</v>
      </c>
    </row>
    <row r="213" spans="1:22" x14ac:dyDescent="0.2">
      <c r="A213" s="152">
        <f>'Retail Pricing RI+TPS'!B76</f>
        <v>0</v>
      </c>
      <c r="B213" s="65" t="str">
        <f>'Retail Pricing RI+TPS'!C76</f>
        <v/>
      </c>
      <c r="C213" s="65">
        <f>'Retail Pricing RI+TPS'!D76</f>
        <v>0</v>
      </c>
      <c r="D213" s="65">
        <f>'Retail Pricing RI+TPS'!E76</f>
        <v>0</v>
      </c>
      <c r="E213" s="65">
        <f>'Retail Pricing RI+TPS'!F76</f>
        <v>0</v>
      </c>
      <c r="F213" s="65">
        <f>'Retail Pricing RI+TPS'!G76</f>
        <v>0</v>
      </c>
      <c r="G213" s="65">
        <f>'Retail Pricing RI+TPS'!H76</f>
        <v>0</v>
      </c>
      <c r="H213" s="65">
        <f>'Retail Pricing RI+TPS'!I76</f>
        <v>0</v>
      </c>
      <c r="I213" s="65">
        <f>'Retail Pricing RI+TPS'!J76</f>
        <v>0</v>
      </c>
      <c r="J213" s="65">
        <f>'Retail Pricing RI+TPS'!K76</f>
        <v>0</v>
      </c>
      <c r="K213" s="65">
        <f>'Retail Pricing RI+TPS'!L76</f>
        <v>0</v>
      </c>
      <c r="L213" s="65">
        <f>'Retail Pricing RI+TPS'!M76</f>
        <v>0</v>
      </c>
      <c r="M213" s="65">
        <f>'Retail Pricing RI+TPS'!N76</f>
        <v>0</v>
      </c>
      <c r="N213" s="65">
        <f>'Retail Pricing RI+TPS'!O76</f>
        <v>0</v>
      </c>
      <c r="O213" s="65">
        <f>'Retail Pricing RI+TPS'!P76</f>
        <v>0</v>
      </c>
      <c r="P213" s="65">
        <f>'Retail Pricing RI+TPS'!Q76</f>
        <v>0</v>
      </c>
      <c r="Q213" s="65">
        <f>'Retail Pricing RI+TPS'!R76</f>
        <v>0</v>
      </c>
      <c r="R213" s="65">
        <f>'Retail Pricing RI+TPS'!S76</f>
        <v>0</v>
      </c>
      <c r="S213" s="65">
        <f>'Retail Pricing RI+TPS'!T76</f>
        <v>0</v>
      </c>
      <c r="T213" s="68">
        <f>'Retail Pricing RI+TPS'!U76</f>
        <v>0</v>
      </c>
    </row>
    <row r="214" spans="1:22" x14ac:dyDescent="0.2">
      <c r="A214" s="152">
        <f>'Retail Pricing RI+TPS'!B77</f>
        <v>0</v>
      </c>
      <c r="B214" s="65" t="str">
        <f>'Retail Pricing RI+TPS'!C77</f>
        <v/>
      </c>
      <c r="C214" s="65">
        <f>'Retail Pricing RI+TPS'!D77</f>
        <v>0</v>
      </c>
      <c r="D214" s="65">
        <f>'Retail Pricing RI+TPS'!E77</f>
        <v>0</v>
      </c>
      <c r="E214" s="65">
        <f>'Retail Pricing RI+TPS'!F77</f>
        <v>0</v>
      </c>
      <c r="F214" s="65">
        <f>'Retail Pricing RI+TPS'!G77</f>
        <v>0</v>
      </c>
      <c r="G214" s="65">
        <f>'Retail Pricing RI+TPS'!H77</f>
        <v>0</v>
      </c>
      <c r="H214" s="65">
        <f>'Retail Pricing RI+TPS'!I77</f>
        <v>0</v>
      </c>
      <c r="I214" s="65">
        <f>'Retail Pricing RI+TPS'!J77</f>
        <v>0</v>
      </c>
      <c r="J214" s="65">
        <f>'Retail Pricing RI+TPS'!K77</f>
        <v>0</v>
      </c>
      <c r="K214" s="65">
        <f>'Retail Pricing RI+TPS'!L77</f>
        <v>0</v>
      </c>
      <c r="L214" s="65">
        <f>'Retail Pricing RI+TPS'!M77</f>
        <v>0</v>
      </c>
      <c r="M214" s="65">
        <f>'Retail Pricing RI+TPS'!N77</f>
        <v>0</v>
      </c>
      <c r="N214" s="65">
        <f>'Retail Pricing RI+TPS'!O77</f>
        <v>0</v>
      </c>
      <c r="O214" s="65">
        <f>'Retail Pricing RI+TPS'!P77</f>
        <v>0</v>
      </c>
      <c r="P214" s="65">
        <f>'Retail Pricing RI+TPS'!Q77</f>
        <v>0</v>
      </c>
      <c r="Q214" s="65">
        <f>'Retail Pricing RI+TPS'!R77</f>
        <v>0</v>
      </c>
      <c r="R214" s="65">
        <f>'Retail Pricing RI+TPS'!S77</f>
        <v>0</v>
      </c>
      <c r="S214" s="65">
        <f>'Retail Pricing RI+TPS'!T77</f>
        <v>0</v>
      </c>
      <c r="T214" s="68">
        <f>'Retail Pricing RI+TPS'!U77</f>
        <v>0</v>
      </c>
    </row>
    <row r="215" spans="1:22" x14ac:dyDescent="0.2">
      <c r="A215" s="152">
        <f>'Retail Pricing RI+TPS'!B78</f>
        <v>0</v>
      </c>
      <c r="B215" s="65" t="str">
        <f>'Retail Pricing RI+TPS'!C78</f>
        <v/>
      </c>
      <c r="C215" s="65">
        <f>'Retail Pricing RI+TPS'!D78</f>
        <v>0</v>
      </c>
      <c r="D215" s="65">
        <f>'Retail Pricing RI+TPS'!E78</f>
        <v>0</v>
      </c>
      <c r="E215" s="65">
        <f>'Retail Pricing RI+TPS'!F78</f>
        <v>0</v>
      </c>
      <c r="F215" s="65">
        <f>'Retail Pricing RI+TPS'!G78</f>
        <v>0</v>
      </c>
      <c r="G215" s="65">
        <f>'Retail Pricing RI+TPS'!H78</f>
        <v>0</v>
      </c>
      <c r="H215" s="65">
        <f>'Retail Pricing RI+TPS'!I78</f>
        <v>0</v>
      </c>
      <c r="I215" s="65">
        <f>'Retail Pricing RI+TPS'!J78</f>
        <v>0</v>
      </c>
      <c r="J215" s="65">
        <f>'Retail Pricing RI+TPS'!K78</f>
        <v>0</v>
      </c>
      <c r="K215" s="65">
        <f>'Retail Pricing RI+TPS'!L78</f>
        <v>0</v>
      </c>
      <c r="L215" s="65">
        <f>'Retail Pricing RI+TPS'!M78</f>
        <v>0</v>
      </c>
      <c r="M215" s="65">
        <f>'Retail Pricing RI+TPS'!N78</f>
        <v>0</v>
      </c>
      <c r="N215" s="65">
        <f>'Retail Pricing RI+TPS'!O78</f>
        <v>0</v>
      </c>
      <c r="O215" s="65">
        <f>'Retail Pricing RI+TPS'!P78</f>
        <v>0</v>
      </c>
      <c r="P215" s="65">
        <f>'Retail Pricing RI+TPS'!Q78</f>
        <v>0</v>
      </c>
      <c r="Q215" s="65">
        <f>'Retail Pricing RI+TPS'!R78</f>
        <v>0</v>
      </c>
      <c r="R215" s="65">
        <f>'Retail Pricing RI+TPS'!S78</f>
        <v>0</v>
      </c>
      <c r="S215" s="65">
        <f>'Retail Pricing RI+TPS'!T78</f>
        <v>0</v>
      </c>
      <c r="T215" s="68">
        <f>'Retail Pricing RI+TPS'!U78</f>
        <v>0</v>
      </c>
    </row>
    <row r="216" spans="1:22" x14ac:dyDescent="0.2">
      <c r="A216" s="152">
        <f>'Retail Pricing RI+TPS'!B79</f>
        <v>0</v>
      </c>
      <c r="B216" s="65" t="str">
        <f>'Retail Pricing RI+TPS'!C79</f>
        <v/>
      </c>
      <c r="C216" s="65">
        <f>'Retail Pricing RI+TPS'!D79</f>
        <v>0</v>
      </c>
      <c r="D216" s="65">
        <f>'Retail Pricing RI+TPS'!E79</f>
        <v>0</v>
      </c>
      <c r="E216" s="65">
        <f>'Retail Pricing RI+TPS'!F79</f>
        <v>0</v>
      </c>
      <c r="F216" s="65">
        <f>'Retail Pricing RI+TPS'!G79</f>
        <v>0</v>
      </c>
      <c r="G216" s="65">
        <f>'Retail Pricing RI+TPS'!H79</f>
        <v>0</v>
      </c>
      <c r="H216" s="65">
        <f>'Retail Pricing RI+TPS'!I79</f>
        <v>0</v>
      </c>
      <c r="I216" s="65">
        <f>'Retail Pricing RI+TPS'!J79</f>
        <v>0</v>
      </c>
      <c r="J216" s="65">
        <f>'Retail Pricing RI+TPS'!K79</f>
        <v>0</v>
      </c>
      <c r="K216" s="65">
        <f>'Retail Pricing RI+TPS'!L79</f>
        <v>0</v>
      </c>
      <c r="L216" s="65">
        <f>'Retail Pricing RI+TPS'!M79</f>
        <v>0</v>
      </c>
      <c r="M216" s="65">
        <f>'Retail Pricing RI+TPS'!N79</f>
        <v>0</v>
      </c>
      <c r="N216" s="65">
        <f>'Retail Pricing RI+TPS'!O79</f>
        <v>0</v>
      </c>
      <c r="O216" s="65">
        <f>'Retail Pricing RI+TPS'!P79</f>
        <v>0</v>
      </c>
      <c r="P216" s="65">
        <f>'Retail Pricing RI+TPS'!Q79</f>
        <v>0</v>
      </c>
      <c r="Q216" s="65">
        <f>'Retail Pricing RI+TPS'!R79</f>
        <v>0</v>
      </c>
      <c r="R216" s="65">
        <f>'Retail Pricing RI+TPS'!S79</f>
        <v>0</v>
      </c>
      <c r="S216" s="65">
        <f>'Retail Pricing RI+TPS'!T79</f>
        <v>0</v>
      </c>
      <c r="T216" s="68">
        <f>'Retail Pricing RI+TPS'!U79</f>
        <v>0</v>
      </c>
    </row>
    <row r="217" spans="1:22" x14ac:dyDescent="0.2">
      <c r="A217" s="152">
        <f>'Retail Pricing RI+TPS'!B80</f>
        <v>0</v>
      </c>
      <c r="B217" s="65" t="str">
        <f>'Retail Pricing RI+TPS'!C80</f>
        <v/>
      </c>
      <c r="C217" s="65">
        <f>'Retail Pricing RI+TPS'!D80</f>
        <v>0</v>
      </c>
      <c r="D217" s="65">
        <f>'Retail Pricing RI+TPS'!E80</f>
        <v>0</v>
      </c>
      <c r="E217" s="65">
        <f>'Retail Pricing RI+TPS'!F80</f>
        <v>0</v>
      </c>
      <c r="F217" s="65">
        <f>'Retail Pricing RI+TPS'!G80</f>
        <v>0</v>
      </c>
      <c r="G217" s="65">
        <f>'Retail Pricing RI+TPS'!H80</f>
        <v>0</v>
      </c>
      <c r="H217" s="65">
        <f>'Retail Pricing RI+TPS'!I80</f>
        <v>0</v>
      </c>
      <c r="I217" s="65">
        <f>'Retail Pricing RI+TPS'!J80</f>
        <v>0</v>
      </c>
      <c r="J217" s="65">
        <f>'Retail Pricing RI+TPS'!K80</f>
        <v>0</v>
      </c>
      <c r="K217" s="65">
        <f>'Retail Pricing RI+TPS'!L80</f>
        <v>0</v>
      </c>
      <c r="L217" s="65">
        <f>'Retail Pricing RI+TPS'!M80</f>
        <v>0</v>
      </c>
      <c r="M217" s="65">
        <f>'Retail Pricing RI+TPS'!N80</f>
        <v>0</v>
      </c>
      <c r="N217" s="65">
        <f>'Retail Pricing RI+TPS'!O80</f>
        <v>0</v>
      </c>
      <c r="O217" s="65">
        <f>'Retail Pricing RI+TPS'!P80</f>
        <v>0</v>
      </c>
      <c r="P217" s="65">
        <f>'Retail Pricing RI+TPS'!Q80</f>
        <v>0</v>
      </c>
      <c r="Q217" s="65">
        <f>'Retail Pricing RI+TPS'!R80</f>
        <v>0</v>
      </c>
      <c r="R217" s="65">
        <f>'Retail Pricing RI+TPS'!S80</f>
        <v>0</v>
      </c>
      <c r="S217" s="65">
        <f>'Retail Pricing RI+TPS'!T80</f>
        <v>0</v>
      </c>
      <c r="T217" s="68">
        <f>'Retail Pricing RI+TPS'!U80</f>
        <v>0</v>
      </c>
    </row>
    <row r="218" spans="1:22" x14ac:dyDescent="0.2">
      <c r="A218" s="152">
        <f>'Retail Pricing RI+TPS'!B81</f>
        <v>0</v>
      </c>
      <c r="B218" s="65" t="str">
        <f>'Retail Pricing RI+TPS'!C81</f>
        <v/>
      </c>
      <c r="C218" s="65">
        <f>'Retail Pricing RI+TPS'!D81</f>
        <v>0</v>
      </c>
      <c r="D218" s="65">
        <f>'Retail Pricing RI+TPS'!E81</f>
        <v>0</v>
      </c>
      <c r="E218" s="65">
        <f>'Retail Pricing RI+TPS'!F81</f>
        <v>0</v>
      </c>
      <c r="F218" s="65">
        <f>'Retail Pricing RI+TPS'!G81</f>
        <v>0</v>
      </c>
      <c r="G218" s="65">
        <f>'Retail Pricing RI+TPS'!H81</f>
        <v>0</v>
      </c>
      <c r="H218" s="65">
        <f>'Retail Pricing RI+TPS'!I81</f>
        <v>0</v>
      </c>
      <c r="I218" s="65">
        <f>'Retail Pricing RI+TPS'!J81</f>
        <v>0</v>
      </c>
      <c r="J218" s="65">
        <f>'Retail Pricing RI+TPS'!K81</f>
        <v>0</v>
      </c>
      <c r="K218" s="65">
        <f>'Retail Pricing RI+TPS'!L81</f>
        <v>0</v>
      </c>
      <c r="L218" s="65">
        <f>'Retail Pricing RI+TPS'!M81</f>
        <v>0</v>
      </c>
      <c r="M218" s="65">
        <f>'Retail Pricing RI+TPS'!N81</f>
        <v>0</v>
      </c>
      <c r="N218" s="65">
        <f>'Retail Pricing RI+TPS'!O81</f>
        <v>0</v>
      </c>
      <c r="O218" s="65">
        <f>'Retail Pricing RI+TPS'!P81</f>
        <v>0</v>
      </c>
      <c r="P218" s="65">
        <f>'Retail Pricing RI+TPS'!Q81</f>
        <v>0</v>
      </c>
      <c r="Q218" s="65">
        <f>'Retail Pricing RI+TPS'!R81</f>
        <v>0</v>
      </c>
      <c r="R218" s="65">
        <f>'Retail Pricing RI+TPS'!S81</f>
        <v>0</v>
      </c>
      <c r="S218" s="65">
        <f>'Retail Pricing RI+TPS'!T81</f>
        <v>0</v>
      </c>
      <c r="T218" s="68">
        <f>'Retail Pricing RI+TPS'!U81</f>
        <v>0</v>
      </c>
    </row>
    <row r="219" spans="1:22" x14ac:dyDescent="0.2">
      <c r="A219" s="152">
        <f>'Retail Pricing RI+TPS'!B82</f>
        <v>0</v>
      </c>
      <c r="B219" s="65"/>
      <c r="C219" s="65">
        <f>'Retail Pricing RI+TPS'!D82</f>
        <v>0</v>
      </c>
      <c r="D219" s="65">
        <f>'Retail Pricing RI+TPS'!E82</f>
        <v>0</v>
      </c>
      <c r="E219" s="65">
        <f>'Retail Pricing RI+TPS'!F82</f>
        <v>0</v>
      </c>
      <c r="F219" s="65">
        <f>'Retail Pricing RI+TPS'!G82</f>
        <v>0</v>
      </c>
      <c r="G219" s="65">
        <f>'Retail Pricing RI+TPS'!H82</f>
        <v>0</v>
      </c>
      <c r="H219" s="65">
        <f>'Retail Pricing RI+TPS'!I82</f>
        <v>0</v>
      </c>
      <c r="I219" s="65">
        <f>'Retail Pricing RI+TPS'!J82</f>
        <v>0</v>
      </c>
      <c r="J219" s="65">
        <f>'Retail Pricing RI+TPS'!K82</f>
        <v>0</v>
      </c>
      <c r="K219" s="65">
        <f>'Retail Pricing RI+TPS'!L82</f>
        <v>0</v>
      </c>
      <c r="L219" s="65">
        <f>'Retail Pricing RI+TPS'!M82</f>
        <v>0</v>
      </c>
      <c r="M219" s="65">
        <f>'Retail Pricing RI+TPS'!N82</f>
        <v>0</v>
      </c>
      <c r="N219" s="65">
        <f>'Retail Pricing RI+TPS'!O82</f>
        <v>0</v>
      </c>
      <c r="O219" s="65">
        <f>'Retail Pricing RI+TPS'!P82</f>
        <v>0</v>
      </c>
      <c r="P219" s="65">
        <f>'Retail Pricing RI+TPS'!Q82</f>
        <v>0</v>
      </c>
      <c r="Q219" s="65">
        <f>'Retail Pricing RI+TPS'!R82</f>
        <v>0</v>
      </c>
      <c r="R219" s="65">
        <f>'Retail Pricing RI+TPS'!S82</f>
        <v>0</v>
      </c>
      <c r="S219" s="65">
        <f>'Retail Pricing RI+TPS'!T82</f>
        <v>0</v>
      </c>
      <c r="T219" s="68">
        <f>'Retail Pricing RI+TPS'!U82</f>
        <v>0</v>
      </c>
    </row>
    <row r="220" spans="1:22" x14ac:dyDescent="0.2">
      <c r="A220" s="152" t="str">
        <f>'Retail Pricing RI+TPS'!B83</f>
        <v>Guarantee Deposit Rule</v>
      </c>
      <c r="B220" s="65"/>
      <c r="C220" s="65">
        <f>'Retail Pricing RI+TPS'!D83</f>
        <v>0</v>
      </c>
      <c r="D220" s="65">
        <f>'Retail Pricing RI+TPS'!E83</f>
        <v>0</v>
      </c>
      <c r="E220" s="65">
        <f>'Retail Pricing RI+TPS'!F83</f>
        <v>0</v>
      </c>
      <c r="F220" s="65">
        <f>'Retail Pricing RI+TPS'!G83</f>
        <v>0</v>
      </c>
      <c r="G220" s="65">
        <f>'Retail Pricing RI+TPS'!H83</f>
        <v>0</v>
      </c>
      <c r="H220" s="65">
        <f>'Retail Pricing RI+TPS'!I83</f>
        <v>0</v>
      </c>
      <c r="I220" s="65">
        <f>'Retail Pricing RI+TPS'!J83</f>
        <v>0</v>
      </c>
      <c r="J220" s="65">
        <f>'Retail Pricing RI+TPS'!K83</f>
        <v>0</v>
      </c>
      <c r="K220" s="65">
        <f>'Retail Pricing RI+TPS'!L83</f>
        <v>0</v>
      </c>
      <c r="L220" s="65">
        <f>'Retail Pricing RI+TPS'!M83</f>
        <v>0</v>
      </c>
      <c r="M220" s="65">
        <f>'Retail Pricing RI+TPS'!N83</f>
        <v>0</v>
      </c>
      <c r="N220" s="65">
        <f>'Retail Pricing RI+TPS'!O83</f>
        <v>0</v>
      </c>
      <c r="O220" s="65">
        <f>'Retail Pricing RI+TPS'!P83</f>
        <v>0</v>
      </c>
      <c r="P220" s="65">
        <f>'Retail Pricing RI+TPS'!Q83</f>
        <v>0</v>
      </c>
      <c r="Q220" s="65">
        <f>'Retail Pricing RI+TPS'!R83</f>
        <v>0</v>
      </c>
      <c r="R220" s="65">
        <f>'Retail Pricing RI+TPS'!S83</f>
        <v>0</v>
      </c>
      <c r="S220" s="65">
        <f>'Retail Pricing RI+TPS'!T83</f>
        <v>0</v>
      </c>
      <c r="T220" s="68">
        <f>'Retail Pricing RI+TPS'!U83</f>
        <v>0</v>
      </c>
    </row>
    <row r="221" spans="1:22" x14ac:dyDescent="0.2">
      <c r="A221" s="152" t="str">
        <f>'Retail Pricing RI+TPS'!B84</f>
        <v>Cancellation Policy</v>
      </c>
      <c r="B221" s="65"/>
      <c r="C221" s="65">
        <f>'Retail Pricing RI+TPS'!D84</f>
        <v>0</v>
      </c>
      <c r="D221" s="65">
        <f>'Retail Pricing RI+TPS'!E84</f>
        <v>0</v>
      </c>
      <c r="E221" s="65">
        <f>'Retail Pricing RI+TPS'!F84</f>
        <v>0</v>
      </c>
      <c r="F221" s="65">
        <f>'Retail Pricing RI+TPS'!G84</f>
        <v>0</v>
      </c>
      <c r="G221" s="65">
        <f>'Retail Pricing RI+TPS'!H84</f>
        <v>0</v>
      </c>
      <c r="H221" s="65">
        <f>'Retail Pricing RI+TPS'!I84</f>
        <v>0</v>
      </c>
      <c r="I221" s="65">
        <f>'Retail Pricing RI+TPS'!J84</f>
        <v>0</v>
      </c>
      <c r="J221" s="65">
        <f>'Retail Pricing RI+TPS'!K84</f>
        <v>0</v>
      </c>
      <c r="K221" s="65">
        <f>'Retail Pricing RI+TPS'!L84</f>
        <v>0</v>
      </c>
      <c r="L221" s="65">
        <f>'Retail Pricing RI+TPS'!M84</f>
        <v>0</v>
      </c>
      <c r="M221" s="65">
        <f>'Retail Pricing RI+TPS'!N84</f>
        <v>0</v>
      </c>
      <c r="N221" s="65">
        <f>'Retail Pricing RI+TPS'!O84</f>
        <v>0</v>
      </c>
      <c r="O221" s="65">
        <f>'Retail Pricing RI+TPS'!P84</f>
        <v>0</v>
      </c>
      <c r="P221" s="65">
        <f>'Retail Pricing RI+TPS'!Q84</f>
        <v>0</v>
      </c>
      <c r="Q221" s="65">
        <f>'Retail Pricing RI+TPS'!R84</f>
        <v>0</v>
      </c>
      <c r="R221" s="65">
        <f>'Retail Pricing RI+TPS'!S84</f>
        <v>0</v>
      </c>
      <c r="S221" s="65">
        <f>'Retail Pricing RI+TPS'!T84</f>
        <v>0</v>
      </c>
      <c r="T221" s="68">
        <f>'Retail Pricing RI+TPS'!U84</f>
        <v>0</v>
      </c>
    </row>
    <row r="222" spans="1:22" x14ac:dyDescent="0.2">
      <c r="A222" s="153"/>
      <c r="B222" s="154"/>
      <c r="C222" s="154"/>
      <c r="D222" s="154"/>
      <c r="E222" s="154"/>
      <c r="F222" s="154"/>
      <c r="G222" s="154"/>
      <c r="H222" s="154"/>
      <c r="I222" s="154"/>
      <c r="J222" s="154"/>
      <c r="K222" s="154"/>
      <c r="L222" s="154"/>
      <c r="M222" s="154"/>
      <c r="N222" s="154"/>
      <c r="O222" s="154"/>
      <c r="P222" s="154"/>
      <c r="Q222" s="154"/>
      <c r="R222" s="154"/>
      <c r="S222" s="154"/>
      <c r="T222" s="155"/>
    </row>
    <row r="224" spans="1:22" x14ac:dyDescent="0.2">
      <c r="A224" s="158" t="s">
        <v>502</v>
      </c>
      <c r="B224" s="67"/>
      <c r="C224" s="67"/>
      <c r="D224" s="67"/>
      <c r="E224" s="67"/>
      <c r="F224" s="67"/>
      <c r="G224" s="67"/>
      <c r="H224" s="67"/>
      <c r="I224" s="67"/>
      <c r="J224" s="67"/>
      <c r="K224" s="67"/>
      <c r="L224" s="67"/>
      <c r="M224" s="67"/>
      <c r="N224" s="67"/>
      <c r="O224" s="67"/>
      <c r="P224" s="67"/>
      <c r="Q224" s="67"/>
      <c r="R224" s="67"/>
      <c r="S224" s="67"/>
      <c r="T224" s="67"/>
      <c r="U224" s="67"/>
      <c r="V224" s="64"/>
    </row>
    <row r="225" spans="1:22" x14ac:dyDescent="0.2">
      <c r="A225" s="152"/>
      <c r="B225" s="65"/>
      <c r="C225" s="65"/>
      <c r="D225" s="65"/>
      <c r="E225" s="65"/>
      <c r="F225" s="65"/>
      <c r="G225" s="65"/>
      <c r="H225" s="65"/>
      <c r="I225" s="65"/>
      <c r="J225" s="65"/>
      <c r="K225" s="65"/>
      <c r="L225" s="65"/>
      <c r="M225" s="65"/>
      <c r="N225" s="65"/>
      <c r="O225" s="65"/>
      <c r="P225" s="65"/>
      <c r="Q225" s="65"/>
      <c r="R225" s="65"/>
      <c r="S225" s="65"/>
      <c r="T225" s="65"/>
      <c r="U225" s="65"/>
      <c r="V225" s="68"/>
    </row>
    <row r="226" spans="1:22" x14ac:dyDescent="0.2">
      <c r="A226" s="152"/>
      <c r="B226" s="65" t="str">
        <f>'Retail Pricing RI+TPS'!C89</f>
        <v>Long Term Stay (RI + TPS)</v>
      </c>
      <c r="C226" s="65"/>
      <c r="D226" s="65"/>
      <c r="E226" s="65"/>
      <c r="F226" s="65"/>
      <c r="G226" s="65"/>
      <c r="H226" s="65"/>
      <c r="I226" s="65"/>
      <c r="J226" s="65"/>
      <c r="K226" s="65"/>
      <c r="L226" s="65"/>
      <c r="M226" s="65"/>
      <c r="N226" s="65"/>
      <c r="O226" s="65"/>
      <c r="P226" s="65"/>
      <c r="Q226" s="65"/>
      <c r="R226" s="65"/>
      <c r="S226" s="65"/>
      <c r="T226" s="65"/>
      <c r="U226" s="65"/>
      <c r="V226" s="68"/>
    </row>
    <row r="227" spans="1:22" x14ac:dyDescent="0.2">
      <c r="A227" s="152"/>
      <c r="B227" s="65" t="str">
        <f>'Retail Pricing RI+TPS'!C90</f>
        <v>Long Terms Stay rates at extended stay hotels allow to secure extended stay business meeting certain criteria should there no longer be availability on a given day within the requested stay date of that given extended stay request</v>
      </c>
      <c r="C227" s="65"/>
      <c r="D227" s="65"/>
      <c r="E227" s="65"/>
      <c r="F227" s="65"/>
      <c r="G227" s="65"/>
      <c r="H227" s="65"/>
      <c r="I227" s="65"/>
      <c r="J227" s="65"/>
      <c r="K227" s="65"/>
      <c r="L227" s="65"/>
      <c r="M227" s="65"/>
      <c r="N227" s="65"/>
      <c r="O227" s="65"/>
      <c r="P227" s="65"/>
      <c r="Q227" s="65"/>
      <c r="R227" s="65"/>
      <c r="S227" s="65"/>
      <c r="T227" s="65"/>
      <c r="U227" s="65"/>
      <c r="V227" s="68"/>
    </row>
    <row r="228" spans="1:22" x14ac:dyDescent="0.2">
      <c r="A228" s="152"/>
      <c r="B228" s="65"/>
      <c r="C228" s="65"/>
      <c r="D228" s="65"/>
      <c r="E228" s="65"/>
      <c r="F228" s="65"/>
      <c r="G228" s="65"/>
      <c r="H228" s="65"/>
      <c r="I228" s="65"/>
      <c r="J228" s="65"/>
      <c r="K228" s="65"/>
      <c r="L228" s="65"/>
      <c r="M228" s="65"/>
      <c r="N228" s="65"/>
      <c r="O228" s="65"/>
      <c r="P228" s="65"/>
      <c r="Q228" s="65"/>
      <c r="R228" s="65"/>
      <c r="S228" s="65"/>
      <c r="T228" s="65"/>
      <c r="U228" s="65"/>
      <c r="V228" s="68"/>
    </row>
    <row r="229" spans="1:22" x14ac:dyDescent="0.2">
      <c r="A229" s="152"/>
      <c r="B229" s="65" t="str">
        <f>'Retail Pricing RI+TPS'!C92</f>
        <v>Standard Rooms</v>
      </c>
      <c r="C229" s="65"/>
      <c r="D229" s="65"/>
      <c r="E229" s="65"/>
      <c r="F229" s="65" t="str">
        <f>'Retail Pricing RI+TPS'!G92</f>
        <v>When these "safetynet" ratecodes are used, send email to:</v>
      </c>
      <c r="G229" s="65"/>
      <c r="H229" s="65"/>
      <c r="I229" s="65"/>
      <c r="J229" s="65"/>
      <c r="K229" s="65"/>
      <c r="L229" s="65"/>
      <c r="M229" s="65"/>
      <c r="N229" s="65"/>
      <c r="O229" s="65"/>
      <c r="P229" s="65"/>
      <c r="Q229" s="65"/>
      <c r="R229" s="65"/>
      <c r="S229" s="65"/>
      <c r="T229" s="65"/>
      <c r="U229" s="65"/>
      <c r="V229" s="68"/>
    </row>
    <row r="230" spans="1:22" x14ac:dyDescent="0.2">
      <c r="A230" s="152"/>
      <c r="B230" s="65" t="str">
        <f>'Retail Pricing RI+TPS'!C93</f>
        <v>Allow overbooking up to</v>
      </c>
      <c r="C230" s="65">
        <f>'Retail Pricing RI+TPS'!D93</f>
        <v>4</v>
      </c>
      <c r="D230" s="65" t="str">
        <f>'Retail Pricing RI+TPS'!E93</f>
        <v>rooms</v>
      </c>
      <c r="E230" s="65"/>
      <c r="F230" s="65"/>
      <c r="G230" s="65"/>
      <c r="H230" s="65"/>
      <c r="I230" s="65"/>
      <c r="J230" s="65"/>
      <c r="K230" s="65"/>
      <c r="L230" s="65"/>
      <c r="M230" s="65"/>
      <c r="N230" s="65"/>
      <c r="O230" s="65"/>
      <c r="P230" s="65"/>
      <c r="Q230" s="65"/>
      <c r="R230" s="65"/>
      <c r="S230" s="65"/>
      <c r="T230" s="65"/>
      <c r="U230" s="65"/>
      <c r="V230" s="68"/>
    </row>
    <row r="231" spans="1:22" x14ac:dyDescent="0.2">
      <c r="A231" s="152"/>
      <c r="B231" s="65" t="str">
        <f>'Retail Pricing RI+TPS'!C94</f>
        <v>if staying more than</v>
      </c>
      <c r="C231" s="65">
        <f>'Retail Pricing RI+TPS'!D94</f>
        <v>14</v>
      </c>
      <c r="D231" s="65" t="str">
        <f>'Retail Pricing RI+TPS'!E94</f>
        <v>nights</v>
      </c>
      <c r="E231" s="65"/>
      <c r="F231" s="65"/>
      <c r="G231" s="65"/>
      <c r="H231" s="65"/>
      <c r="I231" s="65"/>
      <c r="J231" s="65"/>
      <c r="K231" s="65"/>
      <c r="L231" s="65"/>
      <c r="M231" s="65"/>
      <c r="N231" s="65"/>
      <c r="O231" s="65"/>
      <c r="P231" s="65"/>
      <c r="Q231" s="65"/>
      <c r="R231" s="65"/>
      <c r="S231" s="65"/>
      <c r="T231" s="65"/>
      <c r="U231" s="65"/>
      <c r="V231" s="68"/>
    </row>
    <row r="232" spans="1:22" x14ac:dyDescent="0.2">
      <c r="A232" s="152"/>
      <c r="B232" s="65" t="str">
        <f>'Retail Pricing RI+TPS'!C95</f>
        <v>and if booking more than</v>
      </c>
      <c r="C232" s="65">
        <f>'Retail Pricing RI+TPS'!D95</f>
        <v>5</v>
      </c>
      <c r="D232" s="65" t="str">
        <f>'Retail Pricing RI+TPS'!E95</f>
        <v>days out</v>
      </c>
      <c r="E232" s="65"/>
      <c r="F232" s="65" t="str">
        <f>'Retail Pricing RI+TPS'!G95</f>
        <v>enter email address here</v>
      </c>
      <c r="G232" s="65"/>
      <c r="H232" s="65"/>
      <c r="I232" s="65"/>
      <c r="J232" s="65"/>
      <c r="K232" s="65"/>
      <c r="L232" s="65"/>
      <c r="M232" s="65"/>
      <c r="N232" s="65"/>
      <c r="O232" s="65"/>
      <c r="P232" s="65"/>
      <c r="Q232" s="65"/>
      <c r="R232" s="65"/>
      <c r="S232" s="65"/>
      <c r="T232" s="65"/>
      <c r="U232" s="65"/>
      <c r="V232" s="68"/>
    </row>
    <row r="233" spans="1:22" x14ac:dyDescent="0.2">
      <c r="A233" s="152"/>
      <c r="B233" s="65" t="str">
        <f>'Retail Pricing RI+TPS'!C96</f>
        <v>Premium Rooms</v>
      </c>
      <c r="C233" s="65"/>
      <c r="D233" s="65"/>
      <c r="E233" s="65"/>
      <c r="F233" s="65"/>
      <c r="G233" s="65"/>
      <c r="H233" s="65"/>
      <c r="I233" s="65"/>
      <c r="J233" s="65"/>
      <c r="K233" s="65"/>
      <c r="L233" s="65"/>
      <c r="M233" s="65"/>
      <c r="N233" s="65"/>
      <c r="O233" s="65"/>
      <c r="P233" s="65"/>
      <c r="Q233" s="65"/>
      <c r="R233" s="65"/>
      <c r="S233" s="65"/>
      <c r="T233" s="65"/>
      <c r="U233" s="65"/>
      <c r="V233" s="68"/>
    </row>
    <row r="234" spans="1:22" x14ac:dyDescent="0.2">
      <c r="A234" s="152"/>
      <c r="B234" s="65" t="str">
        <f>'Retail Pricing RI+TPS'!C97</f>
        <v>Room pools</v>
      </c>
      <c r="C234" s="65" t="str">
        <f>'Retail Pricing RI+TPS'!D97</f>
        <v>Premium</v>
      </c>
      <c r="D234" s="65"/>
      <c r="E234" s="65"/>
      <c r="F234" s="65" t="str">
        <f>'Retail Pricing RI+TPS'!G97</f>
        <v>Notes:</v>
      </c>
      <c r="G234" s="65"/>
      <c r="H234" s="65"/>
      <c r="I234" s="65"/>
      <c r="J234" s="65"/>
      <c r="K234" s="65"/>
      <c r="L234" s="65"/>
      <c r="M234" s="65"/>
      <c r="N234" s="65"/>
      <c r="O234" s="65"/>
      <c r="P234" s="65"/>
      <c r="Q234" s="65"/>
      <c r="R234" s="65"/>
      <c r="S234" s="65"/>
      <c r="T234" s="65"/>
      <c r="U234" s="65"/>
      <c r="V234" s="68"/>
    </row>
    <row r="235" spans="1:22" x14ac:dyDescent="0.2">
      <c r="A235" s="152"/>
      <c r="B235" s="65" t="str">
        <f>'Retail Pricing RI+TPS'!C98</f>
        <v>Allow overbooking up to</v>
      </c>
      <c r="C235" s="65">
        <f>'Retail Pricing RI+TPS'!D98</f>
        <v>0</v>
      </c>
      <c r="D235" s="65" t="str">
        <f>'Retail Pricing RI+TPS'!E98</f>
        <v>rooms</v>
      </c>
      <c r="E235" s="65"/>
      <c r="F235" s="65">
        <f>'Retail Pricing RI+TPS'!G98</f>
        <v>0</v>
      </c>
      <c r="G235" s="65"/>
      <c r="H235" s="65"/>
      <c r="I235" s="65"/>
      <c r="J235" s="65"/>
      <c r="K235" s="65"/>
      <c r="L235" s="65"/>
      <c r="M235" s="65"/>
      <c r="N235" s="65"/>
      <c r="O235" s="65"/>
      <c r="P235" s="65"/>
      <c r="Q235" s="65"/>
      <c r="R235" s="65"/>
      <c r="S235" s="65"/>
      <c r="T235" s="65"/>
      <c r="U235" s="65"/>
      <c r="V235" s="68"/>
    </row>
    <row r="236" spans="1:22" x14ac:dyDescent="0.2">
      <c r="A236" s="152"/>
      <c r="B236" s="65" t="str">
        <f>'Retail Pricing RI+TPS'!C99</f>
        <v>if staying more than</v>
      </c>
      <c r="C236" s="65">
        <f>'Retail Pricing RI+TPS'!D99</f>
        <v>0</v>
      </c>
      <c r="D236" s="65" t="str">
        <f>'Retail Pricing RI+TPS'!E99</f>
        <v>nights</v>
      </c>
      <c r="E236" s="65"/>
      <c r="F236" s="65"/>
      <c r="G236" s="65"/>
      <c r="H236" s="65"/>
      <c r="I236" s="65"/>
      <c r="J236" s="65"/>
      <c r="K236" s="65"/>
      <c r="L236" s="65"/>
      <c r="M236" s="65"/>
      <c r="N236" s="65"/>
      <c r="O236" s="65"/>
      <c r="P236" s="65"/>
      <c r="Q236" s="65"/>
      <c r="R236" s="65"/>
      <c r="S236" s="65"/>
      <c r="T236" s="65"/>
      <c r="U236" s="65"/>
      <c r="V236" s="68"/>
    </row>
    <row r="237" spans="1:22" x14ac:dyDescent="0.2">
      <c r="A237" s="152"/>
      <c r="B237" s="65" t="str">
        <f>'Retail Pricing RI+TPS'!C100</f>
        <v>and if booking more than</v>
      </c>
      <c r="C237" s="65">
        <f>'Retail Pricing RI+TPS'!D100</f>
        <v>0</v>
      </c>
      <c r="D237" s="65" t="str">
        <f>'Retail Pricing RI+TPS'!E100</f>
        <v>days out</v>
      </c>
      <c r="E237" s="65"/>
      <c r="F237" s="65"/>
      <c r="G237" s="65"/>
      <c r="H237" s="65"/>
      <c r="I237" s="65"/>
      <c r="J237" s="65"/>
      <c r="K237" s="65"/>
      <c r="L237" s="65"/>
      <c r="M237" s="65"/>
      <c r="N237" s="65"/>
      <c r="O237" s="65"/>
      <c r="P237" s="65"/>
      <c r="Q237" s="65"/>
      <c r="R237" s="65"/>
      <c r="S237" s="65"/>
      <c r="T237" s="65"/>
      <c r="U237" s="65"/>
      <c r="V237" s="68"/>
    </row>
    <row r="238" spans="1:22" x14ac:dyDescent="0.2">
      <c r="A238" s="153"/>
      <c r="B238" s="154"/>
      <c r="C238" s="154"/>
      <c r="D238" s="154"/>
      <c r="E238" s="154"/>
      <c r="F238" s="154"/>
      <c r="G238" s="154"/>
      <c r="H238" s="154"/>
      <c r="I238" s="154"/>
      <c r="J238" s="154"/>
      <c r="K238" s="154"/>
      <c r="L238" s="154"/>
      <c r="M238" s="154"/>
      <c r="N238" s="154"/>
      <c r="O238" s="154"/>
      <c r="P238" s="154"/>
      <c r="Q238" s="154"/>
      <c r="R238" s="154"/>
      <c r="S238" s="154"/>
      <c r="T238" s="154"/>
      <c r="U238" s="154"/>
      <c r="V238" s="155"/>
    </row>
    <row r="241" spans="1:13" x14ac:dyDescent="0.2">
      <c r="A241" s="159" t="s">
        <v>497</v>
      </c>
    </row>
    <row r="243" spans="1:13" x14ac:dyDescent="0.2">
      <c r="A243" s="151" t="str">
        <f>'Standard Discounts'!B4</f>
        <v>Advance Purchase Rate</v>
      </c>
      <c r="B243" s="67" t="str">
        <f>'Standard Discounts'!C4</f>
        <v>NO</v>
      </c>
      <c r="C243" s="67" t="str">
        <f>'Standard Discounts'!D4</f>
        <v>7 days a week</v>
      </c>
      <c r="D243" s="67">
        <f>'Standard Discounts'!E4</f>
        <v>0</v>
      </c>
      <c r="E243" s="67">
        <f>'Standard Discounts'!F4</f>
        <v>0</v>
      </c>
      <c r="F243" s="64">
        <f>'Standard Discounts'!G4</f>
        <v>0</v>
      </c>
      <c r="H243" s="151" t="str">
        <f>'Standard Discounts'!I4</f>
        <v>AAA</v>
      </c>
      <c r="I243" s="67" t="str">
        <f>'Standard Discounts'!J4</f>
        <v>NO</v>
      </c>
      <c r="J243" s="67" t="str">
        <f>'Standard Discounts'!K4</f>
        <v>7 days a week</v>
      </c>
      <c r="K243" s="67">
        <f>'Standard Discounts'!L4</f>
        <v>0</v>
      </c>
      <c r="L243" s="67">
        <f>'Standard Discounts'!M4</f>
        <v>0</v>
      </c>
      <c r="M243" s="64">
        <f>'Standard Discounts'!N4</f>
        <v>0</v>
      </c>
    </row>
    <row r="244" spans="1:13" x14ac:dyDescent="0.2">
      <c r="A244" s="152" t="str">
        <f>'Standard Discounts'!B5</f>
        <v>Room pools</v>
      </c>
      <c r="B244" s="65" t="str">
        <f>'Standard Discounts'!C5</f>
        <v>All</v>
      </c>
      <c r="C244" s="65">
        <f>'Standard Discounts'!D5</f>
        <v>0</v>
      </c>
      <c r="D244" s="65">
        <f>'Standard Discounts'!E5</f>
        <v>0</v>
      </c>
      <c r="E244" s="65">
        <f>'Standard Discounts'!F5</f>
        <v>0</v>
      </c>
      <c r="F244" s="68">
        <f>'Standard Discounts'!G5</f>
        <v>0</v>
      </c>
      <c r="H244" s="152" t="str">
        <f>'Standard Discounts'!I5</f>
        <v>Room pools</v>
      </c>
      <c r="I244" s="65" t="str">
        <f>'Standard Discounts'!J5</f>
        <v>All</v>
      </c>
      <c r="J244" s="65">
        <f>'Standard Discounts'!K5</f>
        <v>0</v>
      </c>
      <c r="K244" s="65">
        <f>'Standard Discounts'!L5</f>
        <v>0</v>
      </c>
      <c r="L244" s="65">
        <f>'Standard Discounts'!M5</f>
        <v>0</v>
      </c>
      <c r="M244" s="68">
        <f>'Standard Discounts'!N5</f>
        <v>0</v>
      </c>
    </row>
    <row r="245" spans="1:13" x14ac:dyDescent="0.2">
      <c r="A245" s="152">
        <f>'Standard Discounts'!B6</f>
        <v>0</v>
      </c>
      <c r="B245" s="65">
        <f>'Standard Discounts'!C6</f>
        <v>0</v>
      </c>
      <c r="C245" s="65">
        <f>'Standard Discounts'!D6</f>
        <v>0</v>
      </c>
      <c r="D245" s="65">
        <f>'Standard Discounts'!E6</f>
        <v>0</v>
      </c>
      <c r="E245" s="65" t="str">
        <f>'Standard Discounts'!F6</f>
        <v>Number of day out</v>
      </c>
      <c r="F245" s="68" t="str">
        <f>'Standard Discounts'!G6</f>
        <v>Availability</v>
      </c>
      <c r="H245" s="152">
        <f>'Standard Discounts'!I6</f>
        <v>0</v>
      </c>
      <c r="I245" s="65">
        <f>'Standard Discounts'!J6</f>
        <v>0</v>
      </c>
      <c r="J245" s="65">
        <f>'Standard Discounts'!K6</f>
        <v>0</v>
      </c>
      <c r="K245" s="65">
        <f>'Standard Discounts'!L6</f>
        <v>0</v>
      </c>
      <c r="L245" s="65" t="str">
        <f>'Standard Discounts'!M6</f>
        <v>Availability</v>
      </c>
      <c r="M245" s="68">
        <f>'Standard Discounts'!N6</f>
        <v>0</v>
      </c>
    </row>
    <row r="246" spans="1:13" x14ac:dyDescent="0.2">
      <c r="A246" s="152" t="str">
        <f>'Standard Discounts'!B7</f>
        <v>Advance Purchase Rate</v>
      </c>
      <c r="B246" s="65">
        <f>'Standard Discounts'!C7</f>
        <v>0</v>
      </c>
      <c r="C246" s="65" t="str">
        <f>'Standard Discounts'!D7</f>
        <v>%</v>
      </c>
      <c r="D246" s="65" t="str">
        <f>'Standard Discounts'!E7</f>
        <v>off retail rate</v>
      </c>
      <c r="E246" s="65">
        <f>'Standard Discounts'!F7</f>
        <v>0</v>
      </c>
      <c r="F246" s="68" t="str">
        <f>'Standard Discounts'!G7</f>
        <v>7 days</v>
      </c>
      <c r="H246" s="152" t="str">
        <f>'Standard Discounts'!I7</f>
        <v>AAA</v>
      </c>
      <c r="I246" s="65">
        <f>'Standard Discounts'!J7</f>
        <v>5</v>
      </c>
      <c r="J246" s="65" t="str">
        <f>'Standard Discounts'!K7</f>
        <v>%</v>
      </c>
      <c r="K246" s="65" t="str">
        <f>'Standard Discounts'!L7</f>
        <v>off retail rate</v>
      </c>
      <c r="L246" s="65" t="str">
        <f>'Standard Discounts'!M7</f>
        <v>7 days</v>
      </c>
      <c r="M246" s="68">
        <f>'Standard Discounts'!N7</f>
        <v>0</v>
      </c>
    </row>
    <row r="247" spans="1:13" x14ac:dyDescent="0.2">
      <c r="A247" s="152" t="str">
        <f>'Standard Discounts'!B8</f>
        <v/>
      </c>
      <c r="B247" s="65">
        <f>'Standard Discounts'!C8</f>
        <v>0</v>
      </c>
      <c r="C247" s="65" t="str">
        <f>'Standard Discounts'!D8</f>
        <v/>
      </c>
      <c r="D247" s="65" t="str">
        <f>'Standard Discounts'!E8</f>
        <v/>
      </c>
      <c r="E247" s="65" t="str">
        <f>'Standard Discounts'!F8</f>
        <v/>
      </c>
      <c r="F247" s="68" t="str">
        <f>'Standard Discounts'!G8</f>
        <v/>
      </c>
      <c r="H247" s="152" t="str">
        <f>'Standard Discounts'!I8</f>
        <v/>
      </c>
      <c r="I247" s="65">
        <f>'Standard Discounts'!J8</f>
        <v>0</v>
      </c>
      <c r="J247" s="65" t="str">
        <f>'Standard Discounts'!K8</f>
        <v/>
      </c>
      <c r="K247" s="65" t="str">
        <f>'Standard Discounts'!L8</f>
        <v/>
      </c>
      <c r="L247" s="65" t="str">
        <f>'Standard Discounts'!M8</f>
        <v/>
      </c>
      <c r="M247" s="68">
        <f>'Standard Discounts'!N8</f>
        <v>0</v>
      </c>
    </row>
    <row r="248" spans="1:13" x14ac:dyDescent="0.2">
      <c r="A248" s="152" t="str">
        <f>'Standard Discounts'!B9</f>
        <v>Notes/comments</v>
      </c>
      <c r="B248" s="65">
        <f>'Standard Discounts'!C9</f>
        <v>0</v>
      </c>
      <c r="C248" s="65">
        <f>'Standard Discounts'!D9</f>
        <v>0</v>
      </c>
      <c r="D248" s="65">
        <f>'Standard Discounts'!E9</f>
        <v>0</v>
      </c>
      <c r="E248" s="65">
        <f>'Standard Discounts'!F9</f>
        <v>0</v>
      </c>
      <c r="F248" s="68">
        <f>'Standard Discounts'!G9</f>
        <v>0</v>
      </c>
      <c r="H248" s="152" t="str">
        <f>'Standard Discounts'!I9</f>
        <v>Notes/comments</v>
      </c>
      <c r="I248" s="65" t="str">
        <f>'Standard Discounts'!J9</f>
        <v>A second set of AAA rates will be loaded that are equal to the retail rates.</v>
      </c>
      <c r="J248" s="65">
        <f>'Standard Discounts'!K9</f>
        <v>0</v>
      </c>
      <c r="K248" s="65">
        <f>'Standard Discounts'!L9</f>
        <v>0</v>
      </c>
      <c r="L248" s="65">
        <f>'Standard Discounts'!M9</f>
        <v>0</v>
      </c>
      <c r="M248" s="68">
        <f>'Standard Discounts'!N9</f>
        <v>0</v>
      </c>
    </row>
    <row r="249" spans="1:13" x14ac:dyDescent="0.2">
      <c r="A249" s="153">
        <f>'Standard Discounts'!B10</f>
        <v>0</v>
      </c>
      <c r="B249" s="154">
        <f>'Standard Discounts'!C10</f>
        <v>0</v>
      </c>
      <c r="C249" s="154">
        <f>'Standard Discounts'!D10</f>
        <v>0</v>
      </c>
      <c r="D249" s="154">
        <f>'Standard Discounts'!E10</f>
        <v>0</v>
      </c>
      <c r="E249" s="154">
        <f>'Standard Discounts'!F10</f>
        <v>0</v>
      </c>
      <c r="F249" s="155">
        <f>'Standard Discounts'!G10</f>
        <v>0</v>
      </c>
      <c r="H249" s="153">
        <f>'Standard Discounts'!I10</f>
        <v>0</v>
      </c>
      <c r="I249" s="154">
        <f>'Standard Discounts'!J10</f>
        <v>0</v>
      </c>
      <c r="J249" s="154">
        <f>'Standard Discounts'!K10</f>
        <v>0</v>
      </c>
      <c r="K249" s="154">
        <f>'Standard Discounts'!L10</f>
        <v>0</v>
      </c>
      <c r="L249" s="154">
        <f>'Standard Discounts'!M10</f>
        <v>0</v>
      </c>
      <c r="M249" s="155">
        <f>'Standard Discounts'!N10</f>
        <v>0</v>
      </c>
    </row>
    <row r="252" spans="1:13" x14ac:dyDescent="0.2">
      <c r="A252" s="151" t="str">
        <f>'Standard Discounts'!B13</f>
        <v>Breakfast for one</v>
      </c>
      <c r="B252" s="67" t="str">
        <f>'Standard Discounts'!C13</f>
        <v>NO</v>
      </c>
      <c r="C252" s="67">
        <f>'Standard Discounts'!D13</f>
        <v>0</v>
      </c>
      <c r="D252" s="67">
        <f>'Standard Discounts'!E13</f>
        <v>0</v>
      </c>
      <c r="E252" s="67">
        <f>'Standard Discounts'!F13</f>
        <v>0</v>
      </c>
      <c r="F252" s="64">
        <f>'Standard Discounts'!G13</f>
        <v>0</v>
      </c>
      <c r="H252" s="151" t="str">
        <f>'Standard Discounts'!I52</f>
        <v>Friends &amp; Family</v>
      </c>
      <c r="I252" s="67" t="str">
        <f>'Standard Discounts'!J52</f>
        <v>NO</v>
      </c>
      <c r="J252" s="67" t="str">
        <f>'Standard Discounts'!K52</f>
        <v>7 days a week</v>
      </c>
      <c r="K252" s="67">
        <f>'Standard Discounts'!L52</f>
        <v>0</v>
      </c>
      <c r="L252" s="67">
        <f>'Standard Discounts'!M52</f>
        <v>0</v>
      </c>
      <c r="M252" s="64">
        <f>'Standard Discounts'!N13</f>
        <v>0</v>
      </c>
    </row>
    <row r="253" spans="1:13" x14ac:dyDescent="0.2">
      <c r="A253" s="152" t="str">
        <f>'Standard Discounts'!B14</f>
        <v>Room pools</v>
      </c>
      <c r="B253" s="65" t="str">
        <f>'Standard Discounts'!C14</f>
        <v>Standard</v>
      </c>
      <c r="C253" s="65">
        <f>'Standard Discounts'!D14</f>
        <v>0</v>
      </c>
      <c r="D253" s="65">
        <f>'Standard Discounts'!E14</f>
        <v>0</v>
      </c>
      <c r="E253" s="65">
        <f>'Standard Discounts'!F14</f>
        <v>0</v>
      </c>
      <c r="F253" s="68">
        <f>'Standard Discounts'!G14</f>
        <v>0</v>
      </c>
      <c r="H253" s="152" t="str">
        <f>'Standard Discounts'!I53</f>
        <v>Room pools</v>
      </c>
      <c r="I253" s="65" t="str">
        <f>'Standard Discounts'!J53</f>
        <v>All</v>
      </c>
      <c r="J253" s="65">
        <f>'Standard Discounts'!K53</f>
        <v>0</v>
      </c>
      <c r="K253" s="65">
        <f>'Standard Discounts'!L53</f>
        <v>0</v>
      </c>
      <c r="L253" s="65">
        <f>'Standard Discounts'!M53</f>
        <v>0</v>
      </c>
      <c r="M253" s="68">
        <f>'Standard Discounts'!N14</f>
        <v>0</v>
      </c>
    </row>
    <row r="254" spans="1:13" x14ac:dyDescent="0.2">
      <c r="A254" s="152" t="str">
        <f>'Standard Discounts'!B15</f>
        <v>Premium over Retail rate</v>
      </c>
      <c r="B254" s="65">
        <f>'Standard Discounts'!C15</f>
        <v>0</v>
      </c>
      <c r="C254" s="65" t="str">
        <f>'Standard Discounts'!D15</f>
        <v>$</v>
      </c>
      <c r="D254" s="65">
        <f>'Standard Discounts'!E15</f>
        <v>0</v>
      </c>
      <c r="E254" s="65">
        <f>'Standard Discounts'!F15</f>
        <v>0</v>
      </c>
      <c r="F254" s="68">
        <f>'Standard Discounts'!G15</f>
        <v>0</v>
      </c>
      <c r="H254" s="152">
        <f>'Standard Discounts'!I54</f>
        <v>0</v>
      </c>
      <c r="I254" s="65">
        <f>'Standard Discounts'!J54</f>
        <v>0</v>
      </c>
      <c r="J254" s="65">
        <f>'Standard Discounts'!K54</f>
        <v>0</v>
      </c>
      <c r="K254" s="65">
        <f>'Standard Discounts'!L54</f>
        <v>0</v>
      </c>
      <c r="L254" s="65" t="str">
        <f>'Standard Discounts'!M54</f>
        <v>Availability</v>
      </c>
      <c r="M254" s="68">
        <f>'Standard Discounts'!N15</f>
        <v>0</v>
      </c>
    </row>
    <row r="255" spans="1:13" x14ac:dyDescent="0.2">
      <c r="A255" s="152" t="str">
        <f>'Standard Discounts'!B16</f>
        <v>Net rate (F&amp;B allocation)</v>
      </c>
      <c r="B255" s="65">
        <f>'Standard Discounts'!C16</f>
        <v>0</v>
      </c>
      <c r="C255" s="65" t="str">
        <f>'Standard Discounts'!D16</f>
        <v>$</v>
      </c>
      <c r="D255" s="65" t="str">
        <f>'Standard Discounts'!E16</f>
        <v>off Gross</v>
      </c>
      <c r="E255" s="65">
        <f>'Standard Discounts'!F16</f>
        <v>0</v>
      </c>
      <c r="F255" s="68">
        <f>'Standard Discounts'!G16</f>
        <v>0</v>
      </c>
      <c r="H255" s="152" t="str">
        <f>'Standard Discounts'!I55</f>
        <v>F&amp;F</v>
      </c>
      <c r="I255" s="65">
        <f>'Standard Discounts'!J55</f>
        <v>15</v>
      </c>
      <c r="J255" s="65" t="str">
        <f>'Standard Discounts'!K55</f>
        <v>%</v>
      </c>
      <c r="K255" s="65" t="str">
        <f>'Standard Discounts'!L55</f>
        <v>off retail rate</v>
      </c>
      <c r="L255" s="65" t="str">
        <f>'Standard Discounts'!M55</f>
        <v>7 days</v>
      </c>
      <c r="M255" s="68">
        <f>'Standard Discounts'!N16</f>
        <v>0</v>
      </c>
    </row>
    <row r="256" spans="1:13" x14ac:dyDescent="0.2">
      <c r="A256" s="152">
        <f>'Standard Discounts'!B17</f>
        <v>0</v>
      </c>
      <c r="B256" s="65">
        <f>'Standard Discounts'!C17</f>
        <v>0</v>
      </c>
      <c r="C256" s="65">
        <f>'Standard Discounts'!D17</f>
        <v>0</v>
      </c>
      <c r="D256" s="65">
        <f>'Standard Discounts'!E17</f>
        <v>0</v>
      </c>
      <c r="E256" s="65">
        <f>'Standard Discounts'!F17</f>
        <v>0</v>
      </c>
      <c r="F256" s="68">
        <f>'Standard Discounts'!G17</f>
        <v>0</v>
      </c>
      <c r="H256" s="152" t="str">
        <f>'Standard Discounts'!I56</f>
        <v/>
      </c>
      <c r="I256" s="65">
        <f>'Standard Discounts'!J56</f>
        <v>0</v>
      </c>
      <c r="J256" s="65" t="str">
        <f>'Standard Discounts'!K56</f>
        <v/>
      </c>
      <c r="K256" s="65" t="str">
        <f>'Standard Discounts'!L56</f>
        <v/>
      </c>
      <c r="L256" s="65" t="str">
        <f>'Standard Discounts'!M56</f>
        <v/>
      </c>
      <c r="M256" s="68">
        <f>'Standard Discounts'!N17</f>
        <v>0</v>
      </c>
    </row>
    <row r="257" spans="1:13" x14ac:dyDescent="0.2">
      <c r="A257" s="152" t="str">
        <f>'Standard Discounts'!B18</f>
        <v>Notes/comments</v>
      </c>
      <c r="B257" s="65">
        <f>'Standard Discounts'!C18</f>
        <v>0</v>
      </c>
      <c r="C257" s="65">
        <f>'Standard Discounts'!D18</f>
        <v>0</v>
      </c>
      <c r="D257" s="65">
        <f>'Standard Discounts'!E18</f>
        <v>0</v>
      </c>
      <c r="E257" s="65">
        <f>'Standard Discounts'!F18</f>
        <v>0</v>
      </c>
      <c r="F257" s="68">
        <f>'Standard Discounts'!G18</f>
        <v>0</v>
      </c>
      <c r="H257" s="152" t="str">
        <f>'Standard Discounts'!I57</f>
        <v>Notes/comments/caps</v>
      </c>
      <c r="I257" s="65">
        <f>'Standard Discounts'!J57</f>
        <v>0</v>
      </c>
      <c r="J257" s="65">
        <f>'Standard Discounts'!K57</f>
        <v>0</v>
      </c>
      <c r="K257" s="65">
        <f>'Standard Discounts'!L57</f>
        <v>0</v>
      </c>
      <c r="L257" s="65">
        <f>'Standard Discounts'!M57</f>
        <v>0</v>
      </c>
      <c r="M257" s="68">
        <f>'Standard Discounts'!N18</f>
        <v>0</v>
      </c>
    </row>
    <row r="258" spans="1:13" x14ac:dyDescent="0.2">
      <c r="A258" s="153">
        <f>'Standard Discounts'!B19</f>
        <v>0</v>
      </c>
      <c r="B258" s="154">
        <f>'Standard Discounts'!C19</f>
        <v>0</v>
      </c>
      <c r="C258" s="154">
        <f>'Standard Discounts'!D19</f>
        <v>0</v>
      </c>
      <c r="D258" s="154">
        <f>'Standard Discounts'!E19</f>
        <v>0</v>
      </c>
      <c r="E258" s="154">
        <f>'Standard Discounts'!F19</f>
        <v>0</v>
      </c>
      <c r="F258" s="155">
        <f>'Standard Discounts'!G19</f>
        <v>0</v>
      </c>
      <c r="H258" s="153">
        <f>'Standard Discounts'!I58</f>
        <v>0</v>
      </c>
      <c r="I258" s="154">
        <f>'Standard Discounts'!J58</f>
        <v>0</v>
      </c>
      <c r="J258" s="154">
        <f>'Standard Discounts'!K58</f>
        <v>0</v>
      </c>
      <c r="K258" s="154">
        <f>'Standard Discounts'!L58</f>
        <v>0</v>
      </c>
      <c r="L258" s="154">
        <f>'Standard Discounts'!M58</f>
        <v>0</v>
      </c>
      <c r="M258" s="155">
        <f>'Standard Discounts'!N19</f>
        <v>0</v>
      </c>
    </row>
    <row r="261" spans="1:13" x14ac:dyDescent="0.2">
      <c r="A261" s="151" t="str">
        <f>'Standard Discounts'!B22</f>
        <v>Stay for Breakfast</v>
      </c>
      <c r="B261" s="67" t="str">
        <f>'Standard Discounts'!C22</f>
        <v>YES</v>
      </c>
      <c r="C261" s="67">
        <f>'Standard Discounts'!D22</f>
        <v>0</v>
      </c>
      <c r="D261" s="67" t="str">
        <f>'Standard Discounts'!E22</f>
        <v>7 days a week</v>
      </c>
      <c r="E261" s="67">
        <f>'Standard Discounts'!F22</f>
        <v>0</v>
      </c>
      <c r="F261" s="64">
        <f>'Standard Discounts'!G22</f>
        <v>0</v>
      </c>
    </row>
    <row r="262" spans="1:13" x14ac:dyDescent="0.2">
      <c r="A262" s="152" t="str">
        <f>'Standard Discounts'!B23</f>
        <v>Room pools</v>
      </c>
      <c r="B262" s="65" t="str">
        <f>'Standard Discounts'!C23</f>
        <v>All</v>
      </c>
      <c r="C262" s="65">
        <f>'Standard Discounts'!D23</f>
        <v>0</v>
      </c>
      <c r="D262" s="65">
        <f>'Standard Discounts'!E23</f>
        <v>0</v>
      </c>
      <c r="E262" s="65">
        <f>'Standard Discounts'!F23</f>
        <v>0</v>
      </c>
      <c r="F262" s="68">
        <f>'Standard Discounts'!G23</f>
        <v>0</v>
      </c>
    </row>
    <row r="263" spans="1:13" x14ac:dyDescent="0.2">
      <c r="A263" s="152" t="str">
        <f>'Standard Discounts'!B24</f>
        <v>Premium over Retail rate</v>
      </c>
      <c r="B263" s="65">
        <f>'Standard Discounts'!C24</f>
        <v>20</v>
      </c>
      <c r="C263" s="65" t="str">
        <f>'Standard Discounts'!D24</f>
        <v>$</v>
      </c>
      <c r="D263" s="65">
        <f>'Standard Discounts'!E24</f>
        <v>0</v>
      </c>
      <c r="E263" s="65">
        <f>'Standard Discounts'!F24</f>
        <v>0</v>
      </c>
      <c r="F263" s="68">
        <f>'Standard Discounts'!G24</f>
        <v>0</v>
      </c>
    </row>
    <row r="264" spans="1:13" x14ac:dyDescent="0.2">
      <c r="A264" s="152" t="str">
        <f>'Standard Discounts'!B25</f>
        <v>Net rate (F&amp;B allocation)</v>
      </c>
      <c r="B264" s="65">
        <f>'Standard Discounts'!C25</f>
        <v>25</v>
      </c>
      <c r="C264" s="65" t="str">
        <f>'Standard Discounts'!D25</f>
        <v>$</v>
      </c>
      <c r="D264" s="65" t="str">
        <f>'Standard Discounts'!E25</f>
        <v>off Gross</v>
      </c>
      <c r="E264" s="65">
        <f>'Standard Discounts'!F25</f>
        <v>0</v>
      </c>
      <c r="F264" s="68">
        <f>'Standard Discounts'!G25</f>
        <v>0</v>
      </c>
    </row>
    <row r="265" spans="1:13" x14ac:dyDescent="0.2">
      <c r="A265" s="152">
        <f>'Standard Discounts'!B26</f>
        <v>0</v>
      </c>
      <c r="B265" s="65">
        <f>'Standard Discounts'!C26</f>
        <v>0</v>
      </c>
      <c r="C265" s="65">
        <f>'Standard Discounts'!D26</f>
        <v>0</v>
      </c>
      <c r="D265" s="65">
        <f>'Standard Discounts'!E26</f>
        <v>0</v>
      </c>
      <c r="E265" s="65">
        <f>'Standard Discounts'!F26</f>
        <v>0</v>
      </c>
      <c r="F265" s="68">
        <f>'Standard Discounts'!G26</f>
        <v>0</v>
      </c>
    </row>
    <row r="266" spans="1:13" x14ac:dyDescent="0.2">
      <c r="A266" s="152" t="str">
        <f>'Standard Discounts'!B27</f>
        <v>Notes/comments</v>
      </c>
      <c r="B266" s="65" t="str">
        <f>'Standard Discounts'!C27</f>
        <v>Free Breakfast for guest</v>
      </c>
      <c r="C266" s="65">
        <f>'Standard Discounts'!D27</f>
        <v>0</v>
      </c>
      <c r="D266" s="65">
        <f>'Standard Discounts'!E27</f>
        <v>0</v>
      </c>
      <c r="E266" s="65">
        <f>'Standard Discounts'!F27</f>
        <v>0</v>
      </c>
      <c r="F266" s="68">
        <f>'Standard Discounts'!G27</f>
        <v>0</v>
      </c>
    </row>
    <row r="267" spans="1:13" x14ac:dyDescent="0.2">
      <c r="A267" s="153">
        <f>'Standard Discounts'!B28</f>
        <v>0</v>
      </c>
      <c r="B267" s="154">
        <f>'Standard Discounts'!C28</f>
        <v>0</v>
      </c>
      <c r="C267" s="154">
        <f>'Standard Discounts'!D28</f>
        <v>0</v>
      </c>
      <c r="D267" s="154">
        <f>'Standard Discounts'!E28</f>
        <v>0</v>
      </c>
      <c r="E267" s="154">
        <f>'Standard Discounts'!F28</f>
        <v>0</v>
      </c>
      <c r="F267" s="155">
        <f>'Standard Discounts'!G28</f>
        <v>0</v>
      </c>
    </row>
    <row r="270" spans="1:13" x14ac:dyDescent="0.2">
      <c r="A270" s="151" t="str">
        <f>'Standard Discounts'!B31</f>
        <v>Long Term Stay</v>
      </c>
      <c r="B270" s="67" t="str">
        <f>'Standard Discounts'!C31</f>
        <v>YES</v>
      </c>
      <c r="C270" s="67">
        <f>'Standard Discounts'!D31</f>
        <v>0</v>
      </c>
      <c r="D270" s="67" t="str">
        <f>'Standard Discounts'!E31</f>
        <v>Minimum Number of nights</v>
      </c>
      <c r="E270" s="67">
        <f>'Standard Discounts'!F31</f>
        <v>0</v>
      </c>
      <c r="F270" s="64">
        <f>'Standard Discounts'!G31</f>
        <v>14</v>
      </c>
    </row>
    <row r="271" spans="1:13" x14ac:dyDescent="0.2">
      <c r="A271" s="152"/>
      <c r="B271" s="65" t="str">
        <f>'Standard Discounts'!C32</f>
        <v>Rate</v>
      </c>
      <c r="C271" s="65">
        <f>'Standard Discounts'!D32</f>
        <v>0</v>
      </c>
      <c r="D271" s="65">
        <f>'Standard Discounts'!E32</f>
        <v>0</v>
      </c>
      <c r="E271" s="65">
        <f>'Standard Discounts'!F32</f>
        <v>0</v>
      </c>
      <c r="F271" s="68">
        <f>'Standard Discounts'!G32</f>
        <v>0</v>
      </c>
    </row>
    <row r="272" spans="1:13" x14ac:dyDescent="0.2">
      <c r="A272" s="152" t="str">
        <f>'Standard Discounts'!B33</f>
        <v>KING</v>
      </c>
      <c r="B272" s="65">
        <f>'Standard Discounts'!C33</f>
        <v>338</v>
      </c>
      <c r="C272" s="65">
        <f>'Standard Discounts'!D33</f>
        <v>0</v>
      </c>
      <c r="D272" s="65" t="str">
        <f>'Standard Discounts'!E33</f>
        <v>Notes:</v>
      </c>
      <c r="E272" s="65">
        <f>'Standard Discounts'!F33</f>
        <v>0</v>
      </c>
      <c r="F272" s="68">
        <f>'Standard Discounts'!G33</f>
        <v>0</v>
      </c>
    </row>
    <row r="273" spans="1:6" x14ac:dyDescent="0.2">
      <c r="A273" s="152" t="str">
        <f>'Standard Discounts'!B34</f>
        <v>DBDB</v>
      </c>
      <c r="B273" s="65">
        <f>'Standard Discounts'!C34</f>
        <v>313</v>
      </c>
      <c r="C273" s="65">
        <f>'Standard Discounts'!D34</f>
        <v>0</v>
      </c>
      <c r="D273" s="65">
        <f>'Standard Discounts'!E34</f>
        <v>0</v>
      </c>
      <c r="E273" s="65">
        <f>'Standard Discounts'!F34</f>
        <v>0</v>
      </c>
      <c r="F273" s="68">
        <f>'Standard Discounts'!G34</f>
        <v>0</v>
      </c>
    </row>
    <row r="274" spans="1:6" x14ac:dyDescent="0.2">
      <c r="A274" s="152" t="str">
        <f>'Standard Discounts'!B35</f>
        <v>PMRS</v>
      </c>
      <c r="B274" s="65">
        <f>'Standard Discounts'!C35</f>
        <v>372</v>
      </c>
      <c r="C274" s="65">
        <f>'Standard Discounts'!D35</f>
        <v>0</v>
      </c>
      <c r="D274" s="65">
        <f>'Standard Discounts'!E35</f>
        <v>0</v>
      </c>
      <c r="E274" s="65">
        <f>'Standard Discounts'!F35</f>
        <v>0</v>
      </c>
      <c r="F274" s="68">
        <f>'Standard Discounts'!G35</f>
        <v>0</v>
      </c>
    </row>
    <row r="275" spans="1:6" x14ac:dyDescent="0.2">
      <c r="A275" s="152" t="str">
        <f>'Standard Discounts'!B36</f>
        <v>PMRS</v>
      </c>
      <c r="B275" s="65">
        <f>'Standard Discounts'!C36</f>
        <v>389</v>
      </c>
      <c r="C275" s="65">
        <f>'Standard Discounts'!D36</f>
        <v>0</v>
      </c>
      <c r="D275" s="65">
        <f>'Standard Discounts'!E36</f>
        <v>0</v>
      </c>
      <c r="E275" s="65">
        <f>'Standard Discounts'!F36</f>
        <v>0</v>
      </c>
      <c r="F275" s="68">
        <f>'Standard Discounts'!G36</f>
        <v>0</v>
      </c>
    </row>
    <row r="276" spans="1:6" x14ac:dyDescent="0.2">
      <c r="A276" s="152">
        <f>'Standard Discounts'!B37</f>
        <v>0</v>
      </c>
      <c r="B276" s="65">
        <f>'Standard Discounts'!C37</f>
        <v>0</v>
      </c>
      <c r="C276" s="65">
        <f>'Standard Discounts'!D37</f>
        <v>0</v>
      </c>
      <c r="D276" s="65">
        <f>'Standard Discounts'!E37</f>
        <v>0</v>
      </c>
      <c r="E276" s="65">
        <f>'Standard Discounts'!F37</f>
        <v>0</v>
      </c>
      <c r="F276" s="68">
        <f>'Standard Discounts'!G37</f>
        <v>0</v>
      </c>
    </row>
    <row r="277" spans="1:6" x14ac:dyDescent="0.2">
      <c r="A277" s="152">
        <f>'Standard Discounts'!B38</f>
        <v>0</v>
      </c>
      <c r="B277" s="65">
        <f>'Standard Discounts'!C38</f>
        <v>0</v>
      </c>
      <c r="C277" s="65">
        <f>'Standard Discounts'!D38</f>
        <v>0</v>
      </c>
      <c r="D277" s="65">
        <f>'Standard Discounts'!E38</f>
        <v>0</v>
      </c>
      <c r="E277" s="65">
        <f>'Standard Discounts'!F38</f>
        <v>0</v>
      </c>
      <c r="F277" s="68">
        <f>'Standard Discounts'!G38</f>
        <v>0</v>
      </c>
    </row>
    <row r="278" spans="1:6" x14ac:dyDescent="0.2">
      <c r="A278" s="152">
        <f>'Standard Discounts'!B39</f>
        <v>0</v>
      </c>
      <c r="B278" s="65">
        <f>'Standard Discounts'!C39</f>
        <v>0</v>
      </c>
      <c r="C278" s="65">
        <f>'Standard Discounts'!D39</f>
        <v>0</v>
      </c>
      <c r="D278" s="65">
        <f>'Standard Discounts'!E39</f>
        <v>0</v>
      </c>
      <c r="E278" s="65">
        <f>'Standard Discounts'!F39</f>
        <v>0</v>
      </c>
      <c r="F278" s="68">
        <f>'Standard Discounts'!G39</f>
        <v>0</v>
      </c>
    </row>
    <row r="279" spans="1:6" x14ac:dyDescent="0.2">
      <c r="A279" s="152">
        <f>'Standard Discounts'!B40</f>
        <v>0</v>
      </c>
      <c r="B279" s="65">
        <f>'Standard Discounts'!C40</f>
        <v>0</v>
      </c>
      <c r="C279" s="65">
        <f>'Standard Discounts'!D40</f>
        <v>0</v>
      </c>
      <c r="D279" s="65">
        <f>'Standard Discounts'!E40</f>
        <v>0</v>
      </c>
      <c r="E279" s="65">
        <f>'Standard Discounts'!F40</f>
        <v>0</v>
      </c>
      <c r="F279" s="68">
        <f>'Standard Discounts'!G40</f>
        <v>0</v>
      </c>
    </row>
    <row r="280" spans="1:6" x14ac:dyDescent="0.2">
      <c r="A280" s="152">
        <f>'Standard Discounts'!B41</f>
        <v>0</v>
      </c>
      <c r="B280" s="65">
        <f>'Standard Discounts'!C41</f>
        <v>0</v>
      </c>
      <c r="C280" s="65">
        <f>'Standard Discounts'!D41</f>
        <v>0</v>
      </c>
      <c r="D280" s="65">
        <f>'Standard Discounts'!E41</f>
        <v>0</v>
      </c>
      <c r="E280" s="65">
        <f>'Standard Discounts'!F41</f>
        <v>0</v>
      </c>
      <c r="F280" s="68">
        <f>'Standard Discounts'!G41</f>
        <v>0</v>
      </c>
    </row>
    <row r="281" spans="1:6" x14ac:dyDescent="0.2">
      <c r="A281" s="152">
        <f>'Standard Discounts'!B42</f>
        <v>0</v>
      </c>
      <c r="B281" s="65">
        <f>'Standard Discounts'!C42</f>
        <v>0</v>
      </c>
      <c r="C281" s="65">
        <f>'Standard Discounts'!D42</f>
        <v>0</v>
      </c>
      <c r="D281" s="65">
        <f>'Standard Discounts'!E42</f>
        <v>0</v>
      </c>
      <c r="E281" s="65">
        <f>'Standard Discounts'!F42</f>
        <v>0</v>
      </c>
      <c r="F281" s="68">
        <f>'Standard Discounts'!G42</f>
        <v>0</v>
      </c>
    </row>
    <row r="282" spans="1:6" x14ac:dyDescent="0.2">
      <c r="A282" s="152">
        <f>'Standard Discounts'!B43</f>
        <v>0</v>
      </c>
      <c r="B282" s="65">
        <f>'Standard Discounts'!C43</f>
        <v>0</v>
      </c>
      <c r="C282" s="65">
        <f>'Standard Discounts'!D43</f>
        <v>0</v>
      </c>
      <c r="D282" s="65">
        <f>'Standard Discounts'!E43</f>
        <v>0</v>
      </c>
      <c r="E282" s="65">
        <f>'Standard Discounts'!F43</f>
        <v>0</v>
      </c>
      <c r="F282" s="68">
        <f>'Standard Discounts'!G43</f>
        <v>0</v>
      </c>
    </row>
    <row r="283" spans="1:6" x14ac:dyDescent="0.2">
      <c r="A283" s="152">
        <f>'Standard Discounts'!B44</f>
        <v>0</v>
      </c>
      <c r="B283" s="65">
        <f>'Standard Discounts'!C44</f>
        <v>0</v>
      </c>
      <c r="C283" s="65">
        <f>'Standard Discounts'!D44</f>
        <v>0</v>
      </c>
      <c r="D283" s="65">
        <f>'Standard Discounts'!E44</f>
        <v>0</v>
      </c>
      <c r="E283" s="65">
        <f>'Standard Discounts'!F44</f>
        <v>0</v>
      </c>
      <c r="F283" s="68">
        <f>'Standard Discounts'!G44</f>
        <v>0</v>
      </c>
    </row>
    <row r="284" spans="1:6" x14ac:dyDescent="0.2">
      <c r="A284" s="152">
        <f>'Standard Discounts'!B45</f>
        <v>0</v>
      </c>
      <c r="B284" s="65">
        <f>'Standard Discounts'!C45</f>
        <v>0</v>
      </c>
      <c r="C284" s="65">
        <f>'Standard Discounts'!D45</f>
        <v>0</v>
      </c>
      <c r="D284" s="65">
        <f>'Standard Discounts'!E45</f>
        <v>0</v>
      </c>
      <c r="E284" s="65">
        <f>'Standard Discounts'!F45</f>
        <v>0</v>
      </c>
      <c r="F284" s="68">
        <f>'Standard Discounts'!G45</f>
        <v>0</v>
      </c>
    </row>
    <row r="285" spans="1:6" x14ac:dyDescent="0.2">
      <c r="A285" s="152">
        <f>'Standard Discounts'!B46</f>
        <v>0</v>
      </c>
      <c r="B285" s="65">
        <f>'Standard Discounts'!C46</f>
        <v>0</v>
      </c>
      <c r="C285" s="65">
        <f>'Standard Discounts'!D46</f>
        <v>0</v>
      </c>
      <c r="D285" s="65">
        <f>'Standard Discounts'!E46</f>
        <v>0</v>
      </c>
      <c r="E285" s="65">
        <f>'Standard Discounts'!F46</f>
        <v>0</v>
      </c>
      <c r="F285" s="68">
        <f>'Standard Discounts'!G46</f>
        <v>0</v>
      </c>
    </row>
    <row r="286" spans="1:6" x14ac:dyDescent="0.2">
      <c r="A286" s="152">
        <f>'Standard Discounts'!B47</f>
        <v>0</v>
      </c>
      <c r="B286" s="65">
        <f>'Standard Discounts'!C47</f>
        <v>0</v>
      </c>
      <c r="C286" s="65">
        <f>'Standard Discounts'!D47</f>
        <v>0</v>
      </c>
      <c r="D286" s="65">
        <f>'Standard Discounts'!E47</f>
        <v>0</v>
      </c>
      <c r="E286" s="65">
        <f>'Standard Discounts'!F47</f>
        <v>0</v>
      </c>
      <c r="F286" s="68">
        <f>'Standard Discounts'!G47</f>
        <v>0</v>
      </c>
    </row>
    <row r="287" spans="1:6" x14ac:dyDescent="0.2">
      <c r="A287" s="153">
        <f>'Standard Discounts'!B48</f>
        <v>0</v>
      </c>
      <c r="B287" s="154">
        <f>'Standard Discounts'!C48</f>
        <v>0</v>
      </c>
      <c r="C287" s="154">
        <f>'Standard Discounts'!D48</f>
        <v>0</v>
      </c>
      <c r="D287" s="154">
        <f>'Standard Discounts'!E48</f>
        <v>0</v>
      </c>
      <c r="E287" s="154">
        <f>'Standard Discounts'!F48</f>
        <v>0</v>
      </c>
      <c r="F287" s="155">
        <f>'Standard Discounts'!G48</f>
        <v>0</v>
      </c>
    </row>
    <row r="290" spans="1:12" x14ac:dyDescent="0.2">
      <c r="J290" s="35" t="s">
        <v>622</v>
      </c>
    </row>
    <row r="291" spans="1:12" x14ac:dyDescent="0.2">
      <c r="A291" s="151" t="str">
        <f>'Standard Discounts'!B52</f>
        <v>Federal Government</v>
      </c>
      <c r="B291" s="67" t="str">
        <f>'Standard Discounts'!C52</f>
        <v>NO</v>
      </c>
      <c r="C291" s="67">
        <f>'Standard Discounts'!D52</f>
        <v>0</v>
      </c>
      <c r="D291" s="67" t="str">
        <f>'Standard Discounts'!E52</f>
        <v>State Per Diem</v>
      </c>
      <c r="E291" s="67">
        <f>'Standard Discounts'!F52</f>
        <v>0</v>
      </c>
      <c r="F291" s="64" t="str">
        <f>'Standard Discounts'!G52</f>
        <v>YES</v>
      </c>
    </row>
    <row r="292" spans="1:12" x14ac:dyDescent="0.2">
      <c r="A292" s="152" t="str">
        <f>'Standard Discounts'!B53</f>
        <v>Room pools</v>
      </c>
      <c r="B292" s="65" t="str">
        <f>'Standard Discounts'!C53</f>
        <v>Standard</v>
      </c>
      <c r="C292" s="65">
        <f>'Standard Discounts'!D53</f>
        <v>0</v>
      </c>
      <c r="D292" s="65" t="str">
        <f>'Standard Discounts'!E53</f>
        <v>Room pools</v>
      </c>
      <c r="E292" s="65">
        <f>'Standard Discounts'!F53</f>
        <v>0</v>
      </c>
      <c r="F292" s="68" t="str">
        <f>'Standard Discounts'!G53</f>
        <v>Standard</v>
      </c>
    </row>
    <row r="293" spans="1:12" x14ac:dyDescent="0.2">
      <c r="A293" s="152" t="str">
        <f>'Standard Discounts'!B54</f>
        <v>Season</v>
      </c>
      <c r="B293" s="65" t="str">
        <f>'Standard Discounts'!C54</f>
        <v>Rate</v>
      </c>
      <c r="C293" s="65">
        <f>'Standard Discounts'!D54</f>
        <v>0</v>
      </c>
      <c r="D293" s="65" t="str">
        <f>'Standard Discounts'!E54</f>
        <v>Season</v>
      </c>
      <c r="E293" s="65">
        <f>'Standard Discounts'!F54</f>
        <v>0</v>
      </c>
      <c r="F293" s="68" t="str">
        <f>'Standard Discounts'!G54</f>
        <v>Rate</v>
      </c>
    </row>
    <row r="294" spans="1:12" x14ac:dyDescent="0.2">
      <c r="A294" s="152" t="str">
        <f>'Standard Discounts'!B55</f>
        <v>Season 1</v>
      </c>
      <c r="B294" s="65">
        <f>'Standard Discounts'!C55</f>
        <v>0</v>
      </c>
      <c r="C294" s="65">
        <f>'Standard Discounts'!D55</f>
        <v>0</v>
      </c>
      <c r="D294" s="65" t="str">
        <f>'Standard Discounts'!E55</f>
        <v>Season 1</v>
      </c>
      <c r="E294" s="65">
        <f>'Standard Discounts'!F55</f>
        <v>0</v>
      </c>
      <c r="F294" s="68">
        <f>'Standard Discounts'!G55</f>
        <v>0</v>
      </c>
    </row>
    <row r="295" spans="1:12" x14ac:dyDescent="0.2">
      <c r="A295" s="152" t="str">
        <f>'Standard Discounts'!B56</f>
        <v>Season 2</v>
      </c>
      <c r="B295" s="65">
        <f>'Standard Discounts'!C56</f>
        <v>0</v>
      </c>
      <c r="C295" s="65">
        <f>'Standard Discounts'!D56</f>
        <v>0</v>
      </c>
      <c r="D295" s="65" t="str">
        <f>'Standard Discounts'!E56</f>
        <v>Season 2</v>
      </c>
      <c r="E295" s="65">
        <f>'Standard Discounts'!F56</f>
        <v>0</v>
      </c>
      <c r="F295" s="68">
        <f>'Standard Discounts'!G56</f>
        <v>0</v>
      </c>
    </row>
    <row r="296" spans="1:12" x14ac:dyDescent="0.2">
      <c r="A296" s="152" t="str">
        <f>'Standard Discounts'!B57</f>
        <v>Season 3</v>
      </c>
      <c r="B296" s="65">
        <f>'Standard Discounts'!C57</f>
        <v>0</v>
      </c>
      <c r="C296" s="65">
        <f>'Standard Discounts'!D57</f>
        <v>0</v>
      </c>
      <c r="D296" s="65" t="str">
        <f>'Standard Discounts'!E57</f>
        <v>Season 3</v>
      </c>
      <c r="E296" s="65">
        <f>'Standard Discounts'!F57</f>
        <v>0</v>
      </c>
      <c r="F296" s="68">
        <f>'Standard Discounts'!G57</f>
        <v>0</v>
      </c>
    </row>
    <row r="297" spans="1:12" x14ac:dyDescent="0.2">
      <c r="A297" s="152" t="str">
        <f>'Standard Discounts'!B58</f>
        <v>Season 4</v>
      </c>
      <c r="B297" s="65">
        <f>'Standard Discounts'!C58</f>
        <v>0</v>
      </c>
      <c r="C297" s="65">
        <f>'Standard Discounts'!D58</f>
        <v>0</v>
      </c>
      <c r="D297" s="65" t="str">
        <f>'Standard Discounts'!E58</f>
        <v>Season 4</v>
      </c>
      <c r="E297" s="65">
        <f>'Standard Discounts'!F58</f>
        <v>0</v>
      </c>
      <c r="F297" s="68">
        <f>'Standard Discounts'!G58</f>
        <v>0</v>
      </c>
    </row>
    <row r="298" spans="1:12" x14ac:dyDescent="0.2">
      <c r="A298" s="152" t="str">
        <f>'Standard Discounts'!B59</f>
        <v>FOSSE Hotels: per diem rates must be built on all room pools at per diem level</v>
      </c>
      <c r="B298" s="65">
        <f>'Standard Discounts'!C59</f>
        <v>0</v>
      </c>
      <c r="C298" s="65">
        <f>'Standard Discounts'!D59</f>
        <v>0</v>
      </c>
      <c r="D298" s="65">
        <f>'Standard Discounts'!E59</f>
        <v>0</v>
      </c>
      <c r="E298" s="65">
        <f>'Standard Discounts'!F59</f>
        <v>0</v>
      </c>
      <c r="F298" s="68">
        <f>'Standard Discounts'!G59</f>
        <v>0</v>
      </c>
    </row>
    <row r="299" spans="1:12" x14ac:dyDescent="0.2">
      <c r="A299" s="153"/>
      <c r="B299" s="154"/>
      <c r="C299" s="154"/>
      <c r="D299" s="154"/>
      <c r="E299" s="154"/>
      <c r="F299" s="155"/>
    </row>
    <row r="301" spans="1:12" x14ac:dyDescent="0.2">
      <c r="A301" s="151"/>
      <c r="B301" s="67"/>
      <c r="C301" s="67"/>
      <c r="D301" s="67"/>
      <c r="E301" s="67"/>
      <c r="F301" s="67"/>
      <c r="G301" s="67"/>
      <c r="H301" s="67"/>
      <c r="I301" s="67"/>
      <c r="J301" s="67"/>
      <c r="K301" s="67"/>
      <c r="L301" s="64"/>
    </row>
    <row r="302" spans="1:12" x14ac:dyDescent="0.2">
      <c r="A302" s="190" t="str">
        <f>'Standard Discounts'!B63</f>
        <v>Additional Discount Rates</v>
      </c>
      <c r="B302" s="191"/>
      <c r="C302" s="192"/>
      <c r="D302" s="65"/>
      <c r="E302" s="65"/>
      <c r="F302" s="65"/>
      <c r="G302" s="65"/>
      <c r="H302" s="65"/>
      <c r="I302" s="65"/>
      <c r="J302" s="65"/>
      <c r="K302" s="65"/>
      <c r="L302" s="68"/>
    </row>
    <row r="303" spans="1:12" x14ac:dyDescent="0.2">
      <c r="A303" s="152"/>
      <c r="B303" s="65"/>
      <c r="C303" s="65" t="str">
        <f>'Standard Discounts'!D64</f>
        <v>Travel Industry Discount</v>
      </c>
      <c r="D303" s="65" t="str">
        <f>'Standard Discounts'!E64</f>
        <v>Marriott Senior Discount - 15% off Retail rate</v>
      </c>
      <c r="E303" s="65" t="str">
        <f>'Standard Discounts'!F64</f>
        <v>Marriott Business Rate</v>
      </c>
      <c r="F303" s="65" t="str">
        <f>'Standard Discounts'!G64</f>
        <v>VIP Athletic Rate</v>
      </c>
      <c r="G303" s="65" t="str">
        <f>'Standard Discounts'!H64</f>
        <v>Marriott
e-breaks</v>
      </c>
      <c r="H303" s="65" t="str">
        <f>'Standard Discounts'!I64</f>
        <v>Hotel Excellence Program (Fam-Tastic and Plan-Tastic)</v>
      </c>
      <c r="I303" s="65" t="str">
        <f>'Standard Discounts'!J64</f>
        <v>Quick Group</v>
      </c>
      <c r="J303" s="65" t="str">
        <f>'Standard Discounts'!K64</f>
        <v>Additional Rate 1</v>
      </c>
      <c r="K303" s="65" t="str">
        <f>'Standard Discounts'!L64</f>
        <v>Additional Rate 2</v>
      </c>
      <c r="L303" s="68" t="str">
        <f>'Standard Discounts'!M64</f>
        <v>Additional Rate 3</v>
      </c>
    </row>
    <row r="304" spans="1:12" x14ac:dyDescent="0.2">
      <c r="A304" s="152" t="str">
        <f>'Standard Discounts'!B65</f>
        <v>KING</v>
      </c>
      <c r="B304" s="65" t="str">
        <f>'Standard Discounts'!C65</f>
        <v>Standard</v>
      </c>
      <c r="C304" s="65">
        <f>'Standard Discounts'!D65</f>
        <v>0</v>
      </c>
      <c r="D304" s="65" t="str">
        <f>'Standard Discounts'!E65</f>
        <v>NO</v>
      </c>
      <c r="E304" s="65" t="str">
        <f>'Standard Discounts'!F65</f>
        <v>NO</v>
      </c>
      <c r="F304" s="65">
        <f>'Standard Discounts'!G65</f>
        <v>0</v>
      </c>
      <c r="G304" s="65" t="str">
        <f>'Standard Discounts'!H65</f>
        <v>NO</v>
      </c>
      <c r="H304" s="65" t="str">
        <f>'Standard Discounts'!I65</f>
        <v>NO</v>
      </c>
      <c r="I304" s="65" t="str">
        <f>'Standard Discounts'!J65</f>
        <v>NO</v>
      </c>
      <c r="J304" s="65">
        <f>'Standard Discounts'!K65</f>
        <v>0</v>
      </c>
      <c r="K304" s="65">
        <f>'Standard Discounts'!L65</f>
        <v>0</v>
      </c>
      <c r="L304" s="68">
        <f>'Standard Discounts'!M65</f>
        <v>0</v>
      </c>
    </row>
    <row r="305" spans="1:12" x14ac:dyDescent="0.2">
      <c r="A305" s="152" t="str">
        <f>'Standard Discounts'!B66</f>
        <v>DBDB</v>
      </c>
      <c r="B305" s="65" t="str">
        <f>'Standard Discounts'!C66</f>
        <v>Standard</v>
      </c>
      <c r="C305" s="65">
        <f>'Standard Discounts'!D66</f>
        <v>0</v>
      </c>
      <c r="D305" s="65" t="str">
        <f>'Standard Discounts'!E66</f>
        <v>NO</v>
      </c>
      <c r="E305" s="65" t="str">
        <f>'Standard Discounts'!F66</f>
        <v>NO</v>
      </c>
      <c r="F305" s="65">
        <f>'Standard Discounts'!G66</f>
        <v>0</v>
      </c>
      <c r="G305" s="65" t="str">
        <f>'Standard Discounts'!H66</f>
        <v>NO</v>
      </c>
      <c r="H305" s="65" t="str">
        <f>'Standard Discounts'!I66</f>
        <v>NO</v>
      </c>
      <c r="I305" s="65" t="str">
        <f>'Standard Discounts'!J66</f>
        <v>NO</v>
      </c>
      <c r="J305" s="65">
        <f>'Standard Discounts'!K66</f>
        <v>0</v>
      </c>
      <c r="K305" s="65">
        <f>'Standard Discounts'!L66</f>
        <v>0</v>
      </c>
      <c r="L305" s="68">
        <f>'Standard Discounts'!M66</f>
        <v>0</v>
      </c>
    </row>
    <row r="306" spans="1:12" x14ac:dyDescent="0.2">
      <c r="A306" s="152" t="str">
        <f>'Standard Discounts'!B67</f>
        <v>PMRS</v>
      </c>
      <c r="B306" s="65" t="str">
        <f>'Standard Discounts'!C67</f>
        <v>Standard</v>
      </c>
      <c r="C306" s="65">
        <f>'Standard Discounts'!D67</f>
        <v>0</v>
      </c>
      <c r="D306" s="65" t="str">
        <f>'Standard Discounts'!E67</f>
        <v>NO</v>
      </c>
      <c r="E306" s="65" t="str">
        <f>'Standard Discounts'!F67</f>
        <v>NO</v>
      </c>
      <c r="F306" s="65">
        <f>'Standard Discounts'!G67</f>
        <v>0</v>
      </c>
      <c r="G306" s="65" t="str">
        <f>'Standard Discounts'!H67</f>
        <v>NO</v>
      </c>
      <c r="H306" s="65" t="str">
        <f>'Standard Discounts'!I67</f>
        <v>NO</v>
      </c>
      <c r="I306" s="65" t="str">
        <f>'Standard Discounts'!J67</f>
        <v>NO</v>
      </c>
      <c r="J306" s="65">
        <f>'Standard Discounts'!K67</f>
        <v>0</v>
      </c>
      <c r="K306" s="65">
        <f>'Standard Discounts'!L67</f>
        <v>0</v>
      </c>
      <c r="L306" s="68">
        <f>'Standard Discounts'!M67</f>
        <v>0</v>
      </c>
    </row>
    <row r="307" spans="1:12" x14ac:dyDescent="0.2">
      <c r="A307" s="152" t="str">
        <f>'Standard Discounts'!B68</f>
        <v>PMRS</v>
      </c>
      <c r="B307" s="65" t="str">
        <f>'Standard Discounts'!C68</f>
        <v>Standard</v>
      </c>
      <c r="C307" s="65">
        <f>'Standard Discounts'!D68</f>
        <v>0</v>
      </c>
      <c r="D307" s="65" t="str">
        <f>'Standard Discounts'!E68</f>
        <v>NO</v>
      </c>
      <c r="E307" s="65" t="str">
        <f>'Standard Discounts'!F68</f>
        <v>NO</v>
      </c>
      <c r="F307" s="65">
        <f>'Standard Discounts'!G68</f>
        <v>0</v>
      </c>
      <c r="G307" s="65" t="str">
        <f>'Standard Discounts'!H68</f>
        <v>NO</v>
      </c>
      <c r="H307" s="65" t="str">
        <f>'Standard Discounts'!I68</f>
        <v>NO</v>
      </c>
      <c r="I307" s="65" t="str">
        <f>'Standard Discounts'!J68</f>
        <v>NO</v>
      </c>
      <c r="J307" s="65">
        <f>'Standard Discounts'!K68</f>
        <v>0</v>
      </c>
      <c r="K307" s="65">
        <f>'Standard Discounts'!L68</f>
        <v>0</v>
      </c>
      <c r="L307" s="68">
        <f>'Standard Discounts'!M68</f>
        <v>0</v>
      </c>
    </row>
    <row r="308" spans="1:12" x14ac:dyDescent="0.2">
      <c r="A308" s="152">
        <f>'Standard Discounts'!B69</f>
        <v>0</v>
      </c>
      <c r="B308" s="65">
        <f>'Standard Discounts'!C69</f>
        <v>0</v>
      </c>
      <c r="C308" s="65">
        <f>'Standard Discounts'!D69</f>
        <v>0</v>
      </c>
      <c r="D308" s="65" t="str">
        <f>'Standard Discounts'!E69</f>
        <v/>
      </c>
      <c r="E308" s="65" t="str">
        <f>'Standard Discounts'!F69</f>
        <v/>
      </c>
      <c r="F308" s="65">
        <f>'Standard Discounts'!G69</f>
        <v>0</v>
      </c>
      <c r="G308" s="65" t="str">
        <f>'Standard Discounts'!H69</f>
        <v/>
      </c>
      <c r="H308" s="65" t="str">
        <f>'Standard Discounts'!I69</f>
        <v/>
      </c>
      <c r="I308" s="65" t="str">
        <f>'Standard Discounts'!J69</f>
        <v/>
      </c>
      <c r="J308" s="65">
        <f>'Standard Discounts'!K69</f>
        <v>0</v>
      </c>
      <c r="K308" s="65">
        <f>'Standard Discounts'!L69</f>
        <v>0</v>
      </c>
      <c r="L308" s="68">
        <f>'Standard Discounts'!M69</f>
        <v>0</v>
      </c>
    </row>
    <row r="309" spans="1:12" x14ac:dyDescent="0.2">
      <c r="A309" s="152">
        <f>'Standard Discounts'!B70</f>
        <v>0</v>
      </c>
      <c r="B309" s="65">
        <f>'Standard Discounts'!C70</f>
        <v>0</v>
      </c>
      <c r="C309" s="65">
        <f>'Standard Discounts'!D70</f>
        <v>0</v>
      </c>
      <c r="D309" s="65" t="str">
        <f>'Standard Discounts'!E70</f>
        <v/>
      </c>
      <c r="E309" s="65" t="str">
        <f>'Standard Discounts'!F70</f>
        <v/>
      </c>
      <c r="F309" s="65">
        <f>'Standard Discounts'!G70</f>
        <v>0</v>
      </c>
      <c r="G309" s="65" t="str">
        <f>'Standard Discounts'!H70</f>
        <v/>
      </c>
      <c r="H309" s="65" t="str">
        <f>'Standard Discounts'!I70</f>
        <v/>
      </c>
      <c r="I309" s="65" t="str">
        <f>'Standard Discounts'!J70</f>
        <v/>
      </c>
      <c r="J309" s="65">
        <f>'Standard Discounts'!K70</f>
        <v>0</v>
      </c>
      <c r="K309" s="65">
        <f>'Standard Discounts'!L70</f>
        <v>0</v>
      </c>
      <c r="L309" s="68">
        <f>'Standard Discounts'!M70</f>
        <v>0</v>
      </c>
    </row>
    <row r="310" spans="1:12" x14ac:dyDescent="0.2">
      <c r="A310" s="152">
        <f>'Standard Discounts'!B71</f>
        <v>0</v>
      </c>
      <c r="B310" s="65">
        <f>'Standard Discounts'!C71</f>
        <v>0</v>
      </c>
      <c r="C310" s="65">
        <f>'Standard Discounts'!D71</f>
        <v>0</v>
      </c>
      <c r="D310" s="65" t="str">
        <f>'Standard Discounts'!E71</f>
        <v/>
      </c>
      <c r="E310" s="65" t="str">
        <f>'Standard Discounts'!F71</f>
        <v/>
      </c>
      <c r="F310" s="65">
        <f>'Standard Discounts'!G71</f>
        <v>0</v>
      </c>
      <c r="G310" s="65" t="str">
        <f>'Standard Discounts'!H71</f>
        <v/>
      </c>
      <c r="H310" s="65" t="str">
        <f>'Standard Discounts'!I71</f>
        <v/>
      </c>
      <c r="I310" s="65" t="str">
        <f>'Standard Discounts'!J71</f>
        <v/>
      </c>
      <c r="J310" s="65">
        <f>'Standard Discounts'!K71</f>
        <v>0</v>
      </c>
      <c r="K310" s="65">
        <f>'Standard Discounts'!L71</f>
        <v>0</v>
      </c>
      <c r="L310" s="68">
        <f>'Standard Discounts'!M71</f>
        <v>0</v>
      </c>
    </row>
    <row r="311" spans="1:12" x14ac:dyDescent="0.2">
      <c r="A311" s="152">
        <f>'Standard Discounts'!B72</f>
        <v>0</v>
      </c>
      <c r="B311" s="65">
        <f>'Standard Discounts'!C72</f>
        <v>0</v>
      </c>
      <c r="C311" s="65">
        <f>'Standard Discounts'!D72</f>
        <v>0</v>
      </c>
      <c r="D311" s="65" t="str">
        <f>'Standard Discounts'!E72</f>
        <v/>
      </c>
      <c r="E311" s="65" t="str">
        <f>'Standard Discounts'!F72</f>
        <v/>
      </c>
      <c r="F311" s="65">
        <f>'Standard Discounts'!G72</f>
        <v>0</v>
      </c>
      <c r="G311" s="65" t="str">
        <f>'Standard Discounts'!H72</f>
        <v/>
      </c>
      <c r="H311" s="65" t="str">
        <f>'Standard Discounts'!I72</f>
        <v/>
      </c>
      <c r="I311" s="65" t="str">
        <f>'Standard Discounts'!J72</f>
        <v/>
      </c>
      <c r="J311" s="65">
        <f>'Standard Discounts'!K72</f>
        <v>0</v>
      </c>
      <c r="K311" s="65">
        <f>'Standard Discounts'!L72</f>
        <v>0</v>
      </c>
      <c r="L311" s="68">
        <f>'Standard Discounts'!M72</f>
        <v>0</v>
      </c>
    </row>
    <row r="312" spans="1:12" x14ac:dyDescent="0.2">
      <c r="A312" s="152">
        <f>'Standard Discounts'!B73</f>
        <v>0</v>
      </c>
      <c r="B312" s="65">
        <f>'Standard Discounts'!C73</f>
        <v>0</v>
      </c>
      <c r="C312" s="65">
        <f>'Standard Discounts'!D73</f>
        <v>0</v>
      </c>
      <c r="D312" s="65" t="str">
        <f>'Standard Discounts'!E73</f>
        <v/>
      </c>
      <c r="E312" s="65" t="str">
        <f>'Standard Discounts'!F73</f>
        <v/>
      </c>
      <c r="F312" s="65">
        <f>'Standard Discounts'!G73</f>
        <v>0</v>
      </c>
      <c r="G312" s="65" t="str">
        <f>'Standard Discounts'!H73</f>
        <v/>
      </c>
      <c r="H312" s="65" t="str">
        <f>'Standard Discounts'!I73</f>
        <v/>
      </c>
      <c r="I312" s="65" t="str">
        <f>'Standard Discounts'!J73</f>
        <v/>
      </c>
      <c r="J312" s="65">
        <f>'Standard Discounts'!K73</f>
        <v>0</v>
      </c>
      <c r="K312" s="65">
        <f>'Standard Discounts'!L73</f>
        <v>0</v>
      </c>
      <c r="L312" s="68">
        <f>'Standard Discounts'!M73</f>
        <v>0</v>
      </c>
    </row>
    <row r="313" spans="1:12" x14ac:dyDescent="0.2">
      <c r="A313" s="152">
        <f>'Standard Discounts'!B74</f>
        <v>0</v>
      </c>
      <c r="B313" s="65">
        <f>'Standard Discounts'!C74</f>
        <v>0</v>
      </c>
      <c r="C313" s="65">
        <f>'Standard Discounts'!D74</f>
        <v>0</v>
      </c>
      <c r="D313" s="65" t="str">
        <f>'Standard Discounts'!E74</f>
        <v/>
      </c>
      <c r="E313" s="65" t="str">
        <f>'Standard Discounts'!F74</f>
        <v/>
      </c>
      <c r="F313" s="65">
        <f>'Standard Discounts'!G74</f>
        <v>0</v>
      </c>
      <c r="G313" s="65" t="str">
        <f>'Standard Discounts'!H74</f>
        <v/>
      </c>
      <c r="H313" s="65" t="str">
        <f>'Standard Discounts'!I74</f>
        <v/>
      </c>
      <c r="I313" s="65" t="str">
        <f>'Standard Discounts'!J74</f>
        <v/>
      </c>
      <c r="J313" s="65">
        <f>'Standard Discounts'!K74</f>
        <v>0</v>
      </c>
      <c r="K313" s="65">
        <f>'Standard Discounts'!L74</f>
        <v>0</v>
      </c>
      <c r="L313" s="68">
        <f>'Standard Discounts'!M74</f>
        <v>0</v>
      </c>
    </row>
    <row r="314" spans="1:12" x14ac:dyDescent="0.2">
      <c r="A314" s="152">
        <f>'Standard Discounts'!B75</f>
        <v>0</v>
      </c>
      <c r="B314" s="65">
        <f>'Standard Discounts'!C75</f>
        <v>0</v>
      </c>
      <c r="C314" s="65">
        <f>'Standard Discounts'!D75</f>
        <v>0</v>
      </c>
      <c r="D314" s="65" t="str">
        <f>'Standard Discounts'!E75</f>
        <v/>
      </c>
      <c r="E314" s="65" t="str">
        <f>'Standard Discounts'!F75</f>
        <v/>
      </c>
      <c r="F314" s="65">
        <f>'Standard Discounts'!G75</f>
        <v>0</v>
      </c>
      <c r="G314" s="65" t="str">
        <f>'Standard Discounts'!H75</f>
        <v/>
      </c>
      <c r="H314" s="65" t="str">
        <f>'Standard Discounts'!I75</f>
        <v/>
      </c>
      <c r="I314" s="65" t="str">
        <f>'Standard Discounts'!J75</f>
        <v/>
      </c>
      <c r="J314" s="65">
        <f>'Standard Discounts'!K75</f>
        <v>0</v>
      </c>
      <c r="K314" s="65">
        <f>'Standard Discounts'!L75</f>
        <v>0</v>
      </c>
      <c r="L314" s="68">
        <f>'Standard Discounts'!M75</f>
        <v>0</v>
      </c>
    </row>
    <row r="315" spans="1:12" x14ac:dyDescent="0.2">
      <c r="A315" s="152">
        <f>'Standard Discounts'!B76</f>
        <v>0</v>
      </c>
      <c r="B315" s="65">
        <f>'Standard Discounts'!C76</f>
        <v>0</v>
      </c>
      <c r="C315" s="65">
        <f>'Standard Discounts'!D76</f>
        <v>0</v>
      </c>
      <c r="D315" s="65" t="str">
        <f>'Standard Discounts'!E76</f>
        <v/>
      </c>
      <c r="E315" s="65" t="str">
        <f>'Standard Discounts'!F76</f>
        <v/>
      </c>
      <c r="F315" s="65">
        <f>'Standard Discounts'!G76</f>
        <v>0</v>
      </c>
      <c r="G315" s="65" t="str">
        <f>'Standard Discounts'!H76</f>
        <v/>
      </c>
      <c r="H315" s="65" t="str">
        <f>'Standard Discounts'!I76</f>
        <v/>
      </c>
      <c r="I315" s="65" t="str">
        <f>'Standard Discounts'!J76</f>
        <v/>
      </c>
      <c r="J315" s="65">
        <f>'Standard Discounts'!K76</f>
        <v>0</v>
      </c>
      <c r="K315" s="65">
        <f>'Standard Discounts'!L76</f>
        <v>0</v>
      </c>
      <c r="L315" s="68">
        <f>'Standard Discounts'!M76</f>
        <v>0</v>
      </c>
    </row>
    <row r="316" spans="1:12" x14ac:dyDescent="0.2">
      <c r="A316" s="152">
        <f>'Standard Discounts'!B77</f>
        <v>0</v>
      </c>
      <c r="B316" s="65">
        <f>'Standard Discounts'!C77</f>
        <v>0</v>
      </c>
      <c r="C316" s="65">
        <f>'Standard Discounts'!D77</f>
        <v>0</v>
      </c>
      <c r="D316" s="65" t="str">
        <f>'Standard Discounts'!E77</f>
        <v/>
      </c>
      <c r="E316" s="65" t="str">
        <f>'Standard Discounts'!F77</f>
        <v/>
      </c>
      <c r="F316" s="65">
        <f>'Standard Discounts'!G77</f>
        <v>0</v>
      </c>
      <c r="G316" s="65" t="str">
        <f>'Standard Discounts'!H77</f>
        <v/>
      </c>
      <c r="H316" s="65" t="str">
        <f>'Standard Discounts'!I77</f>
        <v/>
      </c>
      <c r="I316" s="65" t="str">
        <f>'Standard Discounts'!J77</f>
        <v/>
      </c>
      <c r="J316" s="65">
        <f>'Standard Discounts'!K77</f>
        <v>0</v>
      </c>
      <c r="K316" s="65">
        <f>'Standard Discounts'!L77</f>
        <v>0</v>
      </c>
      <c r="L316" s="68">
        <f>'Standard Discounts'!M77</f>
        <v>0</v>
      </c>
    </row>
    <row r="317" spans="1:12" x14ac:dyDescent="0.2">
      <c r="A317" s="152">
        <f>'Standard Discounts'!B78</f>
        <v>0</v>
      </c>
      <c r="B317" s="65">
        <f>'Standard Discounts'!C78</f>
        <v>0</v>
      </c>
      <c r="C317" s="65">
        <f>'Standard Discounts'!D78</f>
        <v>0</v>
      </c>
      <c r="D317" s="65" t="str">
        <f>'Standard Discounts'!E78</f>
        <v/>
      </c>
      <c r="E317" s="65" t="str">
        <f>'Standard Discounts'!F78</f>
        <v/>
      </c>
      <c r="F317" s="65">
        <f>'Standard Discounts'!G78</f>
        <v>0</v>
      </c>
      <c r="G317" s="65" t="str">
        <f>'Standard Discounts'!H78</f>
        <v/>
      </c>
      <c r="H317" s="65" t="str">
        <f>'Standard Discounts'!I78</f>
        <v/>
      </c>
      <c r="I317" s="65" t="str">
        <f>'Standard Discounts'!J78</f>
        <v/>
      </c>
      <c r="J317" s="65">
        <f>'Standard Discounts'!K78</f>
        <v>0</v>
      </c>
      <c r="K317" s="65">
        <f>'Standard Discounts'!L78</f>
        <v>0</v>
      </c>
      <c r="L317" s="68">
        <f>'Standard Discounts'!M78</f>
        <v>0</v>
      </c>
    </row>
    <row r="318" spans="1:12" x14ac:dyDescent="0.2">
      <c r="A318" s="152">
        <f>'Standard Discounts'!B79</f>
        <v>0</v>
      </c>
      <c r="B318" s="65">
        <f>'Standard Discounts'!C79</f>
        <v>0</v>
      </c>
      <c r="C318" s="65">
        <f>'Standard Discounts'!D79</f>
        <v>0</v>
      </c>
      <c r="D318" s="65" t="str">
        <f>'Standard Discounts'!E79</f>
        <v/>
      </c>
      <c r="E318" s="65" t="str">
        <f>'Standard Discounts'!F79</f>
        <v/>
      </c>
      <c r="F318" s="65">
        <f>'Standard Discounts'!G79</f>
        <v>0</v>
      </c>
      <c r="G318" s="65" t="str">
        <f>'Standard Discounts'!H79</f>
        <v/>
      </c>
      <c r="H318" s="65" t="str">
        <f>'Standard Discounts'!I79</f>
        <v/>
      </c>
      <c r="I318" s="65" t="str">
        <f>'Standard Discounts'!J79</f>
        <v/>
      </c>
      <c r="J318" s="65">
        <f>'Standard Discounts'!K79</f>
        <v>0</v>
      </c>
      <c r="K318" s="65">
        <f>'Standard Discounts'!L79</f>
        <v>0</v>
      </c>
      <c r="L318" s="68">
        <f>'Standard Discounts'!M79</f>
        <v>0</v>
      </c>
    </row>
    <row r="319" spans="1:12" x14ac:dyDescent="0.2">
      <c r="A319" s="152">
        <f>'Standard Discounts'!B80</f>
        <v>0</v>
      </c>
      <c r="B319" s="65">
        <f>'Standard Discounts'!C80</f>
        <v>0</v>
      </c>
      <c r="C319" s="65">
        <f>'Standard Discounts'!D80</f>
        <v>0</v>
      </c>
      <c r="D319" s="65" t="str">
        <f>'Standard Discounts'!E80</f>
        <v/>
      </c>
      <c r="E319" s="65" t="str">
        <f>'Standard Discounts'!F80</f>
        <v/>
      </c>
      <c r="F319" s="65">
        <f>'Standard Discounts'!G80</f>
        <v>0</v>
      </c>
      <c r="G319" s="65" t="str">
        <f>'Standard Discounts'!H80</f>
        <v/>
      </c>
      <c r="H319" s="65" t="str">
        <f>'Standard Discounts'!I80</f>
        <v/>
      </c>
      <c r="I319" s="65" t="str">
        <f>'Standard Discounts'!J80</f>
        <v/>
      </c>
      <c r="J319" s="65">
        <f>'Standard Discounts'!K80</f>
        <v>0</v>
      </c>
      <c r="K319" s="65">
        <f>'Standard Discounts'!L80</f>
        <v>0</v>
      </c>
      <c r="L319" s="68">
        <f>'Standard Discounts'!M80</f>
        <v>0</v>
      </c>
    </row>
    <row r="320" spans="1:12" x14ac:dyDescent="0.2">
      <c r="A320" s="153" t="str">
        <f>'Standard Discounts'!B81</f>
        <v>Notes / Comments (please include rate category)</v>
      </c>
      <c r="B320" s="154">
        <f>'Standard Discounts'!C81</f>
        <v>0</v>
      </c>
      <c r="C320" s="154">
        <f>'Standard Discounts'!D81</f>
        <v>0</v>
      </c>
      <c r="D320" s="154">
        <f>'Standard Discounts'!E81</f>
        <v>0</v>
      </c>
      <c r="E320" s="154">
        <f>'Standard Discounts'!F81</f>
        <v>0</v>
      </c>
      <c r="F320" s="154">
        <f>'Standard Discounts'!G81</f>
        <v>0</v>
      </c>
      <c r="G320" s="154">
        <f>'Standard Discounts'!H81</f>
        <v>0</v>
      </c>
      <c r="H320" s="154">
        <f>'Standard Discounts'!I81</f>
        <v>0</v>
      </c>
      <c r="I320" s="154">
        <f>'Standard Discounts'!J81</f>
        <v>0</v>
      </c>
      <c r="J320" s="154">
        <f>'Standard Discounts'!K81</f>
        <v>0</v>
      </c>
      <c r="K320" s="154">
        <f>'Standard Discounts'!L81</f>
        <v>0</v>
      </c>
      <c r="L320" s="155">
        <f>'Standard Discounts'!M81</f>
        <v>0</v>
      </c>
    </row>
    <row r="322" spans="1:16" x14ac:dyDescent="0.2">
      <c r="A322" s="157" t="s">
        <v>498</v>
      </c>
      <c r="B322" s="67"/>
      <c r="C322" s="67"/>
      <c r="D322" s="67"/>
      <c r="E322" s="67"/>
      <c r="F322" s="67"/>
      <c r="G322" s="67"/>
      <c r="H322" s="67"/>
      <c r="I322" s="67"/>
      <c r="J322" s="67"/>
      <c r="K322" s="67"/>
      <c r="L322" s="67"/>
      <c r="M322" s="67"/>
      <c r="N322" s="67"/>
      <c r="O322" s="67"/>
      <c r="P322" s="64"/>
    </row>
    <row r="323" spans="1:16" x14ac:dyDescent="0.2">
      <c r="A323" s="152"/>
      <c r="B323" s="65"/>
      <c r="C323" s="65" t="str">
        <f>'E-Channels'!D4</f>
        <v>Unbundled Rates</v>
      </c>
      <c r="D323" s="65"/>
      <c r="E323" s="65"/>
      <c r="F323" s="65"/>
      <c r="G323" s="65" t="str">
        <f>'E-Channels'!H4</f>
        <v>Bundled
(off retail)</v>
      </c>
      <c r="H323" s="65" t="str">
        <f>'E-Channels'!I4</f>
        <v>Dynamic Wholesale Rates</v>
      </c>
      <c r="I323" s="65"/>
      <c r="J323" s="65"/>
      <c r="K323" s="65"/>
      <c r="L323" s="65">
        <f>'E-Channels'!N4</f>
        <v>0</v>
      </c>
      <c r="M323" s="65"/>
      <c r="N323" s="65"/>
      <c r="O323" s="65"/>
      <c r="P323" s="68"/>
    </row>
    <row r="324" spans="1:16" x14ac:dyDescent="0.2">
      <c r="A324" s="152"/>
      <c r="B324" s="65"/>
      <c r="C324" s="65" t="str">
        <f>'E-Channels'!D5</f>
        <v>Retail</v>
      </c>
      <c r="D324" s="65" t="str">
        <f>'E-Channels'!E5</f>
        <v>Advance Purchase</v>
      </c>
      <c r="E324" s="65" t="str">
        <f>'E-Channels'!F5</f>
        <v>Breakfast for one / Stay for Breakfast</v>
      </c>
      <c r="F324" s="65" t="str">
        <f>'E-Channels'!G5</f>
        <v>Packages</v>
      </c>
      <c r="G324" s="65">
        <f>'E-Channels'!H5</f>
        <v>0</v>
      </c>
      <c r="H324" s="65" t="str">
        <f>'E-Channels'!I5</f>
        <v>Tour Operatory Dynamic</v>
      </c>
      <c r="I324" s="65" t="str">
        <f>'E-Channels'!J5</f>
        <v>Receptive Operator Dynamic</v>
      </c>
      <c r="J324" s="65" t="str">
        <f>'E-Channels'!K5</f>
        <v>Dynamic Leisure Program</v>
      </c>
      <c r="K324" s="65" t="str">
        <f>'E-Channels'!M5</f>
        <v>Lowest Pricepoint to load</v>
      </c>
      <c r="L324" s="65" t="str">
        <f>'E-Channels'!L7</f>
        <v>Five pricepoints will be loaded from the lowest indicate pricepoint upwards</v>
      </c>
      <c r="M324" s="65">
        <f>'E-Channels'!M7</f>
        <v>0</v>
      </c>
      <c r="N324" s="65">
        <f>'E-Channels'!N7</f>
        <v>0</v>
      </c>
      <c r="O324" s="65">
        <f>'E-Channels'!O7</f>
        <v>0</v>
      </c>
      <c r="P324" s="68" t="str">
        <f>'E-Channels'!N5</f>
        <v>Currency</v>
      </c>
    </row>
    <row r="325" spans="1:16" x14ac:dyDescent="0.2">
      <c r="A325" s="152" t="str">
        <f>'E-Channels'!B6</f>
        <v>KING</v>
      </c>
      <c r="B325" s="65" t="str">
        <f>'E-Channels'!C6</f>
        <v>Standard</v>
      </c>
      <c r="C325" s="65" t="str">
        <f>'E-Channels'!D6</f>
        <v>YES</v>
      </c>
      <c r="D325" s="65">
        <f>'E-Channels'!E6</f>
        <v>0</v>
      </c>
      <c r="E325" s="65" t="str">
        <f>'E-Channels'!F6</f>
        <v>Yes</v>
      </c>
      <c r="F325" s="65">
        <f>'E-Channels'!G6</f>
        <v>0</v>
      </c>
      <c r="G325" s="65">
        <f>'E-Channels'!H6</f>
        <v>0</v>
      </c>
      <c r="H325" s="65">
        <f>'E-Channels'!I6</f>
        <v>0</v>
      </c>
      <c r="I325" s="65">
        <f>'E-Channels'!J6</f>
        <v>0</v>
      </c>
      <c r="J325" s="65">
        <f>'E-Channels'!K6</f>
        <v>0</v>
      </c>
      <c r="K325" s="477">
        <f>'E-Channels'!M6</f>
        <v>0</v>
      </c>
      <c r="L325" s="477">
        <f>'E-Channels'!L6</f>
        <v>0</v>
      </c>
      <c r="M325" s="65">
        <f>'E-Channels'!O6</f>
        <v>0</v>
      </c>
      <c r="N325" s="65">
        <f>'E-Channels'!P6</f>
        <v>0</v>
      </c>
      <c r="O325" s="65">
        <f>'E-Channels'!L6</f>
        <v>0</v>
      </c>
      <c r="P325" s="68">
        <f>'E-Channels'!N6</f>
        <v>0</v>
      </c>
    </row>
    <row r="326" spans="1:16" x14ac:dyDescent="0.2">
      <c r="A326" s="152" t="str">
        <f>'E-Channels'!B7</f>
        <v>DBDB</v>
      </c>
      <c r="B326" s="65" t="str">
        <f>'E-Channels'!C7</f>
        <v>Standard</v>
      </c>
      <c r="C326" s="65" t="str">
        <f>'E-Channels'!D7</f>
        <v>YES</v>
      </c>
      <c r="D326" s="65" t="str">
        <f>'E-Channels'!E7</f>
        <v>NO</v>
      </c>
      <c r="E326" s="65" t="str">
        <f>'E-Channels'!F7</f>
        <v>YES</v>
      </c>
      <c r="F326" s="65">
        <f>'E-Channels'!G7</f>
        <v>0</v>
      </c>
      <c r="G326" s="65">
        <f>'E-Channels'!H7</f>
        <v>0</v>
      </c>
      <c r="H326" s="65">
        <f>'E-Channels'!I7</f>
        <v>0</v>
      </c>
      <c r="I326" s="65">
        <f>'E-Channels'!J7</f>
        <v>0</v>
      </c>
      <c r="J326" s="65">
        <f>'E-Channels'!K7</f>
        <v>0</v>
      </c>
      <c r="K326" s="477">
        <f>'E-Channels'!M7</f>
        <v>0</v>
      </c>
      <c r="L326" s="65">
        <f>'E-Channels'!L8</f>
        <v>0</v>
      </c>
      <c r="M326" s="65">
        <f>'E-Channels'!O7</f>
        <v>0</v>
      </c>
      <c r="N326" s="65">
        <f>'E-Channels'!P7</f>
        <v>0</v>
      </c>
      <c r="O326" s="65">
        <f>'E-Channels'!M6</f>
        <v>0</v>
      </c>
      <c r="P326" s="68">
        <f>'E-Channels'!R7</f>
        <v>0</v>
      </c>
    </row>
    <row r="327" spans="1:16" x14ac:dyDescent="0.2">
      <c r="A327" s="152" t="str">
        <f>'E-Channels'!B8</f>
        <v>PMRS</v>
      </c>
      <c r="B327" s="65" t="str">
        <f>'E-Channels'!C8</f>
        <v>Standard</v>
      </c>
      <c r="C327" s="65" t="str">
        <f>'E-Channels'!D8</f>
        <v>YES</v>
      </c>
      <c r="D327" s="65" t="str">
        <f>'E-Channels'!E8</f>
        <v>NO</v>
      </c>
      <c r="E327" s="65" t="str">
        <f>'E-Channels'!F8</f>
        <v>YES</v>
      </c>
      <c r="F327" s="65">
        <f>'E-Channels'!G8</f>
        <v>0</v>
      </c>
      <c r="G327" s="65">
        <f>'E-Channels'!H8</f>
        <v>0</v>
      </c>
      <c r="H327" s="65">
        <f>'E-Channels'!I8</f>
        <v>0</v>
      </c>
      <c r="I327" s="65">
        <f>'E-Channels'!J8</f>
        <v>0</v>
      </c>
      <c r="J327" s="65">
        <f>'E-Channels'!K8</f>
        <v>0</v>
      </c>
      <c r="K327" s="65">
        <f>'E-Channels'!M8</f>
        <v>0</v>
      </c>
      <c r="L327" s="65">
        <f>'E-Channels'!L9</f>
        <v>0</v>
      </c>
      <c r="M327" s="65">
        <f>'E-Channels'!O8</f>
        <v>0</v>
      </c>
      <c r="N327" s="65">
        <f>'E-Channels'!P8</f>
        <v>0</v>
      </c>
      <c r="O327" s="65">
        <f>'E-Channels'!Q8</f>
        <v>0</v>
      </c>
      <c r="P327" s="68">
        <f>'E-Channels'!R8</f>
        <v>0</v>
      </c>
    </row>
    <row r="328" spans="1:16" x14ac:dyDescent="0.2">
      <c r="A328" s="152" t="str">
        <f>'E-Channels'!B9</f>
        <v>PMRS</v>
      </c>
      <c r="B328" s="65" t="str">
        <f>'E-Channels'!C9</f>
        <v>Standard</v>
      </c>
      <c r="C328" s="65" t="str">
        <f>'E-Channels'!D9</f>
        <v>YES</v>
      </c>
      <c r="D328" s="65" t="str">
        <f>'E-Channels'!E9</f>
        <v>NO</v>
      </c>
      <c r="E328" s="65" t="str">
        <f>'E-Channels'!F9</f>
        <v>YES</v>
      </c>
      <c r="F328" s="65">
        <f>'E-Channels'!G9</f>
        <v>0</v>
      </c>
      <c r="G328" s="65">
        <f>'E-Channels'!H9</f>
        <v>0</v>
      </c>
      <c r="H328" s="65">
        <f>'E-Channels'!I9</f>
        <v>0</v>
      </c>
      <c r="I328" s="65">
        <f>'E-Channels'!J9</f>
        <v>0</v>
      </c>
      <c r="J328" s="65">
        <f>'E-Channels'!K9</f>
        <v>0</v>
      </c>
      <c r="K328" s="65">
        <f>'E-Channels'!M9</f>
        <v>0</v>
      </c>
      <c r="L328" s="65">
        <f>'E-Channels'!N9</f>
        <v>0</v>
      </c>
      <c r="M328" s="65">
        <f>'E-Channels'!O9</f>
        <v>0</v>
      </c>
      <c r="N328" s="65">
        <f>'E-Channels'!P9</f>
        <v>0</v>
      </c>
      <c r="O328" s="65">
        <f>'E-Channels'!Q9</f>
        <v>0</v>
      </c>
      <c r="P328" s="68">
        <f>'E-Channels'!R9</f>
        <v>0</v>
      </c>
    </row>
    <row r="329" spans="1:16" x14ac:dyDescent="0.2">
      <c r="A329" s="152">
        <f>'E-Channels'!B10</f>
        <v>0</v>
      </c>
      <c r="B329" s="65">
        <f>'E-Channels'!C10</f>
        <v>0</v>
      </c>
      <c r="C329" s="65" t="str">
        <f>'E-Channels'!D10</f>
        <v/>
      </c>
      <c r="D329" s="65" t="str">
        <f>'E-Channels'!E10</f>
        <v/>
      </c>
      <c r="E329" s="65" t="str">
        <f>'E-Channels'!F10</f>
        <v/>
      </c>
      <c r="F329" s="65">
        <f>'E-Channels'!G10</f>
        <v>0</v>
      </c>
      <c r="G329" s="65">
        <f>'E-Channels'!H10</f>
        <v>0</v>
      </c>
      <c r="H329" s="65">
        <f>'E-Channels'!I10</f>
        <v>0</v>
      </c>
      <c r="I329" s="65">
        <f>'E-Channels'!J10</f>
        <v>0</v>
      </c>
      <c r="J329" s="65">
        <f>'E-Channels'!K10</f>
        <v>0</v>
      </c>
      <c r="K329" s="65">
        <f>'E-Channels'!M10</f>
        <v>0</v>
      </c>
      <c r="L329" s="65">
        <f>'E-Channels'!N10</f>
        <v>0</v>
      </c>
      <c r="M329" s="65">
        <f>'E-Channels'!O10</f>
        <v>0</v>
      </c>
      <c r="N329" s="65">
        <f>'E-Channels'!P10</f>
        <v>0</v>
      </c>
      <c r="O329" s="65">
        <f>'E-Channels'!Q10</f>
        <v>0</v>
      </c>
      <c r="P329" s="68">
        <f>'E-Channels'!R10</f>
        <v>0</v>
      </c>
    </row>
    <row r="330" spans="1:16" x14ac:dyDescent="0.2">
      <c r="A330" s="152">
        <f>'E-Channels'!B11</f>
        <v>0</v>
      </c>
      <c r="B330" s="65">
        <f>'E-Channels'!C11</f>
        <v>0</v>
      </c>
      <c r="C330" s="65" t="str">
        <f>'E-Channels'!D11</f>
        <v/>
      </c>
      <c r="D330" s="65" t="str">
        <f>'E-Channels'!E11</f>
        <v/>
      </c>
      <c r="E330" s="65" t="str">
        <f>'E-Channels'!F11</f>
        <v/>
      </c>
      <c r="F330" s="65">
        <f>'E-Channels'!G11</f>
        <v>0</v>
      </c>
      <c r="G330" s="65">
        <f>'E-Channels'!H11</f>
        <v>0</v>
      </c>
      <c r="H330" s="65">
        <f>'E-Channels'!I11</f>
        <v>0</v>
      </c>
      <c r="I330" s="65">
        <f>'E-Channels'!J11</f>
        <v>0</v>
      </c>
      <c r="J330" s="65">
        <f>'E-Channels'!K11</f>
        <v>0</v>
      </c>
      <c r="K330" s="65">
        <f>'E-Channels'!M11</f>
        <v>0</v>
      </c>
      <c r="L330" s="65">
        <f>'E-Channels'!N11</f>
        <v>0</v>
      </c>
      <c r="M330" s="65">
        <f>'E-Channels'!O11</f>
        <v>0</v>
      </c>
      <c r="N330" s="65">
        <f>'E-Channels'!P11</f>
        <v>0</v>
      </c>
      <c r="O330" s="65">
        <f>'E-Channels'!Q11</f>
        <v>0</v>
      </c>
      <c r="P330" s="68">
        <f>'E-Channels'!R11</f>
        <v>0</v>
      </c>
    </row>
    <row r="331" spans="1:16" x14ac:dyDescent="0.2">
      <c r="A331" s="152">
        <f>'E-Channels'!B12</f>
        <v>0</v>
      </c>
      <c r="B331" s="65">
        <f>'E-Channels'!C12</f>
        <v>0</v>
      </c>
      <c r="C331" s="65" t="str">
        <f>'E-Channels'!D12</f>
        <v/>
      </c>
      <c r="D331" s="65" t="str">
        <f>'E-Channels'!E12</f>
        <v/>
      </c>
      <c r="E331" s="65" t="str">
        <f>'E-Channels'!F12</f>
        <v/>
      </c>
      <c r="F331" s="65">
        <f>'E-Channels'!G12</f>
        <v>0</v>
      </c>
      <c r="G331" s="65">
        <f>'E-Channels'!H12</f>
        <v>0</v>
      </c>
      <c r="H331" s="65">
        <f>'E-Channels'!I12</f>
        <v>0</v>
      </c>
      <c r="I331" s="65">
        <f>'E-Channels'!J12</f>
        <v>0</v>
      </c>
      <c r="J331" s="65">
        <f>'E-Channels'!K12</f>
        <v>0</v>
      </c>
      <c r="K331" s="65">
        <f>'E-Channels'!M12</f>
        <v>0</v>
      </c>
      <c r="L331" s="65">
        <f>'E-Channels'!N12</f>
        <v>0</v>
      </c>
      <c r="M331" s="65">
        <f>'E-Channels'!O12</f>
        <v>0</v>
      </c>
      <c r="N331" s="65">
        <f>'E-Channels'!P12</f>
        <v>0</v>
      </c>
      <c r="O331" s="65">
        <f>'E-Channels'!Q12</f>
        <v>0</v>
      </c>
      <c r="P331" s="68">
        <f>'E-Channels'!R12</f>
        <v>0</v>
      </c>
    </row>
    <row r="332" spans="1:16" x14ac:dyDescent="0.2">
      <c r="A332" s="152">
        <f>'E-Channels'!B13</f>
        <v>0</v>
      </c>
      <c r="B332" s="65">
        <f>'E-Channels'!C13</f>
        <v>0</v>
      </c>
      <c r="C332" s="65" t="str">
        <f>'E-Channels'!D13</f>
        <v/>
      </c>
      <c r="D332" s="65" t="str">
        <f>'E-Channels'!E13</f>
        <v/>
      </c>
      <c r="E332" s="65" t="str">
        <f>'E-Channels'!F13</f>
        <v/>
      </c>
      <c r="F332" s="65">
        <f>'E-Channels'!G13</f>
        <v>0</v>
      </c>
      <c r="G332" s="65">
        <f>'E-Channels'!H13</f>
        <v>0</v>
      </c>
      <c r="H332" s="65">
        <f>'E-Channels'!I13</f>
        <v>0</v>
      </c>
      <c r="I332" s="65">
        <f>'E-Channels'!J13</f>
        <v>0</v>
      </c>
      <c r="J332" s="65">
        <f>'E-Channels'!K13</f>
        <v>0</v>
      </c>
      <c r="K332" s="65">
        <f>'E-Channels'!M13</f>
        <v>0</v>
      </c>
      <c r="L332" s="65">
        <f>'E-Channels'!N13</f>
        <v>0</v>
      </c>
      <c r="M332" s="65">
        <f>'E-Channels'!O13</f>
        <v>0</v>
      </c>
      <c r="N332" s="65">
        <f>'E-Channels'!P13</f>
        <v>0</v>
      </c>
      <c r="O332" s="65">
        <f>'E-Channels'!Q13</f>
        <v>0</v>
      </c>
      <c r="P332" s="68">
        <f>'E-Channels'!R13</f>
        <v>0</v>
      </c>
    </row>
    <row r="333" spans="1:16" x14ac:dyDescent="0.2">
      <c r="A333" s="152">
        <f>'E-Channels'!B14</f>
        <v>0</v>
      </c>
      <c r="B333" s="65">
        <f>'E-Channels'!C14</f>
        <v>0</v>
      </c>
      <c r="C333" s="65" t="str">
        <f>'E-Channels'!D14</f>
        <v/>
      </c>
      <c r="D333" s="65" t="str">
        <f>'E-Channels'!E14</f>
        <v/>
      </c>
      <c r="E333" s="65" t="str">
        <f>'E-Channels'!F14</f>
        <v/>
      </c>
      <c r="F333" s="65">
        <f>'E-Channels'!G14</f>
        <v>0</v>
      </c>
      <c r="G333" s="65">
        <f>'E-Channels'!H14</f>
        <v>0</v>
      </c>
      <c r="H333" s="65">
        <f>'E-Channels'!I14</f>
        <v>0</v>
      </c>
      <c r="I333" s="65">
        <f>'E-Channels'!J14</f>
        <v>0</v>
      </c>
      <c r="J333" s="65">
        <f>'E-Channels'!K14</f>
        <v>0</v>
      </c>
      <c r="K333" s="65">
        <f>'E-Channels'!M14</f>
        <v>0</v>
      </c>
      <c r="L333" s="65">
        <f>'E-Channels'!N14</f>
        <v>0</v>
      </c>
      <c r="M333" s="65">
        <f>'E-Channels'!O14</f>
        <v>0</v>
      </c>
      <c r="N333" s="65">
        <f>'E-Channels'!P14</f>
        <v>0</v>
      </c>
      <c r="O333" s="65">
        <f>'E-Channels'!Q14</f>
        <v>0</v>
      </c>
      <c r="P333" s="68">
        <f>'E-Channels'!R14</f>
        <v>0</v>
      </c>
    </row>
    <row r="334" spans="1:16" x14ac:dyDescent="0.2">
      <c r="A334" s="152">
        <f>'E-Channels'!B15</f>
        <v>0</v>
      </c>
      <c r="B334" s="65">
        <f>'E-Channels'!C15</f>
        <v>0</v>
      </c>
      <c r="C334" s="65" t="str">
        <f>'E-Channels'!D15</f>
        <v/>
      </c>
      <c r="D334" s="65" t="str">
        <f>'E-Channels'!E15</f>
        <v/>
      </c>
      <c r="E334" s="65" t="str">
        <f>'E-Channels'!F15</f>
        <v/>
      </c>
      <c r="F334" s="65">
        <f>'E-Channels'!G15</f>
        <v>0</v>
      </c>
      <c r="G334" s="65">
        <f>'E-Channels'!H15</f>
        <v>0</v>
      </c>
      <c r="H334" s="65">
        <f>'E-Channels'!I15</f>
        <v>0</v>
      </c>
      <c r="I334" s="65">
        <f>'E-Channels'!J15</f>
        <v>0</v>
      </c>
      <c r="J334" s="65">
        <f>'E-Channels'!K15</f>
        <v>0</v>
      </c>
      <c r="K334" s="65">
        <f>'E-Channels'!M15</f>
        <v>0</v>
      </c>
      <c r="L334" s="65">
        <f>'E-Channels'!N15</f>
        <v>0</v>
      </c>
      <c r="M334" s="65">
        <f>'E-Channels'!O15</f>
        <v>0</v>
      </c>
      <c r="N334" s="65">
        <f>'E-Channels'!P15</f>
        <v>0</v>
      </c>
      <c r="O334" s="65">
        <f>'E-Channels'!Q15</f>
        <v>0</v>
      </c>
      <c r="P334" s="68">
        <f>'E-Channels'!R15</f>
        <v>0</v>
      </c>
    </row>
    <row r="335" spans="1:16" x14ac:dyDescent="0.2">
      <c r="A335" s="152">
        <f>'E-Channels'!B16</f>
        <v>0</v>
      </c>
      <c r="B335" s="65">
        <f>'E-Channels'!C16</f>
        <v>0</v>
      </c>
      <c r="C335" s="65" t="str">
        <f>'E-Channels'!D16</f>
        <v/>
      </c>
      <c r="D335" s="65" t="str">
        <f>'E-Channels'!E16</f>
        <v/>
      </c>
      <c r="E335" s="65" t="str">
        <f>'E-Channels'!F16</f>
        <v/>
      </c>
      <c r="F335" s="65">
        <f>'E-Channels'!G16</f>
        <v>0</v>
      </c>
      <c r="G335" s="65">
        <f>'E-Channels'!H16</f>
        <v>0</v>
      </c>
      <c r="H335" s="65">
        <f>'E-Channels'!I16</f>
        <v>0</v>
      </c>
      <c r="I335" s="65">
        <f>'E-Channels'!J16</f>
        <v>0</v>
      </c>
      <c r="J335" s="65">
        <f>'E-Channels'!K16</f>
        <v>0</v>
      </c>
      <c r="K335" s="65">
        <f>'E-Channels'!M16</f>
        <v>0</v>
      </c>
      <c r="L335" s="65">
        <f>'E-Channels'!N16</f>
        <v>0</v>
      </c>
      <c r="M335" s="65">
        <f>'E-Channels'!O16</f>
        <v>0</v>
      </c>
      <c r="N335" s="65">
        <f>'E-Channels'!P16</f>
        <v>0</v>
      </c>
      <c r="O335" s="65">
        <f>'E-Channels'!Q16</f>
        <v>0</v>
      </c>
      <c r="P335" s="68">
        <f>'E-Channels'!R16</f>
        <v>0</v>
      </c>
    </row>
    <row r="336" spans="1:16" x14ac:dyDescent="0.2">
      <c r="A336" s="152">
        <f>'E-Channels'!B17</f>
        <v>0</v>
      </c>
      <c r="B336" s="65">
        <f>'E-Channels'!C17</f>
        <v>0</v>
      </c>
      <c r="C336" s="65" t="str">
        <f>'E-Channels'!D17</f>
        <v/>
      </c>
      <c r="D336" s="65" t="str">
        <f>'E-Channels'!E17</f>
        <v/>
      </c>
      <c r="E336" s="65" t="str">
        <f>'E-Channels'!F17</f>
        <v/>
      </c>
      <c r="F336" s="65">
        <f>'E-Channels'!G17</f>
        <v>0</v>
      </c>
      <c r="G336" s="65">
        <f>'E-Channels'!H17</f>
        <v>0</v>
      </c>
      <c r="H336" s="65">
        <f>'E-Channels'!I17</f>
        <v>0</v>
      </c>
      <c r="I336" s="65">
        <f>'E-Channels'!J17</f>
        <v>0</v>
      </c>
      <c r="J336" s="65">
        <f>'E-Channels'!K17</f>
        <v>0</v>
      </c>
      <c r="K336" s="65">
        <f>'E-Channels'!M17</f>
        <v>0</v>
      </c>
      <c r="L336" s="65">
        <f>'E-Channels'!N17</f>
        <v>0</v>
      </c>
      <c r="M336" s="65">
        <f>'E-Channels'!O17</f>
        <v>0</v>
      </c>
      <c r="N336" s="65">
        <f>'E-Channels'!P17</f>
        <v>0</v>
      </c>
      <c r="O336" s="65">
        <f>'E-Channels'!Q17</f>
        <v>0</v>
      </c>
      <c r="P336" s="68">
        <f>'E-Channels'!R17</f>
        <v>0</v>
      </c>
    </row>
    <row r="337" spans="1:129" x14ac:dyDescent="0.2">
      <c r="A337" s="152">
        <f>'E-Channels'!B18</f>
        <v>0</v>
      </c>
      <c r="B337" s="65">
        <f>'E-Channels'!C18</f>
        <v>0</v>
      </c>
      <c r="C337" s="65" t="str">
        <f>'E-Channels'!D18</f>
        <v/>
      </c>
      <c r="D337" s="65" t="str">
        <f>'E-Channels'!E18</f>
        <v/>
      </c>
      <c r="E337" s="65" t="str">
        <f>'E-Channels'!F18</f>
        <v/>
      </c>
      <c r="F337" s="65">
        <f>'E-Channels'!G18</f>
        <v>0</v>
      </c>
      <c r="G337" s="65">
        <f>'E-Channels'!H18</f>
        <v>0</v>
      </c>
      <c r="H337" s="65">
        <f>'E-Channels'!I18</f>
        <v>0</v>
      </c>
      <c r="I337" s="65">
        <f>'E-Channels'!J18</f>
        <v>0</v>
      </c>
      <c r="J337" s="65">
        <f>'E-Channels'!K18</f>
        <v>0</v>
      </c>
      <c r="K337" s="65">
        <f>'E-Channels'!M18</f>
        <v>0</v>
      </c>
      <c r="L337" s="65">
        <f>'E-Channels'!N18</f>
        <v>0</v>
      </c>
      <c r="M337" s="65">
        <f>'E-Channels'!O18</f>
        <v>0</v>
      </c>
      <c r="N337" s="65">
        <f>'E-Channels'!P18</f>
        <v>0</v>
      </c>
      <c r="O337" s="65">
        <f>'E-Channels'!Q18</f>
        <v>0</v>
      </c>
      <c r="P337" s="68">
        <f>'E-Channels'!R18</f>
        <v>0</v>
      </c>
    </row>
    <row r="338" spans="1:129" x14ac:dyDescent="0.2">
      <c r="A338" s="152">
        <f>'E-Channels'!B19</f>
        <v>0</v>
      </c>
      <c r="B338" s="65">
        <f>'E-Channels'!C19</f>
        <v>0</v>
      </c>
      <c r="C338" s="65" t="str">
        <f>'E-Channels'!D19</f>
        <v/>
      </c>
      <c r="D338" s="65" t="str">
        <f>'E-Channels'!E19</f>
        <v/>
      </c>
      <c r="E338" s="65" t="str">
        <f>'E-Channels'!F19</f>
        <v/>
      </c>
      <c r="F338" s="65">
        <f>'E-Channels'!G19</f>
        <v>0</v>
      </c>
      <c r="G338" s="65">
        <f>'E-Channels'!H19</f>
        <v>0</v>
      </c>
      <c r="H338" s="65">
        <f>'E-Channels'!I19</f>
        <v>0</v>
      </c>
      <c r="I338" s="65">
        <f>'E-Channels'!J19</f>
        <v>0</v>
      </c>
      <c r="J338" s="65">
        <f>'E-Channels'!K19</f>
        <v>0</v>
      </c>
      <c r="K338" s="65">
        <f>'E-Channels'!M19</f>
        <v>0</v>
      </c>
      <c r="L338" s="65">
        <f>'E-Channels'!N19</f>
        <v>0</v>
      </c>
      <c r="M338" s="65">
        <f>'E-Channels'!O19</f>
        <v>0</v>
      </c>
      <c r="N338" s="65">
        <f>'E-Channels'!P19</f>
        <v>0</v>
      </c>
      <c r="O338" s="65">
        <f>'E-Channels'!Q19</f>
        <v>0</v>
      </c>
      <c r="P338" s="68">
        <f>'E-Channels'!R19</f>
        <v>0</v>
      </c>
    </row>
    <row r="339" spans="1:129" x14ac:dyDescent="0.2">
      <c r="A339" s="152">
        <f>'E-Channels'!B20</f>
        <v>0</v>
      </c>
      <c r="B339" s="65">
        <f>'E-Channels'!C20</f>
        <v>0</v>
      </c>
      <c r="C339" s="65" t="str">
        <f>'E-Channels'!D20</f>
        <v/>
      </c>
      <c r="D339" s="65" t="str">
        <f>'E-Channels'!E20</f>
        <v/>
      </c>
      <c r="E339" s="65" t="str">
        <f>'E-Channels'!F20</f>
        <v/>
      </c>
      <c r="F339" s="65">
        <f>'E-Channels'!G20</f>
        <v>0</v>
      </c>
      <c r="G339" s="65">
        <f>'E-Channels'!H20</f>
        <v>0</v>
      </c>
      <c r="H339" s="65">
        <f>'E-Channels'!I20</f>
        <v>0</v>
      </c>
      <c r="I339" s="65">
        <f>'E-Channels'!J20</f>
        <v>0</v>
      </c>
      <c r="J339" s="65">
        <f>'E-Channels'!K20</f>
        <v>0</v>
      </c>
      <c r="K339" s="65">
        <f>'E-Channels'!M20</f>
        <v>0</v>
      </c>
      <c r="L339" s="65">
        <f>'E-Channels'!N20</f>
        <v>0</v>
      </c>
      <c r="M339" s="65">
        <f>'E-Channels'!O20</f>
        <v>0</v>
      </c>
      <c r="N339" s="65">
        <f>'E-Channels'!P20</f>
        <v>0</v>
      </c>
      <c r="O339" s="65">
        <f>'E-Channels'!Q20</f>
        <v>0</v>
      </c>
      <c r="P339" s="68">
        <f>'E-Channels'!R20</f>
        <v>0</v>
      </c>
    </row>
    <row r="340" spans="1:129" x14ac:dyDescent="0.2">
      <c r="A340" s="153">
        <f>'E-Channels'!B21</f>
        <v>0</v>
      </c>
      <c r="B340" s="154">
        <f>'E-Channels'!C21</f>
        <v>0</v>
      </c>
      <c r="C340" s="154" t="str">
        <f>'E-Channels'!D21</f>
        <v/>
      </c>
      <c r="D340" s="154" t="str">
        <f>'E-Channels'!E21</f>
        <v/>
      </c>
      <c r="E340" s="154" t="str">
        <f>'E-Channels'!F21</f>
        <v/>
      </c>
      <c r="F340" s="154">
        <f>'E-Channels'!G21</f>
        <v>0</v>
      </c>
      <c r="G340" s="154">
        <f>'E-Channels'!H21</f>
        <v>0</v>
      </c>
      <c r="H340" s="154">
        <f>'E-Channels'!I21</f>
        <v>0</v>
      </c>
      <c r="I340" s="154">
        <f>'E-Channels'!J21</f>
        <v>0</v>
      </c>
      <c r="J340" s="154">
        <f>'E-Channels'!K21</f>
        <v>0</v>
      </c>
      <c r="K340" s="154">
        <f>'E-Channels'!M21</f>
        <v>0</v>
      </c>
      <c r="L340" s="154">
        <f>'E-Channels'!N21</f>
        <v>0</v>
      </c>
      <c r="M340" s="154">
        <f>'E-Channels'!O21</f>
        <v>0</v>
      </c>
      <c r="N340" s="154">
        <f>'E-Channels'!P21</f>
        <v>0</v>
      </c>
      <c r="O340" s="154">
        <f>'E-Channels'!Q21</f>
        <v>0</v>
      </c>
      <c r="P340" s="155">
        <f>'E-Channels'!R21</f>
        <v>0</v>
      </c>
    </row>
    <row r="343" spans="1:129" x14ac:dyDescent="0.2">
      <c r="A343" s="158" t="s">
        <v>499</v>
      </c>
      <c r="B343" s="67" t="str">
        <f>'Special Corporate+ Rates'!B7</f>
        <v>Account Name</v>
      </c>
      <c r="C343" s="67">
        <f>'Special Corporate+ Rates'!C7</f>
        <v>0</v>
      </c>
      <c r="D343" s="67" t="str">
        <f>'Special Corporate+ Rates'!D7</f>
        <v>Enter the name of the Account here</v>
      </c>
      <c r="E343" s="67">
        <f>'Special Corporate+ Rates'!E7</f>
        <v>0</v>
      </c>
      <c r="F343" s="67">
        <f>'Special Corporate+ Rates'!F7</f>
        <v>0</v>
      </c>
      <c r="G343" s="67">
        <f>'Special Corporate+ Rates'!G7</f>
        <v>0</v>
      </c>
      <c r="H343" s="67">
        <f>'Special Corporate+ Rates'!H7</f>
        <v>0</v>
      </c>
      <c r="I343" s="67" t="str">
        <f>'Special Corporate+ Rates'!I7</f>
        <v>Enter the name of the Account here</v>
      </c>
      <c r="J343" s="67">
        <f>'Special Corporate+ Rates'!J7</f>
        <v>0</v>
      </c>
      <c r="K343" s="67">
        <f>'Special Corporate+ Rates'!K7</f>
        <v>0</v>
      </c>
      <c r="L343" s="67">
        <f>'Special Corporate+ Rates'!L7</f>
        <v>0</v>
      </c>
      <c r="M343" s="67">
        <f>'Special Corporate+ Rates'!M7</f>
        <v>0</v>
      </c>
      <c r="N343" s="67" t="str">
        <f>'Special Corporate+ Rates'!N7</f>
        <v>Enter the name of the Account here</v>
      </c>
      <c r="O343" s="67">
        <f>'Special Corporate+ Rates'!O7</f>
        <v>0</v>
      </c>
      <c r="P343" s="67">
        <f>'Special Corporate+ Rates'!P7</f>
        <v>0</v>
      </c>
      <c r="Q343" s="67">
        <f>'Special Corporate+ Rates'!Q7</f>
        <v>0</v>
      </c>
      <c r="R343" s="67">
        <f>'Special Corporate+ Rates'!R7</f>
        <v>0</v>
      </c>
      <c r="S343" s="67" t="str">
        <f>'Special Corporate+ Rates'!S7</f>
        <v>Enter the name of the Account here</v>
      </c>
      <c r="T343" s="67">
        <f>'Special Corporate+ Rates'!T7</f>
        <v>0</v>
      </c>
      <c r="U343" s="67">
        <f>'Special Corporate+ Rates'!U7</f>
        <v>0</v>
      </c>
      <c r="V343" s="67">
        <f>'Special Corporate+ Rates'!V7</f>
        <v>0</v>
      </c>
      <c r="W343" s="67">
        <f>'Special Corporate+ Rates'!W7</f>
        <v>0</v>
      </c>
      <c r="X343" s="67" t="str">
        <f>'Special Corporate+ Rates'!X7</f>
        <v>Enter the name of the Account here</v>
      </c>
      <c r="Y343" s="67">
        <f>'Special Corporate+ Rates'!Y7</f>
        <v>0</v>
      </c>
      <c r="Z343" s="67">
        <f>'Special Corporate+ Rates'!Z7</f>
        <v>0</v>
      </c>
      <c r="AA343" s="67">
        <f>'Special Corporate+ Rates'!AA7</f>
        <v>0</v>
      </c>
      <c r="AB343" s="67">
        <f>'Special Corporate+ Rates'!AB7</f>
        <v>0</v>
      </c>
      <c r="AC343" s="67" t="str">
        <f>'Special Corporate+ Rates'!AC7</f>
        <v>Enter the name of the Account here</v>
      </c>
      <c r="AD343" s="67">
        <f>'Special Corporate+ Rates'!AD7</f>
        <v>0</v>
      </c>
      <c r="AE343" s="67">
        <f>'Special Corporate+ Rates'!AE7</f>
        <v>0</v>
      </c>
      <c r="AF343" s="67">
        <f>'Special Corporate+ Rates'!AF7</f>
        <v>0</v>
      </c>
      <c r="AG343" s="67">
        <f>'Special Corporate+ Rates'!AG7</f>
        <v>0</v>
      </c>
      <c r="AH343" s="67" t="str">
        <f>'Special Corporate+ Rates'!AH7</f>
        <v>Enter the name of the Account here</v>
      </c>
      <c r="AI343" s="67">
        <f>'Special Corporate+ Rates'!AI7</f>
        <v>0</v>
      </c>
      <c r="AJ343" s="67">
        <f>'Special Corporate+ Rates'!AJ7</f>
        <v>0</v>
      </c>
      <c r="AK343" s="67">
        <f>'Special Corporate+ Rates'!AK7</f>
        <v>0</v>
      </c>
      <c r="AL343" s="67">
        <f>'Special Corporate+ Rates'!AL7</f>
        <v>0</v>
      </c>
      <c r="AM343" s="67" t="str">
        <f>'Special Corporate+ Rates'!AM7</f>
        <v>Enter the name of the Account here</v>
      </c>
      <c r="AN343" s="67">
        <f>'Special Corporate+ Rates'!AN7</f>
        <v>0</v>
      </c>
      <c r="AO343" s="67">
        <f>'Special Corporate+ Rates'!AO7</f>
        <v>0</v>
      </c>
      <c r="AP343" s="67">
        <f>'Special Corporate+ Rates'!AP7</f>
        <v>0</v>
      </c>
      <c r="AQ343" s="67">
        <f>'Special Corporate+ Rates'!AQ7</f>
        <v>0</v>
      </c>
      <c r="AR343" s="67" t="str">
        <f>'Special Corporate+ Rates'!AR7</f>
        <v>Enter the name of the Account here</v>
      </c>
      <c r="AS343" s="67">
        <f>'Special Corporate+ Rates'!AS7</f>
        <v>0</v>
      </c>
      <c r="AT343" s="67">
        <f>'Special Corporate+ Rates'!AT7</f>
        <v>0</v>
      </c>
      <c r="AU343" s="67">
        <f>'Special Corporate+ Rates'!AU7</f>
        <v>0</v>
      </c>
      <c r="AV343" s="67">
        <f>'Special Corporate+ Rates'!AV7</f>
        <v>0</v>
      </c>
      <c r="AW343" s="67" t="str">
        <f>'Special Corporate+ Rates'!AW7</f>
        <v>Enter the name of the Account here</v>
      </c>
      <c r="AX343" s="67">
        <f>'Special Corporate+ Rates'!AX7</f>
        <v>0</v>
      </c>
      <c r="AY343" s="67">
        <f>'Special Corporate+ Rates'!AY7</f>
        <v>0</v>
      </c>
      <c r="AZ343" s="67">
        <f>'Special Corporate+ Rates'!AZ7</f>
        <v>0</v>
      </c>
      <c r="BA343" s="67">
        <f>'Special Corporate+ Rates'!BA7</f>
        <v>0</v>
      </c>
      <c r="BB343" s="67" t="str">
        <f>'Special Corporate+ Rates'!BB7</f>
        <v>Enter the name of the Account here</v>
      </c>
      <c r="BC343" s="67">
        <f>'Special Corporate+ Rates'!BC7</f>
        <v>0</v>
      </c>
      <c r="BD343" s="67">
        <f>'Special Corporate+ Rates'!BD7</f>
        <v>0</v>
      </c>
      <c r="BE343" s="67">
        <f>'Special Corporate+ Rates'!BE7</f>
        <v>0</v>
      </c>
      <c r="BF343" s="67">
        <f>'Special Corporate+ Rates'!BF7</f>
        <v>0</v>
      </c>
      <c r="BG343" s="67" t="str">
        <f>'Special Corporate+ Rates'!BG7</f>
        <v>Enter the name of the Account here</v>
      </c>
      <c r="BH343" s="67">
        <f>'Special Corporate+ Rates'!BH7</f>
        <v>0</v>
      </c>
      <c r="BI343" s="67">
        <f>'Special Corporate+ Rates'!BI7</f>
        <v>0</v>
      </c>
      <c r="BJ343" s="67">
        <f>'Special Corporate+ Rates'!BJ7</f>
        <v>0</v>
      </c>
      <c r="BK343" s="67">
        <f>'Special Corporate+ Rates'!BK7</f>
        <v>0</v>
      </c>
      <c r="BL343" s="67" t="str">
        <f>'Special Corporate+ Rates'!BL7</f>
        <v>Enter the name of the Account here</v>
      </c>
      <c r="BM343" s="67">
        <f>'Special Corporate+ Rates'!BM7</f>
        <v>0</v>
      </c>
      <c r="BN343" s="67">
        <f>'Special Corporate+ Rates'!BN7</f>
        <v>0</v>
      </c>
      <c r="BO343" s="67">
        <f>'Special Corporate+ Rates'!BO7</f>
        <v>0</v>
      </c>
      <c r="BP343" s="67">
        <f>'Special Corporate+ Rates'!BP7</f>
        <v>0</v>
      </c>
      <c r="BQ343" s="67" t="str">
        <f>'Special Corporate+ Rates'!BQ7</f>
        <v>Enter the name of the Account here</v>
      </c>
      <c r="BR343" s="67">
        <f>'Special Corporate+ Rates'!BR7</f>
        <v>0</v>
      </c>
      <c r="BS343" s="67">
        <f>'Special Corporate+ Rates'!BS7</f>
        <v>0</v>
      </c>
      <c r="BT343" s="67">
        <f>'Special Corporate+ Rates'!BT7</f>
        <v>0</v>
      </c>
      <c r="BU343" s="67">
        <f>'Special Corporate+ Rates'!BU7</f>
        <v>0</v>
      </c>
      <c r="BV343" s="67" t="str">
        <f>'Special Corporate+ Rates'!BV7</f>
        <v>Enter the name of the Account here</v>
      </c>
      <c r="BW343" s="67">
        <f>'Special Corporate+ Rates'!BW7</f>
        <v>0</v>
      </c>
      <c r="BX343" s="67">
        <f>'Special Corporate+ Rates'!BX7</f>
        <v>0</v>
      </c>
      <c r="BY343" s="67">
        <f>'Special Corporate+ Rates'!BY7</f>
        <v>0</v>
      </c>
      <c r="BZ343" s="67">
        <f>'Special Corporate+ Rates'!BZ7</f>
        <v>0</v>
      </c>
      <c r="CA343" s="67" t="str">
        <f>'Special Corporate+ Rates'!CA7</f>
        <v>Enter the name of the Account here</v>
      </c>
      <c r="CB343" s="67">
        <f>'Special Corporate+ Rates'!CB7</f>
        <v>0</v>
      </c>
      <c r="CC343" s="67">
        <f>'Special Corporate+ Rates'!CC7</f>
        <v>0</v>
      </c>
      <c r="CD343" s="67">
        <f>'Special Corporate+ Rates'!CD7</f>
        <v>0</v>
      </c>
      <c r="CE343" s="67">
        <f>'Special Corporate+ Rates'!CE7</f>
        <v>0</v>
      </c>
      <c r="CF343" s="67" t="str">
        <f>'Special Corporate+ Rates'!CF7</f>
        <v>Enter the name of the Account here</v>
      </c>
      <c r="CG343" s="67">
        <f>'Special Corporate+ Rates'!CG7</f>
        <v>0</v>
      </c>
      <c r="CH343" s="67">
        <f>'Special Corporate+ Rates'!CH7</f>
        <v>0</v>
      </c>
      <c r="CI343" s="67">
        <f>'Special Corporate+ Rates'!CI7</f>
        <v>0</v>
      </c>
      <c r="CJ343" s="67">
        <f>'Special Corporate+ Rates'!CJ7</f>
        <v>0</v>
      </c>
      <c r="CK343" s="67" t="str">
        <f>'Special Corporate+ Rates'!CK7</f>
        <v>Enter the name of the Account here</v>
      </c>
      <c r="CL343" s="67">
        <f>'Special Corporate+ Rates'!CL7</f>
        <v>0</v>
      </c>
      <c r="CM343" s="67">
        <f>'Special Corporate+ Rates'!CM7</f>
        <v>0</v>
      </c>
      <c r="CN343" s="67">
        <f>'Special Corporate+ Rates'!CN7</f>
        <v>0</v>
      </c>
      <c r="CO343" s="67">
        <f>'Special Corporate+ Rates'!CO7</f>
        <v>0</v>
      </c>
      <c r="CP343" s="67" t="str">
        <f>'Special Corporate+ Rates'!CP7</f>
        <v>Enter the name of the Account here</v>
      </c>
      <c r="CQ343" s="67">
        <f>'Special Corporate+ Rates'!CQ7</f>
        <v>0</v>
      </c>
      <c r="CR343" s="67">
        <f>'Special Corporate+ Rates'!CR7</f>
        <v>0</v>
      </c>
      <c r="CS343" s="67">
        <f>'Special Corporate+ Rates'!CS7</f>
        <v>0</v>
      </c>
      <c r="CT343" s="67">
        <f>'Special Corporate+ Rates'!CT7</f>
        <v>0</v>
      </c>
      <c r="CU343" s="67" t="str">
        <f>'Special Corporate+ Rates'!CU7</f>
        <v>Enter the name of the Account here</v>
      </c>
      <c r="CV343" s="67">
        <f>'Special Corporate+ Rates'!CV7</f>
        <v>0</v>
      </c>
      <c r="CW343" s="67">
        <f>'Special Corporate+ Rates'!CW7</f>
        <v>0</v>
      </c>
      <c r="CX343" s="67">
        <f>'Special Corporate+ Rates'!CX7</f>
        <v>0</v>
      </c>
      <c r="CY343" s="67">
        <f>'Special Corporate+ Rates'!CY7</f>
        <v>0</v>
      </c>
      <c r="CZ343" s="67" t="str">
        <f>'Special Corporate+ Rates'!CZ7</f>
        <v>Enter the name of the Account here</v>
      </c>
      <c r="DA343" s="67">
        <f>'Special Corporate+ Rates'!DA7</f>
        <v>0</v>
      </c>
      <c r="DB343" s="67">
        <f>'Special Corporate+ Rates'!DB7</f>
        <v>0</v>
      </c>
      <c r="DC343" s="67">
        <f>'Special Corporate+ Rates'!DC7</f>
        <v>0</v>
      </c>
      <c r="DD343" s="67">
        <f>'Special Corporate+ Rates'!DD7</f>
        <v>0</v>
      </c>
      <c r="DE343" s="67" t="str">
        <f>'Special Corporate+ Rates'!DE7</f>
        <v>Enter the name of the Account here</v>
      </c>
      <c r="DF343" s="67">
        <f>'Special Corporate+ Rates'!DF7</f>
        <v>0</v>
      </c>
      <c r="DG343" s="67">
        <f>'Special Corporate+ Rates'!DG7</f>
        <v>0</v>
      </c>
      <c r="DH343" s="67">
        <f>'Special Corporate+ Rates'!DH7</f>
        <v>0</v>
      </c>
      <c r="DI343" s="67">
        <f>'Special Corporate+ Rates'!DI7</f>
        <v>0</v>
      </c>
      <c r="DJ343" s="67" t="str">
        <f>'Special Corporate+ Rates'!DJ7</f>
        <v>Enter the name of the Account here</v>
      </c>
      <c r="DK343" s="67">
        <f>'Special Corporate+ Rates'!DK7</f>
        <v>0</v>
      </c>
      <c r="DL343" s="67">
        <f>'Special Corporate+ Rates'!DL7</f>
        <v>0</v>
      </c>
      <c r="DM343" s="67">
        <f>'Special Corporate+ Rates'!DM7</f>
        <v>0</v>
      </c>
      <c r="DN343" s="67">
        <f>'Special Corporate+ Rates'!DN7</f>
        <v>0</v>
      </c>
      <c r="DO343" s="67" t="str">
        <f>'Special Corporate+ Rates'!DO7</f>
        <v>Enter the name of the Account here</v>
      </c>
      <c r="DP343" s="67">
        <f>'Special Corporate+ Rates'!DP7</f>
        <v>0</v>
      </c>
      <c r="DQ343" s="67">
        <f>'Special Corporate+ Rates'!DQ7</f>
        <v>0</v>
      </c>
      <c r="DR343" s="67">
        <f>'Special Corporate+ Rates'!DR7</f>
        <v>0</v>
      </c>
      <c r="DS343" s="67">
        <f>'Special Corporate+ Rates'!DS7</f>
        <v>0</v>
      </c>
      <c r="DT343" s="67" t="str">
        <f>'Special Corporate+ Rates'!DT7</f>
        <v>Enter the name of the Account here</v>
      </c>
      <c r="DU343" s="67">
        <f>'Special Corporate+ Rates'!DU7</f>
        <v>0</v>
      </c>
      <c r="DV343" s="67">
        <f>'Special Corporate+ Rates'!DV7</f>
        <v>0</v>
      </c>
      <c r="DW343" s="67">
        <f>'Special Corporate+ Rates'!DW7</f>
        <v>0</v>
      </c>
      <c r="DX343" s="67">
        <f>'Special Corporate+ Rates'!DX7</f>
        <v>0</v>
      </c>
      <c r="DY343" s="64"/>
    </row>
    <row r="344" spans="1:129" x14ac:dyDescent="0.2">
      <c r="A344" s="66" t="s">
        <v>500</v>
      </c>
      <c r="B344" s="65" t="str">
        <f>'Special Corporate+ Rates'!B8</f>
        <v>Availability</v>
      </c>
      <c r="C344" s="65">
        <f>'Special Corporate+ Rates'!C8</f>
        <v>0</v>
      </c>
      <c r="D344" s="65">
        <f>'Special Corporate+ Rates'!D8</f>
        <v>0</v>
      </c>
      <c r="E344" s="65">
        <f>'Special Corporate+ Rates'!E8</f>
        <v>0</v>
      </c>
      <c r="F344" s="65">
        <f>'Special Corporate+ Rates'!F8</f>
        <v>0</v>
      </c>
      <c r="G344" s="65">
        <f>'Special Corporate+ Rates'!G8</f>
        <v>0</v>
      </c>
      <c r="H344" s="65">
        <f>'Special Corporate+ Rates'!H8</f>
        <v>0</v>
      </c>
      <c r="I344" s="65">
        <f>'Special Corporate+ Rates'!I8</f>
        <v>0</v>
      </c>
      <c r="J344" s="65">
        <f>'Special Corporate+ Rates'!J8</f>
        <v>0</v>
      </c>
      <c r="K344" s="65">
        <f>'Special Corporate+ Rates'!K8</f>
        <v>0</v>
      </c>
      <c r="L344" s="65">
        <f>'Special Corporate+ Rates'!L8</f>
        <v>0</v>
      </c>
      <c r="M344" s="65">
        <f>'Special Corporate+ Rates'!M8</f>
        <v>0</v>
      </c>
      <c r="N344" s="65">
        <f>'Special Corporate+ Rates'!N8</f>
        <v>0</v>
      </c>
      <c r="O344" s="65">
        <f>'Special Corporate+ Rates'!O8</f>
        <v>0</v>
      </c>
      <c r="P344" s="65">
        <f>'Special Corporate+ Rates'!P8</f>
        <v>0</v>
      </c>
      <c r="Q344" s="65">
        <f>'Special Corporate+ Rates'!Q8</f>
        <v>0</v>
      </c>
      <c r="R344" s="65">
        <f>'Special Corporate+ Rates'!R8</f>
        <v>0</v>
      </c>
      <c r="S344" s="65">
        <f>'Special Corporate+ Rates'!S8</f>
        <v>0</v>
      </c>
      <c r="T344" s="65">
        <f>'Special Corporate+ Rates'!T8</f>
        <v>0</v>
      </c>
      <c r="U344" s="65">
        <f>'Special Corporate+ Rates'!U8</f>
        <v>0</v>
      </c>
      <c r="V344" s="65">
        <f>'Special Corporate+ Rates'!V8</f>
        <v>0</v>
      </c>
      <c r="W344" s="65">
        <f>'Special Corporate+ Rates'!W8</f>
        <v>0</v>
      </c>
      <c r="X344" s="65">
        <f>'Special Corporate+ Rates'!X8</f>
        <v>0</v>
      </c>
      <c r="Y344" s="65">
        <f>'Special Corporate+ Rates'!Y8</f>
        <v>0</v>
      </c>
      <c r="Z344" s="65">
        <f>'Special Corporate+ Rates'!Z8</f>
        <v>0</v>
      </c>
      <c r="AA344" s="65">
        <f>'Special Corporate+ Rates'!AA8</f>
        <v>0</v>
      </c>
      <c r="AB344" s="65">
        <f>'Special Corporate+ Rates'!AB8</f>
        <v>0</v>
      </c>
      <c r="AC344" s="65">
        <f>'Special Corporate+ Rates'!AC8</f>
        <v>0</v>
      </c>
      <c r="AD344" s="65">
        <f>'Special Corporate+ Rates'!AD8</f>
        <v>0</v>
      </c>
      <c r="AE344" s="65">
        <f>'Special Corporate+ Rates'!AE8</f>
        <v>0</v>
      </c>
      <c r="AF344" s="65">
        <f>'Special Corporate+ Rates'!AF8</f>
        <v>0</v>
      </c>
      <c r="AG344" s="65">
        <f>'Special Corporate+ Rates'!AG8</f>
        <v>0</v>
      </c>
      <c r="AH344" s="65">
        <f>'Special Corporate+ Rates'!AH8</f>
        <v>0</v>
      </c>
      <c r="AI344" s="65">
        <f>'Special Corporate+ Rates'!AI8</f>
        <v>0</v>
      </c>
      <c r="AJ344" s="65">
        <f>'Special Corporate+ Rates'!AJ8</f>
        <v>0</v>
      </c>
      <c r="AK344" s="65">
        <f>'Special Corporate+ Rates'!AK8</f>
        <v>0</v>
      </c>
      <c r="AL344" s="65">
        <f>'Special Corporate+ Rates'!AL8</f>
        <v>0</v>
      </c>
      <c r="AM344" s="65">
        <f>'Special Corporate+ Rates'!AM8</f>
        <v>0</v>
      </c>
      <c r="AN344" s="65">
        <f>'Special Corporate+ Rates'!AN8</f>
        <v>0</v>
      </c>
      <c r="AO344" s="65">
        <f>'Special Corporate+ Rates'!AO8</f>
        <v>0</v>
      </c>
      <c r="AP344" s="65">
        <f>'Special Corporate+ Rates'!AP8</f>
        <v>0</v>
      </c>
      <c r="AQ344" s="65">
        <f>'Special Corporate+ Rates'!AQ8</f>
        <v>0</v>
      </c>
      <c r="AR344" s="65">
        <f>'Special Corporate+ Rates'!AR8</f>
        <v>0</v>
      </c>
      <c r="AS344" s="65">
        <f>'Special Corporate+ Rates'!AS8</f>
        <v>0</v>
      </c>
      <c r="AT344" s="65">
        <f>'Special Corporate+ Rates'!AT8</f>
        <v>0</v>
      </c>
      <c r="AU344" s="65">
        <f>'Special Corporate+ Rates'!AU8</f>
        <v>0</v>
      </c>
      <c r="AV344" s="65">
        <f>'Special Corporate+ Rates'!AV8</f>
        <v>0</v>
      </c>
      <c r="AW344" s="65">
        <f>'Special Corporate+ Rates'!AW8</f>
        <v>0</v>
      </c>
      <c r="AX344" s="65">
        <f>'Special Corporate+ Rates'!AX8</f>
        <v>0</v>
      </c>
      <c r="AY344" s="65">
        <f>'Special Corporate+ Rates'!AY8</f>
        <v>0</v>
      </c>
      <c r="AZ344" s="65">
        <f>'Special Corporate+ Rates'!AZ8</f>
        <v>0</v>
      </c>
      <c r="BA344" s="65">
        <f>'Special Corporate+ Rates'!BA8</f>
        <v>0</v>
      </c>
      <c r="BB344" s="65">
        <f>'Special Corporate+ Rates'!BB8</f>
        <v>0</v>
      </c>
      <c r="BC344" s="65">
        <f>'Special Corporate+ Rates'!BC8</f>
        <v>0</v>
      </c>
      <c r="BD344" s="65">
        <f>'Special Corporate+ Rates'!BD8</f>
        <v>0</v>
      </c>
      <c r="BE344" s="65">
        <f>'Special Corporate+ Rates'!BE8</f>
        <v>0</v>
      </c>
      <c r="BF344" s="65">
        <f>'Special Corporate+ Rates'!BF8</f>
        <v>0</v>
      </c>
      <c r="BG344" s="65">
        <f>'Special Corporate+ Rates'!BG8</f>
        <v>0</v>
      </c>
      <c r="BH344" s="65">
        <f>'Special Corporate+ Rates'!BH8</f>
        <v>0</v>
      </c>
      <c r="BI344" s="65">
        <f>'Special Corporate+ Rates'!BI8</f>
        <v>0</v>
      </c>
      <c r="BJ344" s="65">
        <f>'Special Corporate+ Rates'!BJ8</f>
        <v>0</v>
      </c>
      <c r="BK344" s="65">
        <f>'Special Corporate+ Rates'!BK8</f>
        <v>0</v>
      </c>
      <c r="BL344" s="65">
        <f>'Special Corporate+ Rates'!BL8</f>
        <v>0</v>
      </c>
      <c r="BM344" s="65">
        <f>'Special Corporate+ Rates'!BM8</f>
        <v>0</v>
      </c>
      <c r="BN344" s="65">
        <f>'Special Corporate+ Rates'!BN8</f>
        <v>0</v>
      </c>
      <c r="BO344" s="65">
        <f>'Special Corporate+ Rates'!BO8</f>
        <v>0</v>
      </c>
      <c r="BP344" s="65">
        <f>'Special Corporate+ Rates'!BP8</f>
        <v>0</v>
      </c>
      <c r="BQ344" s="65">
        <f>'Special Corporate+ Rates'!BQ8</f>
        <v>0</v>
      </c>
      <c r="BR344" s="65">
        <f>'Special Corporate+ Rates'!BR8</f>
        <v>0</v>
      </c>
      <c r="BS344" s="65">
        <f>'Special Corporate+ Rates'!BS8</f>
        <v>0</v>
      </c>
      <c r="BT344" s="65">
        <f>'Special Corporate+ Rates'!BT8</f>
        <v>0</v>
      </c>
      <c r="BU344" s="65">
        <f>'Special Corporate+ Rates'!BU8</f>
        <v>0</v>
      </c>
      <c r="BV344" s="65">
        <f>'Special Corporate+ Rates'!BV8</f>
        <v>0</v>
      </c>
      <c r="BW344" s="65">
        <f>'Special Corporate+ Rates'!BW8</f>
        <v>0</v>
      </c>
      <c r="BX344" s="65">
        <f>'Special Corporate+ Rates'!BX8</f>
        <v>0</v>
      </c>
      <c r="BY344" s="65">
        <f>'Special Corporate+ Rates'!BY8</f>
        <v>0</v>
      </c>
      <c r="BZ344" s="65">
        <f>'Special Corporate+ Rates'!BZ8</f>
        <v>0</v>
      </c>
      <c r="CA344" s="65">
        <f>'Special Corporate+ Rates'!CA8</f>
        <v>0</v>
      </c>
      <c r="CB344" s="65">
        <f>'Special Corporate+ Rates'!CB8</f>
        <v>0</v>
      </c>
      <c r="CC344" s="65">
        <f>'Special Corporate+ Rates'!CC8</f>
        <v>0</v>
      </c>
      <c r="CD344" s="65">
        <f>'Special Corporate+ Rates'!CD8</f>
        <v>0</v>
      </c>
      <c r="CE344" s="65">
        <f>'Special Corporate+ Rates'!CE8</f>
        <v>0</v>
      </c>
      <c r="CF344" s="65">
        <f>'Special Corporate+ Rates'!CF8</f>
        <v>0</v>
      </c>
      <c r="CG344" s="65">
        <f>'Special Corporate+ Rates'!CG8</f>
        <v>0</v>
      </c>
      <c r="CH344" s="65">
        <f>'Special Corporate+ Rates'!CH8</f>
        <v>0</v>
      </c>
      <c r="CI344" s="65">
        <f>'Special Corporate+ Rates'!CI8</f>
        <v>0</v>
      </c>
      <c r="CJ344" s="65">
        <f>'Special Corporate+ Rates'!CJ8</f>
        <v>0</v>
      </c>
      <c r="CK344" s="65">
        <f>'Special Corporate+ Rates'!CK8</f>
        <v>0</v>
      </c>
      <c r="CL344" s="65">
        <f>'Special Corporate+ Rates'!CL8</f>
        <v>0</v>
      </c>
      <c r="CM344" s="65">
        <f>'Special Corporate+ Rates'!CM8</f>
        <v>0</v>
      </c>
      <c r="CN344" s="65">
        <f>'Special Corporate+ Rates'!CN8</f>
        <v>0</v>
      </c>
      <c r="CO344" s="65">
        <f>'Special Corporate+ Rates'!CO8</f>
        <v>0</v>
      </c>
      <c r="CP344" s="65">
        <f>'Special Corporate+ Rates'!CP8</f>
        <v>0</v>
      </c>
      <c r="CQ344" s="65">
        <f>'Special Corporate+ Rates'!CQ8</f>
        <v>0</v>
      </c>
      <c r="CR344" s="65">
        <f>'Special Corporate+ Rates'!CR8</f>
        <v>0</v>
      </c>
      <c r="CS344" s="65">
        <f>'Special Corporate+ Rates'!CS8</f>
        <v>0</v>
      </c>
      <c r="CT344" s="65">
        <f>'Special Corporate+ Rates'!CT8</f>
        <v>0</v>
      </c>
      <c r="CU344" s="65">
        <f>'Special Corporate+ Rates'!CU8</f>
        <v>0</v>
      </c>
      <c r="CV344" s="65">
        <f>'Special Corporate+ Rates'!CV8</f>
        <v>0</v>
      </c>
      <c r="CW344" s="65">
        <f>'Special Corporate+ Rates'!CW8</f>
        <v>0</v>
      </c>
      <c r="CX344" s="65">
        <f>'Special Corporate+ Rates'!CX8</f>
        <v>0</v>
      </c>
      <c r="CY344" s="65">
        <f>'Special Corporate+ Rates'!CY8</f>
        <v>0</v>
      </c>
      <c r="CZ344" s="65">
        <f>'Special Corporate+ Rates'!CZ8</f>
        <v>0</v>
      </c>
      <c r="DA344" s="65">
        <f>'Special Corporate+ Rates'!DA8</f>
        <v>0</v>
      </c>
      <c r="DB344" s="65">
        <f>'Special Corporate+ Rates'!DB8</f>
        <v>0</v>
      </c>
      <c r="DC344" s="65">
        <f>'Special Corporate+ Rates'!DC8</f>
        <v>0</v>
      </c>
      <c r="DD344" s="65">
        <f>'Special Corporate+ Rates'!DD8</f>
        <v>0</v>
      </c>
      <c r="DE344" s="65">
        <f>'Special Corporate+ Rates'!DE8</f>
        <v>0</v>
      </c>
      <c r="DF344" s="65">
        <f>'Special Corporate+ Rates'!DF8</f>
        <v>0</v>
      </c>
      <c r="DG344" s="65">
        <f>'Special Corporate+ Rates'!DG8</f>
        <v>0</v>
      </c>
      <c r="DH344" s="65">
        <f>'Special Corporate+ Rates'!DH8</f>
        <v>0</v>
      </c>
      <c r="DI344" s="65">
        <f>'Special Corporate+ Rates'!DI8</f>
        <v>0</v>
      </c>
      <c r="DJ344" s="65">
        <f>'Special Corporate+ Rates'!DJ8</f>
        <v>0</v>
      </c>
      <c r="DK344" s="65">
        <f>'Special Corporate+ Rates'!DK8</f>
        <v>0</v>
      </c>
      <c r="DL344" s="65">
        <f>'Special Corporate+ Rates'!DL8</f>
        <v>0</v>
      </c>
      <c r="DM344" s="65">
        <f>'Special Corporate+ Rates'!DM8</f>
        <v>0</v>
      </c>
      <c r="DN344" s="65">
        <f>'Special Corporate+ Rates'!DN8</f>
        <v>0</v>
      </c>
      <c r="DO344" s="65">
        <f>'Special Corporate+ Rates'!DO8</f>
        <v>0</v>
      </c>
      <c r="DP344" s="65">
        <f>'Special Corporate+ Rates'!DP8</f>
        <v>0</v>
      </c>
      <c r="DQ344" s="65">
        <f>'Special Corporate+ Rates'!DQ8</f>
        <v>0</v>
      </c>
      <c r="DR344" s="65">
        <f>'Special Corporate+ Rates'!DR8</f>
        <v>0</v>
      </c>
      <c r="DS344" s="65">
        <f>'Special Corporate+ Rates'!DS8</f>
        <v>0</v>
      </c>
      <c r="DT344" s="65">
        <f>'Special Corporate+ Rates'!DT8</f>
        <v>0</v>
      </c>
      <c r="DU344" s="65">
        <f>'Special Corporate+ Rates'!DU8</f>
        <v>0</v>
      </c>
      <c r="DV344" s="65">
        <f>'Special Corporate+ Rates'!DV8</f>
        <v>0</v>
      </c>
      <c r="DW344" s="65">
        <f>'Special Corporate+ Rates'!DW8</f>
        <v>0</v>
      </c>
      <c r="DX344" s="65">
        <f>'Special Corporate+ Rates'!DX8</f>
        <v>0</v>
      </c>
      <c r="DY344" s="68"/>
    </row>
    <row r="345" spans="1:129" x14ac:dyDescent="0.2">
      <c r="A345" s="152"/>
      <c r="B345" s="65" t="str">
        <f>'Special Corporate+ Rates'!B9</f>
        <v>Commissionable</v>
      </c>
      <c r="C345" s="65">
        <f>'Special Corporate+ Rates'!C9</f>
        <v>0</v>
      </c>
      <c r="D345" s="65" t="str">
        <f>'Special Corporate+ Rates'!D9</f>
        <v>NO</v>
      </c>
      <c r="E345" s="65">
        <f>'Special Corporate+ Rates'!E9</f>
        <v>0</v>
      </c>
      <c r="F345" s="65">
        <f>'Special Corporate+ Rates'!F9</f>
        <v>0</v>
      </c>
      <c r="G345" s="65">
        <f>'Special Corporate+ Rates'!G9</f>
        <v>0</v>
      </c>
      <c r="H345" s="65">
        <f>'Special Corporate+ Rates'!H9</f>
        <v>0</v>
      </c>
      <c r="I345" s="65" t="str">
        <f>'Special Corporate+ Rates'!I9</f>
        <v>NO</v>
      </c>
      <c r="J345" s="65">
        <f>'Special Corporate+ Rates'!J9</f>
        <v>0</v>
      </c>
      <c r="K345" s="65">
        <f>'Special Corporate+ Rates'!K9</f>
        <v>0</v>
      </c>
      <c r="L345" s="65">
        <f>'Special Corporate+ Rates'!L9</f>
        <v>0</v>
      </c>
      <c r="M345" s="65">
        <f>'Special Corporate+ Rates'!M9</f>
        <v>0</v>
      </c>
      <c r="N345" s="65" t="str">
        <f>'Special Corporate+ Rates'!N9</f>
        <v>NO</v>
      </c>
      <c r="O345" s="65">
        <f>'Special Corporate+ Rates'!O9</f>
        <v>0</v>
      </c>
      <c r="P345" s="65">
        <f>'Special Corporate+ Rates'!P9</f>
        <v>0</v>
      </c>
      <c r="Q345" s="65">
        <f>'Special Corporate+ Rates'!Q9</f>
        <v>0</v>
      </c>
      <c r="R345" s="65">
        <f>'Special Corporate+ Rates'!R9</f>
        <v>0</v>
      </c>
      <c r="S345" s="65" t="str">
        <f>'Special Corporate+ Rates'!S9</f>
        <v>NO</v>
      </c>
      <c r="T345" s="65">
        <f>'Special Corporate+ Rates'!T9</f>
        <v>0</v>
      </c>
      <c r="U345" s="65">
        <f>'Special Corporate+ Rates'!U9</f>
        <v>0</v>
      </c>
      <c r="V345" s="65">
        <f>'Special Corporate+ Rates'!V9</f>
        <v>0</v>
      </c>
      <c r="W345" s="65">
        <f>'Special Corporate+ Rates'!W9</f>
        <v>0</v>
      </c>
      <c r="X345" s="65" t="str">
        <f>'Special Corporate+ Rates'!X9</f>
        <v>NO</v>
      </c>
      <c r="Y345" s="65">
        <f>'Special Corporate+ Rates'!Y9</f>
        <v>0</v>
      </c>
      <c r="Z345" s="65">
        <f>'Special Corporate+ Rates'!Z9</f>
        <v>0</v>
      </c>
      <c r="AA345" s="65">
        <f>'Special Corporate+ Rates'!AA9</f>
        <v>0</v>
      </c>
      <c r="AB345" s="65">
        <f>'Special Corporate+ Rates'!AB9</f>
        <v>0</v>
      </c>
      <c r="AC345" s="65" t="str">
        <f>'Special Corporate+ Rates'!AC9</f>
        <v>NO</v>
      </c>
      <c r="AD345" s="65">
        <f>'Special Corporate+ Rates'!AD9</f>
        <v>0</v>
      </c>
      <c r="AE345" s="65">
        <f>'Special Corporate+ Rates'!AE9</f>
        <v>0</v>
      </c>
      <c r="AF345" s="65">
        <f>'Special Corporate+ Rates'!AF9</f>
        <v>0</v>
      </c>
      <c r="AG345" s="65">
        <f>'Special Corporate+ Rates'!AG9</f>
        <v>0</v>
      </c>
      <c r="AH345" s="65" t="str">
        <f>'Special Corporate+ Rates'!AH9</f>
        <v>NO</v>
      </c>
      <c r="AI345" s="65">
        <f>'Special Corporate+ Rates'!AI9</f>
        <v>0</v>
      </c>
      <c r="AJ345" s="65">
        <f>'Special Corporate+ Rates'!AJ9</f>
        <v>0</v>
      </c>
      <c r="AK345" s="65">
        <f>'Special Corporate+ Rates'!AK9</f>
        <v>0</v>
      </c>
      <c r="AL345" s="65">
        <f>'Special Corporate+ Rates'!AL9</f>
        <v>0</v>
      </c>
      <c r="AM345" s="65" t="str">
        <f>'Special Corporate+ Rates'!AM9</f>
        <v>NO</v>
      </c>
      <c r="AN345" s="65">
        <f>'Special Corporate+ Rates'!AN9</f>
        <v>0</v>
      </c>
      <c r="AO345" s="65">
        <f>'Special Corporate+ Rates'!AO9</f>
        <v>0</v>
      </c>
      <c r="AP345" s="65">
        <f>'Special Corporate+ Rates'!AP9</f>
        <v>0</v>
      </c>
      <c r="AQ345" s="65">
        <f>'Special Corporate+ Rates'!AQ9</f>
        <v>0</v>
      </c>
      <c r="AR345" s="65" t="str">
        <f>'Special Corporate+ Rates'!AR9</f>
        <v>NO</v>
      </c>
      <c r="AS345" s="65">
        <f>'Special Corporate+ Rates'!AS9</f>
        <v>0</v>
      </c>
      <c r="AT345" s="65">
        <f>'Special Corporate+ Rates'!AT9</f>
        <v>0</v>
      </c>
      <c r="AU345" s="65">
        <f>'Special Corporate+ Rates'!AU9</f>
        <v>0</v>
      </c>
      <c r="AV345" s="65">
        <f>'Special Corporate+ Rates'!AV9</f>
        <v>0</v>
      </c>
      <c r="AW345" s="65" t="str">
        <f>'Special Corporate+ Rates'!AW9</f>
        <v>NO</v>
      </c>
      <c r="AX345" s="65">
        <f>'Special Corporate+ Rates'!AX9</f>
        <v>0</v>
      </c>
      <c r="AY345" s="65">
        <f>'Special Corporate+ Rates'!AY9</f>
        <v>0</v>
      </c>
      <c r="AZ345" s="65">
        <f>'Special Corporate+ Rates'!AZ9</f>
        <v>0</v>
      </c>
      <c r="BA345" s="65">
        <f>'Special Corporate+ Rates'!BA9</f>
        <v>0</v>
      </c>
      <c r="BB345" s="65" t="str">
        <f>'Special Corporate+ Rates'!BB9</f>
        <v>NO</v>
      </c>
      <c r="BC345" s="65">
        <f>'Special Corporate+ Rates'!BC9</f>
        <v>0</v>
      </c>
      <c r="BD345" s="65">
        <f>'Special Corporate+ Rates'!BD9</f>
        <v>0</v>
      </c>
      <c r="BE345" s="65">
        <f>'Special Corporate+ Rates'!BE9</f>
        <v>0</v>
      </c>
      <c r="BF345" s="65">
        <f>'Special Corporate+ Rates'!BF9</f>
        <v>0</v>
      </c>
      <c r="BG345" s="65" t="str">
        <f>'Special Corporate+ Rates'!BG9</f>
        <v>NO</v>
      </c>
      <c r="BH345" s="65">
        <f>'Special Corporate+ Rates'!BH9</f>
        <v>0</v>
      </c>
      <c r="BI345" s="65">
        <f>'Special Corporate+ Rates'!BI9</f>
        <v>0</v>
      </c>
      <c r="BJ345" s="65">
        <f>'Special Corporate+ Rates'!BJ9</f>
        <v>0</v>
      </c>
      <c r="BK345" s="65">
        <f>'Special Corporate+ Rates'!BK9</f>
        <v>0</v>
      </c>
      <c r="BL345" s="65" t="str">
        <f>'Special Corporate+ Rates'!BL9</f>
        <v>NO</v>
      </c>
      <c r="BM345" s="65">
        <f>'Special Corporate+ Rates'!BM9</f>
        <v>0</v>
      </c>
      <c r="BN345" s="65">
        <f>'Special Corporate+ Rates'!BN9</f>
        <v>0</v>
      </c>
      <c r="BO345" s="65">
        <f>'Special Corporate+ Rates'!BO9</f>
        <v>0</v>
      </c>
      <c r="BP345" s="65">
        <f>'Special Corporate+ Rates'!BP9</f>
        <v>0</v>
      </c>
      <c r="BQ345" s="65" t="str">
        <f>'Special Corporate+ Rates'!BQ9</f>
        <v>NO</v>
      </c>
      <c r="BR345" s="65">
        <f>'Special Corporate+ Rates'!BR9</f>
        <v>0</v>
      </c>
      <c r="BS345" s="65">
        <f>'Special Corporate+ Rates'!BS9</f>
        <v>0</v>
      </c>
      <c r="BT345" s="65">
        <f>'Special Corporate+ Rates'!BT9</f>
        <v>0</v>
      </c>
      <c r="BU345" s="65">
        <f>'Special Corporate+ Rates'!BU9</f>
        <v>0</v>
      </c>
      <c r="BV345" s="65" t="str">
        <f>'Special Corporate+ Rates'!BV9</f>
        <v>NO</v>
      </c>
      <c r="BW345" s="65">
        <f>'Special Corporate+ Rates'!BW9</f>
        <v>0</v>
      </c>
      <c r="BX345" s="65">
        <f>'Special Corporate+ Rates'!BX9</f>
        <v>0</v>
      </c>
      <c r="BY345" s="65">
        <f>'Special Corporate+ Rates'!BY9</f>
        <v>0</v>
      </c>
      <c r="BZ345" s="65">
        <f>'Special Corporate+ Rates'!BZ9</f>
        <v>0</v>
      </c>
      <c r="CA345" s="65" t="str">
        <f>'Special Corporate+ Rates'!CA9</f>
        <v>NO</v>
      </c>
      <c r="CB345" s="65">
        <f>'Special Corporate+ Rates'!CB9</f>
        <v>0</v>
      </c>
      <c r="CC345" s="65">
        <f>'Special Corporate+ Rates'!CC9</f>
        <v>0</v>
      </c>
      <c r="CD345" s="65">
        <f>'Special Corporate+ Rates'!CD9</f>
        <v>0</v>
      </c>
      <c r="CE345" s="65">
        <f>'Special Corporate+ Rates'!CE9</f>
        <v>0</v>
      </c>
      <c r="CF345" s="65" t="str">
        <f>'Special Corporate+ Rates'!CF9</f>
        <v>NO</v>
      </c>
      <c r="CG345" s="65">
        <f>'Special Corporate+ Rates'!CG9</f>
        <v>0</v>
      </c>
      <c r="CH345" s="65">
        <f>'Special Corporate+ Rates'!CH9</f>
        <v>0</v>
      </c>
      <c r="CI345" s="65">
        <f>'Special Corporate+ Rates'!CI9</f>
        <v>0</v>
      </c>
      <c r="CJ345" s="65">
        <f>'Special Corporate+ Rates'!CJ9</f>
        <v>0</v>
      </c>
      <c r="CK345" s="65" t="str">
        <f>'Special Corporate+ Rates'!CK9</f>
        <v>NO</v>
      </c>
      <c r="CL345" s="65">
        <f>'Special Corporate+ Rates'!CL9</f>
        <v>0</v>
      </c>
      <c r="CM345" s="65">
        <f>'Special Corporate+ Rates'!CM9</f>
        <v>0</v>
      </c>
      <c r="CN345" s="65">
        <f>'Special Corporate+ Rates'!CN9</f>
        <v>0</v>
      </c>
      <c r="CO345" s="65">
        <f>'Special Corporate+ Rates'!CO9</f>
        <v>0</v>
      </c>
      <c r="CP345" s="65" t="str">
        <f>'Special Corporate+ Rates'!CP9</f>
        <v>NO</v>
      </c>
      <c r="CQ345" s="65">
        <f>'Special Corporate+ Rates'!CQ9</f>
        <v>0</v>
      </c>
      <c r="CR345" s="65">
        <f>'Special Corporate+ Rates'!CR9</f>
        <v>0</v>
      </c>
      <c r="CS345" s="65">
        <f>'Special Corporate+ Rates'!CS9</f>
        <v>0</v>
      </c>
      <c r="CT345" s="65">
        <f>'Special Corporate+ Rates'!CT9</f>
        <v>0</v>
      </c>
      <c r="CU345" s="65" t="str">
        <f>'Special Corporate+ Rates'!CU9</f>
        <v>NO</v>
      </c>
      <c r="CV345" s="65">
        <f>'Special Corporate+ Rates'!CV9</f>
        <v>0</v>
      </c>
      <c r="CW345" s="65">
        <f>'Special Corporate+ Rates'!CW9</f>
        <v>0</v>
      </c>
      <c r="CX345" s="65">
        <f>'Special Corporate+ Rates'!CX9</f>
        <v>0</v>
      </c>
      <c r="CY345" s="65">
        <f>'Special Corporate+ Rates'!CY9</f>
        <v>0</v>
      </c>
      <c r="CZ345" s="65" t="str">
        <f>'Special Corporate+ Rates'!CZ9</f>
        <v>NO</v>
      </c>
      <c r="DA345" s="65">
        <f>'Special Corporate+ Rates'!DA9</f>
        <v>0</v>
      </c>
      <c r="DB345" s="65">
        <f>'Special Corporate+ Rates'!DB9</f>
        <v>0</v>
      </c>
      <c r="DC345" s="65">
        <f>'Special Corporate+ Rates'!DC9</f>
        <v>0</v>
      </c>
      <c r="DD345" s="65">
        <f>'Special Corporate+ Rates'!DD9</f>
        <v>0</v>
      </c>
      <c r="DE345" s="65" t="str">
        <f>'Special Corporate+ Rates'!DE9</f>
        <v>NO</v>
      </c>
      <c r="DF345" s="65">
        <f>'Special Corporate+ Rates'!DF9</f>
        <v>0</v>
      </c>
      <c r="DG345" s="65">
        <f>'Special Corporate+ Rates'!DG9</f>
        <v>0</v>
      </c>
      <c r="DH345" s="65">
        <f>'Special Corporate+ Rates'!DH9</f>
        <v>0</v>
      </c>
      <c r="DI345" s="65">
        <f>'Special Corporate+ Rates'!DI9</f>
        <v>0</v>
      </c>
      <c r="DJ345" s="65" t="str">
        <f>'Special Corporate+ Rates'!DJ9</f>
        <v>NO</v>
      </c>
      <c r="DK345" s="65">
        <f>'Special Corporate+ Rates'!DK9</f>
        <v>0</v>
      </c>
      <c r="DL345" s="65">
        <f>'Special Corporate+ Rates'!DL9</f>
        <v>0</v>
      </c>
      <c r="DM345" s="65">
        <f>'Special Corporate+ Rates'!DM9</f>
        <v>0</v>
      </c>
      <c r="DN345" s="65">
        <f>'Special Corporate+ Rates'!DN9</f>
        <v>0</v>
      </c>
      <c r="DO345" s="65" t="str">
        <f>'Special Corporate+ Rates'!DO9</f>
        <v>NO</v>
      </c>
      <c r="DP345" s="65">
        <f>'Special Corporate+ Rates'!DP9</f>
        <v>0</v>
      </c>
      <c r="DQ345" s="65">
        <f>'Special Corporate+ Rates'!DQ9</f>
        <v>0</v>
      </c>
      <c r="DR345" s="65">
        <f>'Special Corporate+ Rates'!DR9</f>
        <v>0</v>
      </c>
      <c r="DS345" s="65">
        <f>'Special Corporate+ Rates'!DS9</f>
        <v>0</v>
      </c>
      <c r="DT345" s="65" t="str">
        <f>'Special Corporate+ Rates'!DT9</f>
        <v>NO</v>
      </c>
      <c r="DU345" s="65">
        <f>'Special Corporate+ Rates'!DU9</f>
        <v>0</v>
      </c>
      <c r="DV345" s="65">
        <f>'Special Corporate+ Rates'!DV9</f>
        <v>0</v>
      </c>
      <c r="DW345" s="65">
        <f>'Special Corporate+ Rates'!DW9</f>
        <v>0</v>
      </c>
      <c r="DX345" s="65">
        <f>'Special Corporate+ Rates'!DX9</f>
        <v>0</v>
      </c>
      <c r="DY345" s="68"/>
    </row>
    <row r="346" spans="1:129" x14ac:dyDescent="0.2">
      <c r="A346" s="152"/>
      <c r="B346" s="65" t="str">
        <f>'Special Corporate+ Rates'!B10</f>
        <v>Website (required)</v>
      </c>
      <c r="C346" s="65">
        <f>'Special Corporate+ Rates'!C10</f>
        <v>0</v>
      </c>
      <c r="D346" s="65">
        <f>'Special Corporate+ Rates'!D10</f>
        <v>0</v>
      </c>
      <c r="E346" s="65">
        <f>'Special Corporate+ Rates'!E10</f>
        <v>0</v>
      </c>
      <c r="F346" s="65">
        <f>'Special Corporate+ Rates'!F10</f>
        <v>0</v>
      </c>
      <c r="G346" s="65">
        <f>'Special Corporate+ Rates'!G10</f>
        <v>0</v>
      </c>
      <c r="H346" s="65">
        <f>'Special Corporate+ Rates'!H10</f>
        <v>0</v>
      </c>
      <c r="I346" s="65">
        <f>'Special Corporate+ Rates'!I10</f>
        <v>0</v>
      </c>
      <c r="J346" s="65">
        <f>'Special Corporate+ Rates'!J10</f>
        <v>0</v>
      </c>
      <c r="K346" s="65">
        <f>'Special Corporate+ Rates'!K10</f>
        <v>0</v>
      </c>
      <c r="L346" s="65">
        <f>'Special Corporate+ Rates'!L10</f>
        <v>0</v>
      </c>
      <c r="M346" s="65">
        <f>'Special Corporate+ Rates'!M10</f>
        <v>0</v>
      </c>
      <c r="N346" s="65">
        <f>'Special Corporate+ Rates'!N10</f>
        <v>0</v>
      </c>
      <c r="O346" s="65">
        <f>'Special Corporate+ Rates'!O10</f>
        <v>0</v>
      </c>
      <c r="P346" s="65">
        <f>'Special Corporate+ Rates'!P10</f>
        <v>0</v>
      </c>
      <c r="Q346" s="65">
        <f>'Special Corporate+ Rates'!Q10</f>
        <v>0</v>
      </c>
      <c r="R346" s="65">
        <f>'Special Corporate+ Rates'!R10</f>
        <v>0</v>
      </c>
      <c r="S346" s="65">
        <f>'Special Corporate+ Rates'!S10</f>
        <v>0</v>
      </c>
      <c r="T346" s="65">
        <f>'Special Corporate+ Rates'!T10</f>
        <v>0</v>
      </c>
      <c r="U346" s="65">
        <f>'Special Corporate+ Rates'!U10</f>
        <v>0</v>
      </c>
      <c r="V346" s="65">
        <f>'Special Corporate+ Rates'!V10</f>
        <v>0</v>
      </c>
      <c r="W346" s="65">
        <f>'Special Corporate+ Rates'!W10</f>
        <v>0</v>
      </c>
      <c r="X346" s="65">
        <f>'Special Corporate+ Rates'!X10</f>
        <v>0</v>
      </c>
      <c r="Y346" s="65">
        <f>'Special Corporate+ Rates'!Y10</f>
        <v>0</v>
      </c>
      <c r="Z346" s="65">
        <f>'Special Corporate+ Rates'!Z10</f>
        <v>0</v>
      </c>
      <c r="AA346" s="65">
        <f>'Special Corporate+ Rates'!AA10</f>
        <v>0</v>
      </c>
      <c r="AB346" s="65">
        <f>'Special Corporate+ Rates'!AB10</f>
        <v>0</v>
      </c>
      <c r="AC346" s="65">
        <f>'Special Corporate+ Rates'!AC10</f>
        <v>0</v>
      </c>
      <c r="AD346" s="65">
        <f>'Special Corporate+ Rates'!AD10</f>
        <v>0</v>
      </c>
      <c r="AE346" s="65">
        <f>'Special Corporate+ Rates'!AE10</f>
        <v>0</v>
      </c>
      <c r="AF346" s="65">
        <f>'Special Corporate+ Rates'!AF10</f>
        <v>0</v>
      </c>
      <c r="AG346" s="65">
        <f>'Special Corporate+ Rates'!AG10</f>
        <v>0</v>
      </c>
      <c r="AH346" s="65">
        <f>'Special Corporate+ Rates'!AH10</f>
        <v>0</v>
      </c>
      <c r="AI346" s="65">
        <f>'Special Corporate+ Rates'!AI10</f>
        <v>0</v>
      </c>
      <c r="AJ346" s="65">
        <f>'Special Corporate+ Rates'!AJ10</f>
        <v>0</v>
      </c>
      <c r="AK346" s="65">
        <f>'Special Corporate+ Rates'!AK10</f>
        <v>0</v>
      </c>
      <c r="AL346" s="65">
        <f>'Special Corporate+ Rates'!AL10</f>
        <v>0</v>
      </c>
      <c r="AM346" s="65">
        <f>'Special Corporate+ Rates'!AM10</f>
        <v>0</v>
      </c>
      <c r="AN346" s="65">
        <f>'Special Corporate+ Rates'!AN10</f>
        <v>0</v>
      </c>
      <c r="AO346" s="65">
        <f>'Special Corporate+ Rates'!AO10</f>
        <v>0</v>
      </c>
      <c r="AP346" s="65">
        <f>'Special Corporate+ Rates'!AP10</f>
        <v>0</v>
      </c>
      <c r="AQ346" s="65">
        <f>'Special Corporate+ Rates'!AQ10</f>
        <v>0</v>
      </c>
      <c r="AR346" s="65">
        <f>'Special Corporate+ Rates'!AR10</f>
        <v>0</v>
      </c>
      <c r="AS346" s="65">
        <f>'Special Corporate+ Rates'!AS10</f>
        <v>0</v>
      </c>
      <c r="AT346" s="65">
        <f>'Special Corporate+ Rates'!AT10</f>
        <v>0</v>
      </c>
      <c r="AU346" s="65">
        <f>'Special Corporate+ Rates'!AU10</f>
        <v>0</v>
      </c>
      <c r="AV346" s="65">
        <f>'Special Corporate+ Rates'!AV10</f>
        <v>0</v>
      </c>
      <c r="AW346" s="65">
        <f>'Special Corporate+ Rates'!AW10</f>
        <v>0</v>
      </c>
      <c r="AX346" s="65">
        <f>'Special Corporate+ Rates'!AX10</f>
        <v>0</v>
      </c>
      <c r="AY346" s="65">
        <f>'Special Corporate+ Rates'!AY10</f>
        <v>0</v>
      </c>
      <c r="AZ346" s="65">
        <f>'Special Corporate+ Rates'!AZ10</f>
        <v>0</v>
      </c>
      <c r="BA346" s="65">
        <f>'Special Corporate+ Rates'!BA10</f>
        <v>0</v>
      </c>
      <c r="BB346" s="65">
        <f>'Special Corporate+ Rates'!BB10</f>
        <v>0</v>
      </c>
      <c r="BC346" s="65">
        <f>'Special Corporate+ Rates'!BC10</f>
        <v>0</v>
      </c>
      <c r="BD346" s="65">
        <f>'Special Corporate+ Rates'!BD10</f>
        <v>0</v>
      </c>
      <c r="BE346" s="65">
        <f>'Special Corporate+ Rates'!BE10</f>
        <v>0</v>
      </c>
      <c r="BF346" s="65">
        <f>'Special Corporate+ Rates'!BF10</f>
        <v>0</v>
      </c>
      <c r="BG346" s="65">
        <f>'Special Corporate+ Rates'!BG10</f>
        <v>0</v>
      </c>
      <c r="BH346" s="65">
        <f>'Special Corporate+ Rates'!BH10</f>
        <v>0</v>
      </c>
      <c r="BI346" s="65">
        <f>'Special Corporate+ Rates'!BI10</f>
        <v>0</v>
      </c>
      <c r="BJ346" s="65">
        <f>'Special Corporate+ Rates'!BJ10</f>
        <v>0</v>
      </c>
      <c r="BK346" s="65">
        <f>'Special Corporate+ Rates'!BK10</f>
        <v>0</v>
      </c>
      <c r="BL346" s="65">
        <f>'Special Corporate+ Rates'!BL10</f>
        <v>0</v>
      </c>
      <c r="BM346" s="65">
        <f>'Special Corporate+ Rates'!BM10</f>
        <v>0</v>
      </c>
      <c r="BN346" s="65">
        <f>'Special Corporate+ Rates'!BN10</f>
        <v>0</v>
      </c>
      <c r="BO346" s="65">
        <f>'Special Corporate+ Rates'!BO10</f>
        <v>0</v>
      </c>
      <c r="BP346" s="65">
        <f>'Special Corporate+ Rates'!BP10</f>
        <v>0</v>
      </c>
      <c r="BQ346" s="65">
        <f>'Special Corporate+ Rates'!BQ10</f>
        <v>0</v>
      </c>
      <c r="BR346" s="65">
        <f>'Special Corporate+ Rates'!BR10</f>
        <v>0</v>
      </c>
      <c r="BS346" s="65">
        <f>'Special Corporate+ Rates'!BS10</f>
        <v>0</v>
      </c>
      <c r="BT346" s="65">
        <f>'Special Corporate+ Rates'!BT10</f>
        <v>0</v>
      </c>
      <c r="BU346" s="65">
        <f>'Special Corporate+ Rates'!BU10</f>
        <v>0</v>
      </c>
      <c r="BV346" s="65">
        <f>'Special Corporate+ Rates'!BV10</f>
        <v>0</v>
      </c>
      <c r="BW346" s="65">
        <f>'Special Corporate+ Rates'!BW10</f>
        <v>0</v>
      </c>
      <c r="BX346" s="65">
        <f>'Special Corporate+ Rates'!BX10</f>
        <v>0</v>
      </c>
      <c r="BY346" s="65">
        <f>'Special Corporate+ Rates'!BY10</f>
        <v>0</v>
      </c>
      <c r="BZ346" s="65">
        <f>'Special Corporate+ Rates'!BZ10</f>
        <v>0</v>
      </c>
      <c r="CA346" s="65">
        <f>'Special Corporate+ Rates'!CA10</f>
        <v>0</v>
      </c>
      <c r="CB346" s="65">
        <f>'Special Corporate+ Rates'!CB10</f>
        <v>0</v>
      </c>
      <c r="CC346" s="65">
        <f>'Special Corporate+ Rates'!CC10</f>
        <v>0</v>
      </c>
      <c r="CD346" s="65">
        <f>'Special Corporate+ Rates'!CD10</f>
        <v>0</v>
      </c>
      <c r="CE346" s="65">
        <f>'Special Corporate+ Rates'!CE10</f>
        <v>0</v>
      </c>
      <c r="CF346" s="65">
        <f>'Special Corporate+ Rates'!CF10</f>
        <v>0</v>
      </c>
      <c r="CG346" s="65">
        <f>'Special Corporate+ Rates'!CG10</f>
        <v>0</v>
      </c>
      <c r="CH346" s="65">
        <f>'Special Corporate+ Rates'!CH10</f>
        <v>0</v>
      </c>
      <c r="CI346" s="65">
        <f>'Special Corporate+ Rates'!CI10</f>
        <v>0</v>
      </c>
      <c r="CJ346" s="65">
        <f>'Special Corporate+ Rates'!CJ10</f>
        <v>0</v>
      </c>
      <c r="CK346" s="65">
        <f>'Special Corporate+ Rates'!CK10</f>
        <v>0</v>
      </c>
      <c r="CL346" s="65">
        <f>'Special Corporate+ Rates'!CL10</f>
        <v>0</v>
      </c>
      <c r="CM346" s="65">
        <f>'Special Corporate+ Rates'!CM10</f>
        <v>0</v>
      </c>
      <c r="CN346" s="65">
        <f>'Special Corporate+ Rates'!CN10</f>
        <v>0</v>
      </c>
      <c r="CO346" s="65">
        <f>'Special Corporate+ Rates'!CO10</f>
        <v>0</v>
      </c>
      <c r="CP346" s="65">
        <f>'Special Corporate+ Rates'!CP10</f>
        <v>0</v>
      </c>
      <c r="CQ346" s="65">
        <f>'Special Corporate+ Rates'!CQ10</f>
        <v>0</v>
      </c>
      <c r="CR346" s="65">
        <f>'Special Corporate+ Rates'!CR10</f>
        <v>0</v>
      </c>
      <c r="CS346" s="65">
        <f>'Special Corporate+ Rates'!CS10</f>
        <v>0</v>
      </c>
      <c r="CT346" s="65">
        <f>'Special Corporate+ Rates'!CT10</f>
        <v>0</v>
      </c>
      <c r="CU346" s="65">
        <f>'Special Corporate+ Rates'!CU10</f>
        <v>0</v>
      </c>
      <c r="CV346" s="65">
        <f>'Special Corporate+ Rates'!CV10</f>
        <v>0</v>
      </c>
      <c r="CW346" s="65">
        <f>'Special Corporate+ Rates'!CW10</f>
        <v>0</v>
      </c>
      <c r="CX346" s="65">
        <f>'Special Corporate+ Rates'!CX10</f>
        <v>0</v>
      </c>
      <c r="CY346" s="65">
        <f>'Special Corporate+ Rates'!CY10</f>
        <v>0</v>
      </c>
      <c r="CZ346" s="65">
        <f>'Special Corporate+ Rates'!CZ10</f>
        <v>0</v>
      </c>
      <c r="DA346" s="65">
        <f>'Special Corporate+ Rates'!DA10</f>
        <v>0</v>
      </c>
      <c r="DB346" s="65">
        <f>'Special Corporate+ Rates'!DB10</f>
        <v>0</v>
      </c>
      <c r="DC346" s="65">
        <f>'Special Corporate+ Rates'!DC10</f>
        <v>0</v>
      </c>
      <c r="DD346" s="65">
        <f>'Special Corporate+ Rates'!DD10</f>
        <v>0</v>
      </c>
      <c r="DE346" s="65">
        <f>'Special Corporate+ Rates'!DE10</f>
        <v>0</v>
      </c>
      <c r="DF346" s="65">
        <f>'Special Corporate+ Rates'!DF10</f>
        <v>0</v>
      </c>
      <c r="DG346" s="65">
        <f>'Special Corporate+ Rates'!DG10</f>
        <v>0</v>
      </c>
      <c r="DH346" s="65">
        <f>'Special Corporate+ Rates'!DH10</f>
        <v>0</v>
      </c>
      <c r="DI346" s="65">
        <f>'Special Corporate+ Rates'!DI10</f>
        <v>0</v>
      </c>
      <c r="DJ346" s="65">
        <f>'Special Corporate+ Rates'!DJ10</f>
        <v>0</v>
      </c>
      <c r="DK346" s="65">
        <f>'Special Corporate+ Rates'!DK10</f>
        <v>0</v>
      </c>
      <c r="DL346" s="65">
        <f>'Special Corporate+ Rates'!DL10</f>
        <v>0</v>
      </c>
      <c r="DM346" s="65">
        <f>'Special Corporate+ Rates'!DM10</f>
        <v>0</v>
      </c>
      <c r="DN346" s="65">
        <f>'Special Corporate+ Rates'!DN10</f>
        <v>0</v>
      </c>
      <c r="DO346" s="65">
        <f>'Special Corporate+ Rates'!DO10</f>
        <v>0</v>
      </c>
      <c r="DP346" s="65">
        <f>'Special Corporate+ Rates'!DP10</f>
        <v>0</v>
      </c>
      <c r="DQ346" s="65">
        <f>'Special Corporate+ Rates'!DQ10</f>
        <v>0</v>
      </c>
      <c r="DR346" s="65">
        <f>'Special Corporate+ Rates'!DR10</f>
        <v>0</v>
      </c>
      <c r="DS346" s="65">
        <f>'Special Corporate+ Rates'!DS10</f>
        <v>0</v>
      </c>
      <c r="DT346" s="65">
        <f>'Special Corporate+ Rates'!DT10</f>
        <v>0</v>
      </c>
      <c r="DU346" s="65">
        <f>'Special Corporate+ Rates'!DU10</f>
        <v>0</v>
      </c>
      <c r="DV346" s="65">
        <f>'Special Corporate+ Rates'!DV10</f>
        <v>0</v>
      </c>
      <c r="DW346" s="65">
        <f>'Special Corporate+ Rates'!DW10</f>
        <v>0</v>
      </c>
      <c r="DX346" s="65">
        <f>'Special Corporate+ Rates'!DX10</f>
        <v>0</v>
      </c>
      <c r="DY346" s="68"/>
    </row>
    <row r="347" spans="1:129" x14ac:dyDescent="0.2">
      <c r="A347" s="152"/>
      <c r="B347" s="65" t="str">
        <f>'Special Corporate+ Rates'!B11</f>
        <v>Rate Seasons / Room pools</v>
      </c>
      <c r="C347" s="65">
        <f>'Special Corporate+ Rates'!C11</f>
        <v>0</v>
      </c>
      <c r="D347" s="65" t="str">
        <f>'Special Corporate+ Rates'!D11</f>
        <v>Season 1 "Default"</v>
      </c>
      <c r="E347" s="65" t="str">
        <f>'Special Corporate+ Rates'!E11</f>
        <v>Season 2</v>
      </c>
      <c r="F347" s="65" t="str">
        <f>'Special Corporate+ Rates'!F11</f>
        <v>Season 3</v>
      </c>
      <c r="G347" s="65" t="str">
        <f>'Special Corporate+ Rates'!G11</f>
        <v>Season 4</v>
      </c>
      <c r="H347" s="65" t="str">
        <f>'Special Corporate+ Rates'!H11</f>
        <v>Season 5</v>
      </c>
      <c r="I347" s="65" t="str">
        <f>'Special Corporate+ Rates'!I11</f>
        <v>Season 1 "Default"</v>
      </c>
      <c r="J347" s="65" t="str">
        <f>'Special Corporate+ Rates'!J11</f>
        <v>Season 2</v>
      </c>
      <c r="K347" s="65" t="str">
        <f>'Special Corporate+ Rates'!K11</f>
        <v>Season 3</v>
      </c>
      <c r="L347" s="65" t="str">
        <f>'Special Corporate+ Rates'!L11</f>
        <v>Season 4</v>
      </c>
      <c r="M347" s="65" t="str">
        <f>'Special Corporate+ Rates'!M11</f>
        <v>Season 5</v>
      </c>
      <c r="N347" s="65" t="str">
        <f>'Special Corporate+ Rates'!N11</f>
        <v>Season 1 "Default"</v>
      </c>
      <c r="O347" s="65" t="str">
        <f>'Special Corporate+ Rates'!O11</f>
        <v>Season 2</v>
      </c>
      <c r="P347" s="65" t="str">
        <f>'Special Corporate+ Rates'!P11</f>
        <v>Season 3</v>
      </c>
      <c r="Q347" s="65" t="str">
        <f>'Special Corporate+ Rates'!Q11</f>
        <v>Season 4</v>
      </c>
      <c r="R347" s="65" t="str">
        <f>'Special Corporate+ Rates'!R11</f>
        <v>Season 5</v>
      </c>
      <c r="S347" s="65" t="str">
        <f>'Special Corporate+ Rates'!S11</f>
        <v>Season 1 "Default"</v>
      </c>
      <c r="T347" s="65" t="str">
        <f>'Special Corporate+ Rates'!T11</f>
        <v>Season 2</v>
      </c>
      <c r="U347" s="65" t="str">
        <f>'Special Corporate+ Rates'!U11</f>
        <v>Season 3</v>
      </c>
      <c r="V347" s="65" t="str">
        <f>'Special Corporate+ Rates'!V11</f>
        <v>Season 4</v>
      </c>
      <c r="W347" s="65" t="str">
        <f>'Special Corporate+ Rates'!W11</f>
        <v>Season 5</v>
      </c>
      <c r="X347" s="65" t="str">
        <f>'Special Corporate+ Rates'!X11</f>
        <v>Season 1 "Default"</v>
      </c>
      <c r="Y347" s="65" t="str">
        <f>'Special Corporate+ Rates'!Y11</f>
        <v>Season 2</v>
      </c>
      <c r="Z347" s="65" t="str">
        <f>'Special Corporate+ Rates'!Z11</f>
        <v>Season 3</v>
      </c>
      <c r="AA347" s="65" t="str">
        <f>'Special Corporate+ Rates'!AA11</f>
        <v>Season 4</v>
      </c>
      <c r="AB347" s="65" t="str">
        <f>'Special Corporate+ Rates'!AB11</f>
        <v>Season 5</v>
      </c>
      <c r="AC347" s="65" t="str">
        <f>'Special Corporate+ Rates'!AC11</f>
        <v>Season 1 "Default"</v>
      </c>
      <c r="AD347" s="65" t="str">
        <f>'Special Corporate+ Rates'!AD11</f>
        <v>Season 2</v>
      </c>
      <c r="AE347" s="65" t="str">
        <f>'Special Corporate+ Rates'!AE11</f>
        <v>Season 3</v>
      </c>
      <c r="AF347" s="65" t="str">
        <f>'Special Corporate+ Rates'!AF11</f>
        <v>Season 4</v>
      </c>
      <c r="AG347" s="65" t="str">
        <f>'Special Corporate+ Rates'!AG11</f>
        <v>Season 5</v>
      </c>
      <c r="AH347" s="65" t="str">
        <f>'Special Corporate+ Rates'!AH11</f>
        <v>Season 1 "Default"</v>
      </c>
      <c r="AI347" s="65" t="str">
        <f>'Special Corporate+ Rates'!AI11</f>
        <v>Season 2</v>
      </c>
      <c r="AJ347" s="65" t="str">
        <f>'Special Corporate+ Rates'!AJ11</f>
        <v>Season 3</v>
      </c>
      <c r="AK347" s="65" t="str">
        <f>'Special Corporate+ Rates'!AK11</f>
        <v>Season 4</v>
      </c>
      <c r="AL347" s="65" t="str">
        <f>'Special Corporate+ Rates'!AL11</f>
        <v>Season 5</v>
      </c>
      <c r="AM347" s="65" t="str">
        <f>'Special Corporate+ Rates'!AM11</f>
        <v>Season 1 "Default"</v>
      </c>
      <c r="AN347" s="65" t="str">
        <f>'Special Corporate+ Rates'!AN11</f>
        <v>Season 2</v>
      </c>
      <c r="AO347" s="65" t="str">
        <f>'Special Corporate+ Rates'!AO11</f>
        <v>Season 3</v>
      </c>
      <c r="AP347" s="65" t="str">
        <f>'Special Corporate+ Rates'!AP11</f>
        <v>Season 4</v>
      </c>
      <c r="AQ347" s="65" t="str">
        <f>'Special Corporate+ Rates'!AQ11</f>
        <v>Season 5</v>
      </c>
      <c r="AR347" s="65" t="str">
        <f>'Special Corporate+ Rates'!AR11</f>
        <v>Season 1 "Default"</v>
      </c>
      <c r="AS347" s="65" t="str">
        <f>'Special Corporate+ Rates'!AS11</f>
        <v>Season 2</v>
      </c>
      <c r="AT347" s="65" t="str">
        <f>'Special Corporate+ Rates'!AT11</f>
        <v>Season 3</v>
      </c>
      <c r="AU347" s="65" t="str">
        <f>'Special Corporate+ Rates'!AU11</f>
        <v>Season 4</v>
      </c>
      <c r="AV347" s="65" t="str">
        <f>'Special Corporate+ Rates'!AV11</f>
        <v>Season 5</v>
      </c>
      <c r="AW347" s="65" t="str">
        <f>'Special Corporate+ Rates'!AW11</f>
        <v>Season 1 "Default"</v>
      </c>
      <c r="AX347" s="65" t="str">
        <f>'Special Corporate+ Rates'!AX11</f>
        <v>Season 2</v>
      </c>
      <c r="AY347" s="65" t="str">
        <f>'Special Corporate+ Rates'!AY11</f>
        <v>Season 3</v>
      </c>
      <c r="AZ347" s="65" t="str">
        <f>'Special Corporate+ Rates'!AZ11</f>
        <v>Season 4</v>
      </c>
      <c r="BA347" s="65" t="str">
        <f>'Special Corporate+ Rates'!BA11</f>
        <v>Season 5</v>
      </c>
      <c r="BB347" s="65" t="str">
        <f>'Special Corporate+ Rates'!BB11</f>
        <v>Season 1 "Default"</v>
      </c>
      <c r="BC347" s="65" t="str">
        <f>'Special Corporate+ Rates'!BC11</f>
        <v>Season 2</v>
      </c>
      <c r="BD347" s="65" t="str">
        <f>'Special Corporate+ Rates'!BD11</f>
        <v>Season 3</v>
      </c>
      <c r="BE347" s="65" t="str">
        <f>'Special Corporate+ Rates'!BE11</f>
        <v>Season 4</v>
      </c>
      <c r="BF347" s="65" t="str">
        <f>'Special Corporate+ Rates'!BF11</f>
        <v>Season 5</v>
      </c>
      <c r="BG347" s="65" t="str">
        <f>'Special Corporate+ Rates'!BG11</f>
        <v>Season 1 "Default"</v>
      </c>
      <c r="BH347" s="65" t="str">
        <f>'Special Corporate+ Rates'!BH11</f>
        <v>Season 2</v>
      </c>
      <c r="BI347" s="65" t="str">
        <f>'Special Corporate+ Rates'!BI11</f>
        <v>Season 3</v>
      </c>
      <c r="BJ347" s="65" t="str">
        <f>'Special Corporate+ Rates'!BJ11</f>
        <v>Season 4</v>
      </c>
      <c r="BK347" s="65" t="str">
        <f>'Special Corporate+ Rates'!BK11</f>
        <v>Season 5</v>
      </c>
      <c r="BL347" s="65" t="str">
        <f>'Special Corporate+ Rates'!BL11</f>
        <v>Season 1 "Default"</v>
      </c>
      <c r="BM347" s="65" t="str">
        <f>'Special Corporate+ Rates'!BM11</f>
        <v>Season 2</v>
      </c>
      <c r="BN347" s="65" t="str">
        <f>'Special Corporate+ Rates'!BN11</f>
        <v>Season 3</v>
      </c>
      <c r="BO347" s="65" t="str">
        <f>'Special Corporate+ Rates'!BO11</f>
        <v>Season 4</v>
      </c>
      <c r="BP347" s="65" t="str">
        <f>'Special Corporate+ Rates'!BP11</f>
        <v>Season 5</v>
      </c>
      <c r="BQ347" s="65" t="str">
        <f>'Special Corporate+ Rates'!BQ11</f>
        <v>Season 1 "Default"</v>
      </c>
      <c r="BR347" s="65" t="str">
        <f>'Special Corporate+ Rates'!BR11</f>
        <v>Season 2</v>
      </c>
      <c r="BS347" s="65" t="str">
        <f>'Special Corporate+ Rates'!BS11</f>
        <v>Season 3</v>
      </c>
      <c r="BT347" s="65" t="str">
        <f>'Special Corporate+ Rates'!BT11</f>
        <v>Season 4</v>
      </c>
      <c r="BU347" s="65" t="str">
        <f>'Special Corporate+ Rates'!BU11</f>
        <v>Season 5</v>
      </c>
      <c r="BV347" s="65" t="str">
        <f>'Special Corporate+ Rates'!BV11</f>
        <v>Season 1 "Default"</v>
      </c>
      <c r="BW347" s="65" t="str">
        <f>'Special Corporate+ Rates'!BW11</f>
        <v>Season 2</v>
      </c>
      <c r="BX347" s="65" t="str">
        <f>'Special Corporate+ Rates'!BX11</f>
        <v>Season 3</v>
      </c>
      <c r="BY347" s="65" t="str">
        <f>'Special Corporate+ Rates'!BY11</f>
        <v>Season 4</v>
      </c>
      <c r="BZ347" s="65" t="str">
        <f>'Special Corporate+ Rates'!BZ11</f>
        <v>Season 5</v>
      </c>
      <c r="CA347" s="65" t="str">
        <f>'Special Corporate+ Rates'!CA11</f>
        <v>Season 1 "Default"</v>
      </c>
      <c r="CB347" s="65" t="str">
        <f>'Special Corporate+ Rates'!CB11</f>
        <v>Season 2</v>
      </c>
      <c r="CC347" s="65" t="str">
        <f>'Special Corporate+ Rates'!CC11</f>
        <v>Season 3</v>
      </c>
      <c r="CD347" s="65" t="str">
        <f>'Special Corporate+ Rates'!CD11</f>
        <v>Season 4</v>
      </c>
      <c r="CE347" s="65" t="str">
        <f>'Special Corporate+ Rates'!CE11</f>
        <v>Season 5</v>
      </c>
      <c r="CF347" s="65" t="str">
        <f>'Special Corporate+ Rates'!CF11</f>
        <v>Season 1 "Default"</v>
      </c>
      <c r="CG347" s="65" t="str">
        <f>'Special Corporate+ Rates'!CG11</f>
        <v>Season 2</v>
      </c>
      <c r="CH347" s="65" t="str">
        <f>'Special Corporate+ Rates'!CH11</f>
        <v>Season 3</v>
      </c>
      <c r="CI347" s="65" t="str">
        <f>'Special Corporate+ Rates'!CI11</f>
        <v>Season 4</v>
      </c>
      <c r="CJ347" s="65" t="str">
        <f>'Special Corporate+ Rates'!CJ11</f>
        <v>Season 5</v>
      </c>
      <c r="CK347" s="65" t="str">
        <f>'Special Corporate+ Rates'!CK11</f>
        <v>Season 1 "Default"</v>
      </c>
      <c r="CL347" s="65" t="str">
        <f>'Special Corporate+ Rates'!CL11</f>
        <v>Season 2</v>
      </c>
      <c r="CM347" s="65" t="str">
        <f>'Special Corporate+ Rates'!CM11</f>
        <v>Season 3</v>
      </c>
      <c r="CN347" s="65" t="str">
        <f>'Special Corporate+ Rates'!CN11</f>
        <v>Season 4</v>
      </c>
      <c r="CO347" s="65" t="str">
        <f>'Special Corporate+ Rates'!CO11</f>
        <v>Season 5</v>
      </c>
      <c r="CP347" s="65" t="str">
        <f>'Special Corporate+ Rates'!CP11</f>
        <v>Season 1 "Default"</v>
      </c>
      <c r="CQ347" s="65" t="str">
        <f>'Special Corporate+ Rates'!CQ11</f>
        <v>Season 2</v>
      </c>
      <c r="CR347" s="65" t="str">
        <f>'Special Corporate+ Rates'!CR11</f>
        <v>Season 3</v>
      </c>
      <c r="CS347" s="65" t="str">
        <f>'Special Corporate+ Rates'!CS11</f>
        <v>Season 4</v>
      </c>
      <c r="CT347" s="65" t="str">
        <f>'Special Corporate+ Rates'!CT11</f>
        <v>Season 5</v>
      </c>
      <c r="CU347" s="65" t="str">
        <f>'Special Corporate+ Rates'!CU11</f>
        <v>Season 1 "Default"</v>
      </c>
      <c r="CV347" s="65" t="str">
        <f>'Special Corporate+ Rates'!CV11</f>
        <v>Season 2</v>
      </c>
      <c r="CW347" s="65" t="str">
        <f>'Special Corporate+ Rates'!CW11</f>
        <v>Season 3</v>
      </c>
      <c r="CX347" s="65" t="str">
        <f>'Special Corporate+ Rates'!CX11</f>
        <v>Season 4</v>
      </c>
      <c r="CY347" s="65" t="str">
        <f>'Special Corporate+ Rates'!CY11</f>
        <v>Season 5</v>
      </c>
      <c r="CZ347" s="65" t="str">
        <f>'Special Corporate+ Rates'!CZ11</f>
        <v>Season 1 "Default"</v>
      </c>
      <c r="DA347" s="65" t="str">
        <f>'Special Corporate+ Rates'!DA11</f>
        <v>Season 2</v>
      </c>
      <c r="DB347" s="65" t="str">
        <f>'Special Corporate+ Rates'!DB11</f>
        <v>Season 3</v>
      </c>
      <c r="DC347" s="65" t="str">
        <f>'Special Corporate+ Rates'!DC11</f>
        <v>Season 4</v>
      </c>
      <c r="DD347" s="65" t="str">
        <f>'Special Corporate+ Rates'!DD11</f>
        <v>Season 5</v>
      </c>
      <c r="DE347" s="65" t="str">
        <f>'Special Corporate+ Rates'!DE11</f>
        <v>Season 1 "Default"</v>
      </c>
      <c r="DF347" s="65" t="str">
        <f>'Special Corporate+ Rates'!DF11</f>
        <v>Season 2</v>
      </c>
      <c r="DG347" s="65" t="str">
        <f>'Special Corporate+ Rates'!DG11</f>
        <v>Season 3</v>
      </c>
      <c r="DH347" s="65" t="str">
        <f>'Special Corporate+ Rates'!DH11</f>
        <v>Season 4</v>
      </c>
      <c r="DI347" s="65" t="str">
        <f>'Special Corporate+ Rates'!DI11</f>
        <v>Season 5</v>
      </c>
      <c r="DJ347" s="65" t="str">
        <f>'Special Corporate+ Rates'!DJ11</f>
        <v>Season 1 "Default"</v>
      </c>
      <c r="DK347" s="65" t="str">
        <f>'Special Corporate+ Rates'!DK11</f>
        <v>Season 2</v>
      </c>
      <c r="DL347" s="65" t="str">
        <f>'Special Corporate+ Rates'!DL11</f>
        <v>Season 3</v>
      </c>
      <c r="DM347" s="65" t="str">
        <f>'Special Corporate+ Rates'!DM11</f>
        <v>Season 4</v>
      </c>
      <c r="DN347" s="65" t="str">
        <f>'Special Corporate+ Rates'!DN11</f>
        <v>Season 5</v>
      </c>
      <c r="DO347" s="65" t="str">
        <f>'Special Corporate+ Rates'!DO11</f>
        <v>Season 1 "Default"</v>
      </c>
      <c r="DP347" s="65" t="str">
        <f>'Special Corporate+ Rates'!DP11</f>
        <v>Season 2</v>
      </c>
      <c r="DQ347" s="65" t="str">
        <f>'Special Corporate+ Rates'!DQ11</f>
        <v>Season 3</v>
      </c>
      <c r="DR347" s="65" t="str">
        <f>'Special Corporate+ Rates'!DR11</f>
        <v>Season 4</v>
      </c>
      <c r="DS347" s="65" t="str">
        <f>'Special Corporate+ Rates'!DS11</f>
        <v>Season 5</v>
      </c>
      <c r="DT347" s="65" t="str">
        <f>'Special Corporate+ Rates'!DT11</f>
        <v>Season 1 "Default"</v>
      </c>
      <c r="DU347" s="65" t="str">
        <f>'Special Corporate+ Rates'!DU11</f>
        <v>Season 2</v>
      </c>
      <c r="DV347" s="65" t="str">
        <f>'Special Corporate+ Rates'!DV11</f>
        <v>Season 3</v>
      </c>
      <c r="DW347" s="65" t="str">
        <f>'Special Corporate+ Rates'!DW11</f>
        <v>Season 4</v>
      </c>
      <c r="DX347" s="65" t="str">
        <f>'Special Corporate+ Rates'!DX11</f>
        <v>Season 5</v>
      </c>
      <c r="DY347" s="68"/>
    </row>
    <row r="348" spans="1:129" x14ac:dyDescent="0.2">
      <c r="A348" s="152"/>
      <c r="B348" s="65" t="str">
        <f>'Special Corporate+ Rates'!B12</f>
        <v>KING</v>
      </c>
      <c r="C348" s="65">
        <f>'Special Corporate+ Rates'!C12</f>
        <v>0</v>
      </c>
      <c r="D348" s="65">
        <f>'Special Corporate+ Rates'!D12</f>
        <v>0</v>
      </c>
      <c r="E348" s="65">
        <f>'Special Corporate+ Rates'!E12</f>
        <v>0</v>
      </c>
      <c r="F348" s="65">
        <f>'Special Corporate+ Rates'!F12</f>
        <v>0</v>
      </c>
      <c r="G348" s="65">
        <f>'Special Corporate+ Rates'!G12</f>
        <v>0</v>
      </c>
      <c r="H348" s="65">
        <f>'Special Corporate+ Rates'!H12</f>
        <v>0</v>
      </c>
      <c r="I348" s="65">
        <f>'Special Corporate+ Rates'!I12</f>
        <v>0</v>
      </c>
      <c r="J348" s="65">
        <f>'Special Corporate+ Rates'!J12</f>
        <v>0</v>
      </c>
      <c r="K348" s="65">
        <f>'Special Corporate+ Rates'!K12</f>
        <v>0</v>
      </c>
      <c r="L348" s="65">
        <f>'Special Corporate+ Rates'!L12</f>
        <v>0</v>
      </c>
      <c r="M348" s="65">
        <f>'Special Corporate+ Rates'!M12</f>
        <v>0</v>
      </c>
      <c r="N348" s="65">
        <f>'Special Corporate+ Rates'!N12</f>
        <v>0</v>
      </c>
      <c r="O348" s="65">
        <f>'Special Corporate+ Rates'!O12</f>
        <v>0</v>
      </c>
      <c r="P348" s="65">
        <f>'Special Corporate+ Rates'!P12</f>
        <v>0</v>
      </c>
      <c r="Q348" s="65">
        <f>'Special Corporate+ Rates'!Q12</f>
        <v>0</v>
      </c>
      <c r="R348" s="65">
        <f>'Special Corporate+ Rates'!R12</f>
        <v>0</v>
      </c>
      <c r="S348" s="65">
        <f>'Special Corporate+ Rates'!S12</f>
        <v>0</v>
      </c>
      <c r="T348" s="65">
        <f>'Special Corporate+ Rates'!T12</f>
        <v>0</v>
      </c>
      <c r="U348" s="65">
        <f>'Special Corporate+ Rates'!U12</f>
        <v>0</v>
      </c>
      <c r="V348" s="65">
        <f>'Special Corporate+ Rates'!V12</f>
        <v>0</v>
      </c>
      <c r="W348" s="65">
        <f>'Special Corporate+ Rates'!W12</f>
        <v>0</v>
      </c>
      <c r="X348" s="65">
        <f>'Special Corporate+ Rates'!X12</f>
        <v>0</v>
      </c>
      <c r="Y348" s="65">
        <f>'Special Corporate+ Rates'!Y12</f>
        <v>0</v>
      </c>
      <c r="Z348" s="65">
        <f>'Special Corporate+ Rates'!Z12</f>
        <v>0</v>
      </c>
      <c r="AA348" s="65">
        <f>'Special Corporate+ Rates'!AA12</f>
        <v>0</v>
      </c>
      <c r="AB348" s="65">
        <f>'Special Corporate+ Rates'!AB12</f>
        <v>0</v>
      </c>
      <c r="AC348" s="65">
        <f>'Special Corporate+ Rates'!AC12</f>
        <v>0</v>
      </c>
      <c r="AD348" s="65">
        <f>'Special Corporate+ Rates'!AD12</f>
        <v>0</v>
      </c>
      <c r="AE348" s="65">
        <f>'Special Corporate+ Rates'!AE12</f>
        <v>0</v>
      </c>
      <c r="AF348" s="65">
        <f>'Special Corporate+ Rates'!AF12</f>
        <v>0</v>
      </c>
      <c r="AG348" s="65">
        <f>'Special Corporate+ Rates'!AG12</f>
        <v>0</v>
      </c>
      <c r="AH348" s="65">
        <f>'Special Corporate+ Rates'!AH12</f>
        <v>0</v>
      </c>
      <c r="AI348" s="65">
        <f>'Special Corporate+ Rates'!AI12</f>
        <v>0</v>
      </c>
      <c r="AJ348" s="65">
        <f>'Special Corporate+ Rates'!AJ12</f>
        <v>0</v>
      </c>
      <c r="AK348" s="65">
        <f>'Special Corporate+ Rates'!AK12</f>
        <v>0</v>
      </c>
      <c r="AL348" s="65">
        <f>'Special Corporate+ Rates'!AL12</f>
        <v>0</v>
      </c>
      <c r="AM348" s="65">
        <f>'Special Corporate+ Rates'!AM12</f>
        <v>0</v>
      </c>
      <c r="AN348" s="65">
        <f>'Special Corporate+ Rates'!AN12</f>
        <v>0</v>
      </c>
      <c r="AO348" s="65">
        <f>'Special Corporate+ Rates'!AO12</f>
        <v>0</v>
      </c>
      <c r="AP348" s="65">
        <f>'Special Corporate+ Rates'!AP12</f>
        <v>0</v>
      </c>
      <c r="AQ348" s="65">
        <f>'Special Corporate+ Rates'!AQ12</f>
        <v>0</v>
      </c>
      <c r="AR348" s="65">
        <f>'Special Corporate+ Rates'!AR12</f>
        <v>0</v>
      </c>
      <c r="AS348" s="65">
        <f>'Special Corporate+ Rates'!AS12</f>
        <v>0</v>
      </c>
      <c r="AT348" s="65">
        <f>'Special Corporate+ Rates'!AT12</f>
        <v>0</v>
      </c>
      <c r="AU348" s="65">
        <f>'Special Corporate+ Rates'!AU12</f>
        <v>0</v>
      </c>
      <c r="AV348" s="65">
        <f>'Special Corporate+ Rates'!AV12</f>
        <v>0</v>
      </c>
      <c r="AW348" s="65">
        <f>'Special Corporate+ Rates'!AW12</f>
        <v>0</v>
      </c>
      <c r="AX348" s="65">
        <f>'Special Corporate+ Rates'!AX12</f>
        <v>0</v>
      </c>
      <c r="AY348" s="65">
        <f>'Special Corporate+ Rates'!AY12</f>
        <v>0</v>
      </c>
      <c r="AZ348" s="65">
        <f>'Special Corporate+ Rates'!AZ12</f>
        <v>0</v>
      </c>
      <c r="BA348" s="65">
        <f>'Special Corporate+ Rates'!BA12</f>
        <v>0</v>
      </c>
      <c r="BB348" s="65">
        <f>'Special Corporate+ Rates'!BB12</f>
        <v>0</v>
      </c>
      <c r="BC348" s="65">
        <f>'Special Corporate+ Rates'!BC12</f>
        <v>0</v>
      </c>
      <c r="BD348" s="65">
        <f>'Special Corporate+ Rates'!BD12</f>
        <v>0</v>
      </c>
      <c r="BE348" s="65">
        <f>'Special Corporate+ Rates'!BE12</f>
        <v>0</v>
      </c>
      <c r="BF348" s="65">
        <f>'Special Corporate+ Rates'!BF12</f>
        <v>0</v>
      </c>
      <c r="BG348" s="65">
        <f>'Special Corporate+ Rates'!BG12</f>
        <v>0</v>
      </c>
      <c r="BH348" s="65">
        <f>'Special Corporate+ Rates'!BH12</f>
        <v>0</v>
      </c>
      <c r="BI348" s="65">
        <f>'Special Corporate+ Rates'!BI12</f>
        <v>0</v>
      </c>
      <c r="BJ348" s="65">
        <f>'Special Corporate+ Rates'!BJ12</f>
        <v>0</v>
      </c>
      <c r="BK348" s="65">
        <f>'Special Corporate+ Rates'!BK12</f>
        <v>0</v>
      </c>
      <c r="BL348" s="65">
        <f>'Special Corporate+ Rates'!BL12</f>
        <v>0</v>
      </c>
      <c r="BM348" s="65">
        <f>'Special Corporate+ Rates'!BM12</f>
        <v>0</v>
      </c>
      <c r="BN348" s="65">
        <f>'Special Corporate+ Rates'!BN12</f>
        <v>0</v>
      </c>
      <c r="BO348" s="65">
        <f>'Special Corporate+ Rates'!BO12</f>
        <v>0</v>
      </c>
      <c r="BP348" s="65">
        <f>'Special Corporate+ Rates'!BP12</f>
        <v>0</v>
      </c>
      <c r="BQ348" s="65">
        <f>'Special Corporate+ Rates'!BQ12</f>
        <v>0</v>
      </c>
      <c r="BR348" s="65">
        <f>'Special Corporate+ Rates'!BR12</f>
        <v>0</v>
      </c>
      <c r="BS348" s="65">
        <f>'Special Corporate+ Rates'!BS12</f>
        <v>0</v>
      </c>
      <c r="BT348" s="65">
        <f>'Special Corporate+ Rates'!BT12</f>
        <v>0</v>
      </c>
      <c r="BU348" s="65">
        <f>'Special Corporate+ Rates'!BU12</f>
        <v>0</v>
      </c>
      <c r="BV348" s="65">
        <f>'Special Corporate+ Rates'!BV12</f>
        <v>0</v>
      </c>
      <c r="BW348" s="65">
        <f>'Special Corporate+ Rates'!BW12</f>
        <v>0</v>
      </c>
      <c r="BX348" s="65">
        <f>'Special Corporate+ Rates'!BX12</f>
        <v>0</v>
      </c>
      <c r="BY348" s="65">
        <f>'Special Corporate+ Rates'!BY12</f>
        <v>0</v>
      </c>
      <c r="BZ348" s="65">
        <f>'Special Corporate+ Rates'!BZ12</f>
        <v>0</v>
      </c>
      <c r="CA348" s="65">
        <f>'Special Corporate+ Rates'!CA12</f>
        <v>0</v>
      </c>
      <c r="CB348" s="65">
        <f>'Special Corporate+ Rates'!CB12</f>
        <v>0</v>
      </c>
      <c r="CC348" s="65">
        <f>'Special Corporate+ Rates'!CC12</f>
        <v>0</v>
      </c>
      <c r="CD348" s="65">
        <f>'Special Corporate+ Rates'!CD12</f>
        <v>0</v>
      </c>
      <c r="CE348" s="65">
        <f>'Special Corporate+ Rates'!CE12</f>
        <v>0</v>
      </c>
      <c r="CF348" s="65">
        <f>'Special Corporate+ Rates'!CF12</f>
        <v>0</v>
      </c>
      <c r="CG348" s="65">
        <f>'Special Corporate+ Rates'!CG12</f>
        <v>0</v>
      </c>
      <c r="CH348" s="65">
        <f>'Special Corporate+ Rates'!CH12</f>
        <v>0</v>
      </c>
      <c r="CI348" s="65">
        <f>'Special Corporate+ Rates'!CI12</f>
        <v>0</v>
      </c>
      <c r="CJ348" s="65">
        <f>'Special Corporate+ Rates'!CJ12</f>
        <v>0</v>
      </c>
      <c r="CK348" s="65">
        <f>'Special Corporate+ Rates'!CK12</f>
        <v>0</v>
      </c>
      <c r="CL348" s="65">
        <f>'Special Corporate+ Rates'!CL12</f>
        <v>0</v>
      </c>
      <c r="CM348" s="65">
        <f>'Special Corporate+ Rates'!CM12</f>
        <v>0</v>
      </c>
      <c r="CN348" s="65">
        <f>'Special Corporate+ Rates'!CN12</f>
        <v>0</v>
      </c>
      <c r="CO348" s="65">
        <f>'Special Corporate+ Rates'!CO12</f>
        <v>0</v>
      </c>
      <c r="CP348" s="65">
        <f>'Special Corporate+ Rates'!CP12</f>
        <v>0</v>
      </c>
      <c r="CQ348" s="65">
        <f>'Special Corporate+ Rates'!CQ12</f>
        <v>0</v>
      </c>
      <c r="CR348" s="65">
        <f>'Special Corporate+ Rates'!CR12</f>
        <v>0</v>
      </c>
      <c r="CS348" s="65">
        <f>'Special Corporate+ Rates'!CS12</f>
        <v>0</v>
      </c>
      <c r="CT348" s="65">
        <f>'Special Corporate+ Rates'!CT12</f>
        <v>0</v>
      </c>
      <c r="CU348" s="65">
        <f>'Special Corporate+ Rates'!CU12</f>
        <v>0</v>
      </c>
      <c r="CV348" s="65">
        <f>'Special Corporate+ Rates'!CV12</f>
        <v>0</v>
      </c>
      <c r="CW348" s="65">
        <f>'Special Corporate+ Rates'!CW12</f>
        <v>0</v>
      </c>
      <c r="CX348" s="65">
        <f>'Special Corporate+ Rates'!CX12</f>
        <v>0</v>
      </c>
      <c r="CY348" s="65">
        <f>'Special Corporate+ Rates'!CY12</f>
        <v>0</v>
      </c>
      <c r="CZ348" s="65">
        <f>'Special Corporate+ Rates'!CZ12</f>
        <v>0</v>
      </c>
      <c r="DA348" s="65">
        <f>'Special Corporate+ Rates'!DA12</f>
        <v>0</v>
      </c>
      <c r="DB348" s="65">
        <f>'Special Corporate+ Rates'!DB12</f>
        <v>0</v>
      </c>
      <c r="DC348" s="65">
        <f>'Special Corporate+ Rates'!DC12</f>
        <v>0</v>
      </c>
      <c r="DD348" s="65">
        <f>'Special Corporate+ Rates'!DD12</f>
        <v>0</v>
      </c>
      <c r="DE348" s="65">
        <f>'Special Corporate+ Rates'!DE12</f>
        <v>0</v>
      </c>
      <c r="DF348" s="65">
        <f>'Special Corporate+ Rates'!DF12</f>
        <v>0</v>
      </c>
      <c r="DG348" s="65">
        <f>'Special Corporate+ Rates'!DG12</f>
        <v>0</v>
      </c>
      <c r="DH348" s="65">
        <f>'Special Corporate+ Rates'!DH12</f>
        <v>0</v>
      </c>
      <c r="DI348" s="65">
        <f>'Special Corporate+ Rates'!DI12</f>
        <v>0</v>
      </c>
      <c r="DJ348" s="65">
        <f>'Special Corporate+ Rates'!DJ12</f>
        <v>0</v>
      </c>
      <c r="DK348" s="65">
        <f>'Special Corporate+ Rates'!DK12</f>
        <v>0</v>
      </c>
      <c r="DL348" s="65">
        <f>'Special Corporate+ Rates'!DL12</f>
        <v>0</v>
      </c>
      <c r="DM348" s="65">
        <f>'Special Corporate+ Rates'!DM12</f>
        <v>0</v>
      </c>
      <c r="DN348" s="65">
        <f>'Special Corporate+ Rates'!DN12</f>
        <v>0</v>
      </c>
      <c r="DO348" s="65">
        <f>'Special Corporate+ Rates'!DO12</f>
        <v>0</v>
      </c>
      <c r="DP348" s="65">
        <f>'Special Corporate+ Rates'!DP12</f>
        <v>0</v>
      </c>
      <c r="DQ348" s="65">
        <f>'Special Corporate+ Rates'!DQ12</f>
        <v>0</v>
      </c>
      <c r="DR348" s="65">
        <f>'Special Corporate+ Rates'!DR12</f>
        <v>0</v>
      </c>
      <c r="DS348" s="65">
        <f>'Special Corporate+ Rates'!DS12</f>
        <v>0</v>
      </c>
      <c r="DT348" s="65">
        <f>'Special Corporate+ Rates'!DT12</f>
        <v>0</v>
      </c>
      <c r="DU348" s="65">
        <f>'Special Corporate+ Rates'!DU12</f>
        <v>0</v>
      </c>
      <c r="DV348" s="65">
        <f>'Special Corporate+ Rates'!DV12</f>
        <v>0</v>
      </c>
      <c r="DW348" s="65">
        <f>'Special Corporate+ Rates'!DW12</f>
        <v>0</v>
      </c>
      <c r="DX348" s="65">
        <f>'Special Corporate+ Rates'!DX12</f>
        <v>0</v>
      </c>
      <c r="DY348" s="68"/>
    </row>
    <row r="349" spans="1:129" x14ac:dyDescent="0.2">
      <c r="A349" s="152"/>
      <c r="B349" s="65" t="str">
        <f>'Special Corporate+ Rates'!B13</f>
        <v>DBDB</v>
      </c>
      <c r="C349" s="65">
        <f>'Special Corporate+ Rates'!C13</f>
        <v>0</v>
      </c>
      <c r="D349" s="65">
        <f>'Special Corporate+ Rates'!D13</f>
        <v>0</v>
      </c>
      <c r="E349" s="65">
        <f>'Special Corporate+ Rates'!E13</f>
        <v>0</v>
      </c>
      <c r="F349" s="65">
        <f>'Special Corporate+ Rates'!F13</f>
        <v>0</v>
      </c>
      <c r="G349" s="65">
        <f>'Special Corporate+ Rates'!G13</f>
        <v>0</v>
      </c>
      <c r="H349" s="65">
        <f>'Special Corporate+ Rates'!H13</f>
        <v>0</v>
      </c>
      <c r="I349" s="65">
        <f>'Special Corporate+ Rates'!I13</f>
        <v>0</v>
      </c>
      <c r="J349" s="65">
        <f>'Special Corporate+ Rates'!J13</f>
        <v>0</v>
      </c>
      <c r="K349" s="65">
        <f>'Special Corporate+ Rates'!K13</f>
        <v>0</v>
      </c>
      <c r="L349" s="65">
        <f>'Special Corporate+ Rates'!L13</f>
        <v>0</v>
      </c>
      <c r="M349" s="65">
        <f>'Special Corporate+ Rates'!M13</f>
        <v>0</v>
      </c>
      <c r="N349" s="65">
        <f>'Special Corporate+ Rates'!N13</f>
        <v>0</v>
      </c>
      <c r="O349" s="65">
        <f>'Special Corporate+ Rates'!O13</f>
        <v>0</v>
      </c>
      <c r="P349" s="65">
        <f>'Special Corporate+ Rates'!P13</f>
        <v>0</v>
      </c>
      <c r="Q349" s="65">
        <f>'Special Corporate+ Rates'!Q13</f>
        <v>0</v>
      </c>
      <c r="R349" s="65">
        <f>'Special Corporate+ Rates'!R13</f>
        <v>0</v>
      </c>
      <c r="S349" s="65">
        <f>'Special Corporate+ Rates'!S13</f>
        <v>0</v>
      </c>
      <c r="T349" s="65">
        <f>'Special Corporate+ Rates'!T13</f>
        <v>0</v>
      </c>
      <c r="U349" s="65">
        <f>'Special Corporate+ Rates'!U13</f>
        <v>0</v>
      </c>
      <c r="V349" s="65">
        <f>'Special Corporate+ Rates'!V13</f>
        <v>0</v>
      </c>
      <c r="W349" s="65">
        <f>'Special Corporate+ Rates'!W13</f>
        <v>0</v>
      </c>
      <c r="X349" s="65">
        <f>'Special Corporate+ Rates'!X13</f>
        <v>0</v>
      </c>
      <c r="Y349" s="65">
        <f>'Special Corporate+ Rates'!Y13</f>
        <v>0</v>
      </c>
      <c r="Z349" s="65">
        <f>'Special Corporate+ Rates'!Z13</f>
        <v>0</v>
      </c>
      <c r="AA349" s="65">
        <f>'Special Corporate+ Rates'!AA13</f>
        <v>0</v>
      </c>
      <c r="AB349" s="65">
        <f>'Special Corporate+ Rates'!AB13</f>
        <v>0</v>
      </c>
      <c r="AC349" s="65">
        <f>'Special Corporate+ Rates'!AC13</f>
        <v>0</v>
      </c>
      <c r="AD349" s="65">
        <f>'Special Corporate+ Rates'!AD13</f>
        <v>0</v>
      </c>
      <c r="AE349" s="65">
        <f>'Special Corporate+ Rates'!AE13</f>
        <v>0</v>
      </c>
      <c r="AF349" s="65">
        <f>'Special Corporate+ Rates'!AF13</f>
        <v>0</v>
      </c>
      <c r="AG349" s="65">
        <f>'Special Corporate+ Rates'!AG13</f>
        <v>0</v>
      </c>
      <c r="AH349" s="65">
        <f>'Special Corporate+ Rates'!AH13</f>
        <v>0</v>
      </c>
      <c r="AI349" s="65">
        <f>'Special Corporate+ Rates'!AI13</f>
        <v>0</v>
      </c>
      <c r="AJ349" s="65">
        <f>'Special Corporate+ Rates'!AJ13</f>
        <v>0</v>
      </c>
      <c r="AK349" s="65">
        <f>'Special Corporate+ Rates'!AK13</f>
        <v>0</v>
      </c>
      <c r="AL349" s="65">
        <f>'Special Corporate+ Rates'!AL13</f>
        <v>0</v>
      </c>
      <c r="AM349" s="65">
        <f>'Special Corporate+ Rates'!AM13</f>
        <v>0</v>
      </c>
      <c r="AN349" s="65">
        <f>'Special Corporate+ Rates'!AN13</f>
        <v>0</v>
      </c>
      <c r="AO349" s="65">
        <f>'Special Corporate+ Rates'!AO13</f>
        <v>0</v>
      </c>
      <c r="AP349" s="65">
        <f>'Special Corporate+ Rates'!AP13</f>
        <v>0</v>
      </c>
      <c r="AQ349" s="65">
        <f>'Special Corporate+ Rates'!AQ13</f>
        <v>0</v>
      </c>
      <c r="AR349" s="65">
        <f>'Special Corporate+ Rates'!AR13</f>
        <v>0</v>
      </c>
      <c r="AS349" s="65">
        <f>'Special Corporate+ Rates'!AS13</f>
        <v>0</v>
      </c>
      <c r="AT349" s="65">
        <f>'Special Corporate+ Rates'!AT13</f>
        <v>0</v>
      </c>
      <c r="AU349" s="65">
        <f>'Special Corporate+ Rates'!AU13</f>
        <v>0</v>
      </c>
      <c r="AV349" s="65">
        <f>'Special Corporate+ Rates'!AV13</f>
        <v>0</v>
      </c>
      <c r="AW349" s="65">
        <f>'Special Corporate+ Rates'!AW13</f>
        <v>0</v>
      </c>
      <c r="AX349" s="65">
        <f>'Special Corporate+ Rates'!AX13</f>
        <v>0</v>
      </c>
      <c r="AY349" s="65">
        <f>'Special Corporate+ Rates'!AY13</f>
        <v>0</v>
      </c>
      <c r="AZ349" s="65">
        <f>'Special Corporate+ Rates'!AZ13</f>
        <v>0</v>
      </c>
      <c r="BA349" s="65">
        <f>'Special Corporate+ Rates'!BA13</f>
        <v>0</v>
      </c>
      <c r="BB349" s="65">
        <f>'Special Corporate+ Rates'!BB13</f>
        <v>0</v>
      </c>
      <c r="BC349" s="65">
        <f>'Special Corporate+ Rates'!BC13</f>
        <v>0</v>
      </c>
      <c r="BD349" s="65">
        <f>'Special Corporate+ Rates'!BD13</f>
        <v>0</v>
      </c>
      <c r="BE349" s="65">
        <f>'Special Corporate+ Rates'!BE13</f>
        <v>0</v>
      </c>
      <c r="BF349" s="65">
        <f>'Special Corporate+ Rates'!BF13</f>
        <v>0</v>
      </c>
      <c r="BG349" s="65">
        <f>'Special Corporate+ Rates'!BG13</f>
        <v>0</v>
      </c>
      <c r="BH349" s="65">
        <f>'Special Corporate+ Rates'!BH13</f>
        <v>0</v>
      </c>
      <c r="BI349" s="65">
        <f>'Special Corporate+ Rates'!BI13</f>
        <v>0</v>
      </c>
      <c r="BJ349" s="65">
        <f>'Special Corporate+ Rates'!BJ13</f>
        <v>0</v>
      </c>
      <c r="BK349" s="65">
        <f>'Special Corporate+ Rates'!BK13</f>
        <v>0</v>
      </c>
      <c r="BL349" s="65">
        <f>'Special Corporate+ Rates'!BL13</f>
        <v>0</v>
      </c>
      <c r="BM349" s="65">
        <f>'Special Corporate+ Rates'!BM13</f>
        <v>0</v>
      </c>
      <c r="BN349" s="65">
        <f>'Special Corporate+ Rates'!BN13</f>
        <v>0</v>
      </c>
      <c r="BO349" s="65">
        <f>'Special Corporate+ Rates'!BO13</f>
        <v>0</v>
      </c>
      <c r="BP349" s="65">
        <f>'Special Corporate+ Rates'!BP13</f>
        <v>0</v>
      </c>
      <c r="BQ349" s="65">
        <f>'Special Corporate+ Rates'!BQ13</f>
        <v>0</v>
      </c>
      <c r="BR349" s="65">
        <f>'Special Corporate+ Rates'!BR13</f>
        <v>0</v>
      </c>
      <c r="BS349" s="65">
        <f>'Special Corporate+ Rates'!BS13</f>
        <v>0</v>
      </c>
      <c r="BT349" s="65">
        <f>'Special Corporate+ Rates'!BT13</f>
        <v>0</v>
      </c>
      <c r="BU349" s="65">
        <f>'Special Corporate+ Rates'!BU13</f>
        <v>0</v>
      </c>
      <c r="BV349" s="65">
        <f>'Special Corporate+ Rates'!BV13</f>
        <v>0</v>
      </c>
      <c r="BW349" s="65">
        <f>'Special Corporate+ Rates'!BW13</f>
        <v>0</v>
      </c>
      <c r="BX349" s="65">
        <f>'Special Corporate+ Rates'!BX13</f>
        <v>0</v>
      </c>
      <c r="BY349" s="65">
        <f>'Special Corporate+ Rates'!BY13</f>
        <v>0</v>
      </c>
      <c r="BZ349" s="65">
        <f>'Special Corporate+ Rates'!BZ13</f>
        <v>0</v>
      </c>
      <c r="CA349" s="65">
        <f>'Special Corporate+ Rates'!CA13</f>
        <v>0</v>
      </c>
      <c r="CB349" s="65">
        <f>'Special Corporate+ Rates'!CB13</f>
        <v>0</v>
      </c>
      <c r="CC349" s="65">
        <f>'Special Corporate+ Rates'!CC13</f>
        <v>0</v>
      </c>
      <c r="CD349" s="65">
        <f>'Special Corporate+ Rates'!CD13</f>
        <v>0</v>
      </c>
      <c r="CE349" s="65">
        <f>'Special Corporate+ Rates'!CE13</f>
        <v>0</v>
      </c>
      <c r="CF349" s="65">
        <f>'Special Corporate+ Rates'!CF13</f>
        <v>0</v>
      </c>
      <c r="CG349" s="65">
        <f>'Special Corporate+ Rates'!CG13</f>
        <v>0</v>
      </c>
      <c r="CH349" s="65">
        <f>'Special Corporate+ Rates'!CH13</f>
        <v>0</v>
      </c>
      <c r="CI349" s="65">
        <f>'Special Corporate+ Rates'!CI13</f>
        <v>0</v>
      </c>
      <c r="CJ349" s="65">
        <f>'Special Corporate+ Rates'!CJ13</f>
        <v>0</v>
      </c>
      <c r="CK349" s="65">
        <f>'Special Corporate+ Rates'!CK13</f>
        <v>0</v>
      </c>
      <c r="CL349" s="65">
        <f>'Special Corporate+ Rates'!CL13</f>
        <v>0</v>
      </c>
      <c r="CM349" s="65">
        <f>'Special Corporate+ Rates'!CM13</f>
        <v>0</v>
      </c>
      <c r="CN349" s="65">
        <f>'Special Corporate+ Rates'!CN13</f>
        <v>0</v>
      </c>
      <c r="CO349" s="65">
        <f>'Special Corporate+ Rates'!CO13</f>
        <v>0</v>
      </c>
      <c r="CP349" s="65">
        <f>'Special Corporate+ Rates'!CP13</f>
        <v>0</v>
      </c>
      <c r="CQ349" s="65">
        <f>'Special Corporate+ Rates'!CQ13</f>
        <v>0</v>
      </c>
      <c r="CR349" s="65">
        <f>'Special Corporate+ Rates'!CR13</f>
        <v>0</v>
      </c>
      <c r="CS349" s="65">
        <f>'Special Corporate+ Rates'!CS13</f>
        <v>0</v>
      </c>
      <c r="CT349" s="65">
        <f>'Special Corporate+ Rates'!CT13</f>
        <v>0</v>
      </c>
      <c r="CU349" s="65">
        <f>'Special Corporate+ Rates'!CU13</f>
        <v>0</v>
      </c>
      <c r="CV349" s="65">
        <f>'Special Corporate+ Rates'!CV13</f>
        <v>0</v>
      </c>
      <c r="CW349" s="65">
        <f>'Special Corporate+ Rates'!CW13</f>
        <v>0</v>
      </c>
      <c r="CX349" s="65">
        <f>'Special Corporate+ Rates'!CX13</f>
        <v>0</v>
      </c>
      <c r="CY349" s="65">
        <f>'Special Corporate+ Rates'!CY13</f>
        <v>0</v>
      </c>
      <c r="CZ349" s="65">
        <f>'Special Corporate+ Rates'!CZ13</f>
        <v>0</v>
      </c>
      <c r="DA349" s="65">
        <f>'Special Corporate+ Rates'!DA13</f>
        <v>0</v>
      </c>
      <c r="DB349" s="65">
        <f>'Special Corporate+ Rates'!DB13</f>
        <v>0</v>
      </c>
      <c r="DC349" s="65">
        <f>'Special Corporate+ Rates'!DC13</f>
        <v>0</v>
      </c>
      <c r="DD349" s="65">
        <f>'Special Corporate+ Rates'!DD13</f>
        <v>0</v>
      </c>
      <c r="DE349" s="65">
        <f>'Special Corporate+ Rates'!DE13</f>
        <v>0</v>
      </c>
      <c r="DF349" s="65">
        <f>'Special Corporate+ Rates'!DF13</f>
        <v>0</v>
      </c>
      <c r="DG349" s="65">
        <f>'Special Corporate+ Rates'!DG13</f>
        <v>0</v>
      </c>
      <c r="DH349" s="65">
        <f>'Special Corporate+ Rates'!DH13</f>
        <v>0</v>
      </c>
      <c r="DI349" s="65">
        <f>'Special Corporate+ Rates'!DI13</f>
        <v>0</v>
      </c>
      <c r="DJ349" s="65">
        <f>'Special Corporate+ Rates'!DJ13</f>
        <v>0</v>
      </c>
      <c r="DK349" s="65">
        <f>'Special Corporate+ Rates'!DK13</f>
        <v>0</v>
      </c>
      <c r="DL349" s="65">
        <f>'Special Corporate+ Rates'!DL13</f>
        <v>0</v>
      </c>
      <c r="DM349" s="65">
        <f>'Special Corporate+ Rates'!DM13</f>
        <v>0</v>
      </c>
      <c r="DN349" s="65">
        <f>'Special Corporate+ Rates'!DN13</f>
        <v>0</v>
      </c>
      <c r="DO349" s="65">
        <f>'Special Corporate+ Rates'!DO13</f>
        <v>0</v>
      </c>
      <c r="DP349" s="65">
        <f>'Special Corporate+ Rates'!DP13</f>
        <v>0</v>
      </c>
      <c r="DQ349" s="65">
        <f>'Special Corporate+ Rates'!DQ13</f>
        <v>0</v>
      </c>
      <c r="DR349" s="65">
        <f>'Special Corporate+ Rates'!DR13</f>
        <v>0</v>
      </c>
      <c r="DS349" s="65">
        <f>'Special Corporate+ Rates'!DS13</f>
        <v>0</v>
      </c>
      <c r="DT349" s="65">
        <f>'Special Corporate+ Rates'!DT13</f>
        <v>0</v>
      </c>
      <c r="DU349" s="65">
        <f>'Special Corporate+ Rates'!DU13</f>
        <v>0</v>
      </c>
      <c r="DV349" s="65">
        <f>'Special Corporate+ Rates'!DV13</f>
        <v>0</v>
      </c>
      <c r="DW349" s="65">
        <f>'Special Corporate+ Rates'!DW13</f>
        <v>0</v>
      </c>
      <c r="DX349" s="65">
        <f>'Special Corporate+ Rates'!DX13</f>
        <v>0</v>
      </c>
      <c r="DY349" s="68"/>
    </row>
    <row r="350" spans="1:129" x14ac:dyDescent="0.2">
      <c r="A350" s="152"/>
      <c r="B350" s="65" t="str">
        <f>'Special Corporate+ Rates'!B14</f>
        <v>PMRS</v>
      </c>
      <c r="C350" s="65">
        <f>'Special Corporate+ Rates'!C14</f>
        <v>0</v>
      </c>
      <c r="D350" s="65">
        <f>'Special Corporate+ Rates'!D14</f>
        <v>0</v>
      </c>
      <c r="E350" s="65">
        <f>'Special Corporate+ Rates'!E14</f>
        <v>0</v>
      </c>
      <c r="F350" s="65">
        <f>'Special Corporate+ Rates'!F14</f>
        <v>0</v>
      </c>
      <c r="G350" s="65">
        <f>'Special Corporate+ Rates'!G14</f>
        <v>0</v>
      </c>
      <c r="H350" s="65">
        <f>'Special Corporate+ Rates'!H14</f>
        <v>0</v>
      </c>
      <c r="I350" s="65">
        <f>'Special Corporate+ Rates'!I14</f>
        <v>0</v>
      </c>
      <c r="J350" s="65">
        <f>'Special Corporate+ Rates'!J14</f>
        <v>0</v>
      </c>
      <c r="K350" s="65">
        <f>'Special Corporate+ Rates'!K14</f>
        <v>0</v>
      </c>
      <c r="L350" s="65">
        <f>'Special Corporate+ Rates'!L14</f>
        <v>0</v>
      </c>
      <c r="M350" s="65">
        <f>'Special Corporate+ Rates'!M14</f>
        <v>0</v>
      </c>
      <c r="N350" s="65">
        <f>'Special Corporate+ Rates'!N14</f>
        <v>0</v>
      </c>
      <c r="O350" s="65">
        <f>'Special Corporate+ Rates'!O14</f>
        <v>0</v>
      </c>
      <c r="P350" s="65">
        <f>'Special Corporate+ Rates'!P14</f>
        <v>0</v>
      </c>
      <c r="Q350" s="65">
        <f>'Special Corporate+ Rates'!Q14</f>
        <v>0</v>
      </c>
      <c r="R350" s="65">
        <f>'Special Corporate+ Rates'!R14</f>
        <v>0</v>
      </c>
      <c r="S350" s="65">
        <f>'Special Corporate+ Rates'!S14</f>
        <v>0</v>
      </c>
      <c r="T350" s="65">
        <f>'Special Corporate+ Rates'!T14</f>
        <v>0</v>
      </c>
      <c r="U350" s="65">
        <f>'Special Corporate+ Rates'!U14</f>
        <v>0</v>
      </c>
      <c r="V350" s="65">
        <f>'Special Corporate+ Rates'!V14</f>
        <v>0</v>
      </c>
      <c r="W350" s="65">
        <f>'Special Corporate+ Rates'!W14</f>
        <v>0</v>
      </c>
      <c r="X350" s="65">
        <f>'Special Corporate+ Rates'!X14</f>
        <v>0</v>
      </c>
      <c r="Y350" s="65">
        <f>'Special Corporate+ Rates'!Y14</f>
        <v>0</v>
      </c>
      <c r="Z350" s="65">
        <f>'Special Corporate+ Rates'!Z14</f>
        <v>0</v>
      </c>
      <c r="AA350" s="65">
        <f>'Special Corporate+ Rates'!AA14</f>
        <v>0</v>
      </c>
      <c r="AB350" s="65">
        <f>'Special Corporate+ Rates'!AB14</f>
        <v>0</v>
      </c>
      <c r="AC350" s="65">
        <f>'Special Corporate+ Rates'!AC14</f>
        <v>0</v>
      </c>
      <c r="AD350" s="65">
        <f>'Special Corporate+ Rates'!AD14</f>
        <v>0</v>
      </c>
      <c r="AE350" s="65">
        <f>'Special Corporate+ Rates'!AE14</f>
        <v>0</v>
      </c>
      <c r="AF350" s="65">
        <f>'Special Corporate+ Rates'!AF14</f>
        <v>0</v>
      </c>
      <c r="AG350" s="65">
        <f>'Special Corporate+ Rates'!AG14</f>
        <v>0</v>
      </c>
      <c r="AH350" s="65">
        <f>'Special Corporate+ Rates'!AH14</f>
        <v>0</v>
      </c>
      <c r="AI350" s="65">
        <f>'Special Corporate+ Rates'!AI14</f>
        <v>0</v>
      </c>
      <c r="AJ350" s="65">
        <f>'Special Corporate+ Rates'!AJ14</f>
        <v>0</v>
      </c>
      <c r="AK350" s="65">
        <f>'Special Corporate+ Rates'!AK14</f>
        <v>0</v>
      </c>
      <c r="AL350" s="65">
        <f>'Special Corporate+ Rates'!AL14</f>
        <v>0</v>
      </c>
      <c r="AM350" s="65">
        <f>'Special Corporate+ Rates'!AM14</f>
        <v>0</v>
      </c>
      <c r="AN350" s="65">
        <f>'Special Corporate+ Rates'!AN14</f>
        <v>0</v>
      </c>
      <c r="AO350" s="65">
        <f>'Special Corporate+ Rates'!AO14</f>
        <v>0</v>
      </c>
      <c r="AP350" s="65">
        <f>'Special Corporate+ Rates'!AP14</f>
        <v>0</v>
      </c>
      <c r="AQ350" s="65">
        <f>'Special Corporate+ Rates'!AQ14</f>
        <v>0</v>
      </c>
      <c r="AR350" s="65">
        <f>'Special Corporate+ Rates'!AR14</f>
        <v>0</v>
      </c>
      <c r="AS350" s="65">
        <f>'Special Corporate+ Rates'!AS14</f>
        <v>0</v>
      </c>
      <c r="AT350" s="65">
        <f>'Special Corporate+ Rates'!AT14</f>
        <v>0</v>
      </c>
      <c r="AU350" s="65">
        <f>'Special Corporate+ Rates'!AU14</f>
        <v>0</v>
      </c>
      <c r="AV350" s="65">
        <f>'Special Corporate+ Rates'!AV14</f>
        <v>0</v>
      </c>
      <c r="AW350" s="65">
        <f>'Special Corporate+ Rates'!AW14</f>
        <v>0</v>
      </c>
      <c r="AX350" s="65">
        <f>'Special Corporate+ Rates'!AX14</f>
        <v>0</v>
      </c>
      <c r="AY350" s="65">
        <f>'Special Corporate+ Rates'!AY14</f>
        <v>0</v>
      </c>
      <c r="AZ350" s="65">
        <f>'Special Corporate+ Rates'!AZ14</f>
        <v>0</v>
      </c>
      <c r="BA350" s="65">
        <f>'Special Corporate+ Rates'!BA14</f>
        <v>0</v>
      </c>
      <c r="BB350" s="65">
        <f>'Special Corporate+ Rates'!BB14</f>
        <v>0</v>
      </c>
      <c r="BC350" s="65">
        <f>'Special Corporate+ Rates'!BC14</f>
        <v>0</v>
      </c>
      <c r="BD350" s="65">
        <f>'Special Corporate+ Rates'!BD14</f>
        <v>0</v>
      </c>
      <c r="BE350" s="65">
        <f>'Special Corporate+ Rates'!BE14</f>
        <v>0</v>
      </c>
      <c r="BF350" s="65">
        <f>'Special Corporate+ Rates'!BF14</f>
        <v>0</v>
      </c>
      <c r="BG350" s="65">
        <f>'Special Corporate+ Rates'!BG14</f>
        <v>0</v>
      </c>
      <c r="BH350" s="65">
        <f>'Special Corporate+ Rates'!BH14</f>
        <v>0</v>
      </c>
      <c r="BI350" s="65">
        <f>'Special Corporate+ Rates'!BI14</f>
        <v>0</v>
      </c>
      <c r="BJ350" s="65">
        <f>'Special Corporate+ Rates'!BJ14</f>
        <v>0</v>
      </c>
      <c r="BK350" s="65">
        <f>'Special Corporate+ Rates'!BK14</f>
        <v>0</v>
      </c>
      <c r="BL350" s="65">
        <f>'Special Corporate+ Rates'!BL14</f>
        <v>0</v>
      </c>
      <c r="BM350" s="65">
        <f>'Special Corporate+ Rates'!BM14</f>
        <v>0</v>
      </c>
      <c r="BN350" s="65">
        <f>'Special Corporate+ Rates'!BN14</f>
        <v>0</v>
      </c>
      <c r="BO350" s="65">
        <f>'Special Corporate+ Rates'!BO14</f>
        <v>0</v>
      </c>
      <c r="BP350" s="65">
        <f>'Special Corporate+ Rates'!BP14</f>
        <v>0</v>
      </c>
      <c r="BQ350" s="65">
        <f>'Special Corporate+ Rates'!BQ14</f>
        <v>0</v>
      </c>
      <c r="BR350" s="65">
        <f>'Special Corporate+ Rates'!BR14</f>
        <v>0</v>
      </c>
      <c r="BS350" s="65">
        <f>'Special Corporate+ Rates'!BS14</f>
        <v>0</v>
      </c>
      <c r="BT350" s="65">
        <f>'Special Corporate+ Rates'!BT14</f>
        <v>0</v>
      </c>
      <c r="BU350" s="65">
        <f>'Special Corporate+ Rates'!BU14</f>
        <v>0</v>
      </c>
      <c r="BV350" s="65">
        <f>'Special Corporate+ Rates'!BV14</f>
        <v>0</v>
      </c>
      <c r="BW350" s="65">
        <f>'Special Corporate+ Rates'!BW14</f>
        <v>0</v>
      </c>
      <c r="BX350" s="65">
        <f>'Special Corporate+ Rates'!BX14</f>
        <v>0</v>
      </c>
      <c r="BY350" s="65">
        <f>'Special Corporate+ Rates'!BY14</f>
        <v>0</v>
      </c>
      <c r="BZ350" s="65">
        <f>'Special Corporate+ Rates'!BZ14</f>
        <v>0</v>
      </c>
      <c r="CA350" s="65">
        <f>'Special Corporate+ Rates'!CA14</f>
        <v>0</v>
      </c>
      <c r="CB350" s="65">
        <f>'Special Corporate+ Rates'!CB14</f>
        <v>0</v>
      </c>
      <c r="CC350" s="65">
        <f>'Special Corporate+ Rates'!CC14</f>
        <v>0</v>
      </c>
      <c r="CD350" s="65">
        <f>'Special Corporate+ Rates'!CD14</f>
        <v>0</v>
      </c>
      <c r="CE350" s="65">
        <f>'Special Corporate+ Rates'!CE14</f>
        <v>0</v>
      </c>
      <c r="CF350" s="65">
        <f>'Special Corporate+ Rates'!CF14</f>
        <v>0</v>
      </c>
      <c r="CG350" s="65">
        <f>'Special Corporate+ Rates'!CG14</f>
        <v>0</v>
      </c>
      <c r="CH350" s="65">
        <f>'Special Corporate+ Rates'!CH14</f>
        <v>0</v>
      </c>
      <c r="CI350" s="65">
        <f>'Special Corporate+ Rates'!CI14</f>
        <v>0</v>
      </c>
      <c r="CJ350" s="65">
        <f>'Special Corporate+ Rates'!CJ14</f>
        <v>0</v>
      </c>
      <c r="CK350" s="65">
        <f>'Special Corporate+ Rates'!CK14</f>
        <v>0</v>
      </c>
      <c r="CL350" s="65">
        <f>'Special Corporate+ Rates'!CL14</f>
        <v>0</v>
      </c>
      <c r="CM350" s="65">
        <f>'Special Corporate+ Rates'!CM14</f>
        <v>0</v>
      </c>
      <c r="CN350" s="65">
        <f>'Special Corporate+ Rates'!CN14</f>
        <v>0</v>
      </c>
      <c r="CO350" s="65">
        <f>'Special Corporate+ Rates'!CO14</f>
        <v>0</v>
      </c>
      <c r="CP350" s="65">
        <f>'Special Corporate+ Rates'!CP14</f>
        <v>0</v>
      </c>
      <c r="CQ350" s="65">
        <f>'Special Corporate+ Rates'!CQ14</f>
        <v>0</v>
      </c>
      <c r="CR350" s="65">
        <f>'Special Corporate+ Rates'!CR14</f>
        <v>0</v>
      </c>
      <c r="CS350" s="65">
        <f>'Special Corporate+ Rates'!CS14</f>
        <v>0</v>
      </c>
      <c r="CT350" s="65">
        <f>'Special Corporate+ Rates'!CT14</f>
        <v>0</v>
      </c>
      <c r="CU350" s="65">
        <f>'Special Corporate+ Rates'!CU14</f>
        <v>0</v>
      </c>
      <c r="CV350" s="65">
        <f>'Special Corporate+ Rates'!CV14</f>
        <v>0</v>
      </c>
      <c r="CW350" s="65">
        <f>'Special Corporate+ Rates'!CW14</f>
        <v>0</v>
      </c>
      <c r="CX350" s="65">
        <f>'Special Corporate+ Rates'!CX14</f>
        <v>0</v>
      </c>
      <c r="CY350" s="65">
        <f>'Special Corporate+ Rates'!CY14</f>
        <v>0</v>
      </c>
      <c r="CZ350" s="65">
        <f>'Special Corporate+ Rates'!CZ14</f>
        <v>0</v>
      </c>
      <c r="DA350" s="65">
        <f>'Special Corporate+ Rates'!DA14</f>
        <v>0</v>
      </c>
      <c r="DB350" s="65">
        <f>'Special Corporate+ Rates'!DB14</f>
        <v>0</v>
      </c>
      <c r="DC350" s="65">
        <f>'Special Corporate+ Rates'!DC14</f>
        <v>0</v>
      </c>
      <c r="DD350" s="65">
        <f>'Special Corporate+ Rates'!DD14</f>
        <v>0</v>
      </c>
      <c r="DE350" s="65">
        <f>'Special Corporate+ Rates'!DE14</f>
        <v>0</v>
      </c>
      <c r="DF350" s="65">
        <f>'Special Corporate+ Rates'!DF14</f>
        <v>0</v>
      </c>
      <c r="DG350" s="65">
        <f>'Special Corporate+ Rates'!DG14</f>
        <v>0</v>
      </c>
      <c r="DH350" s="65">
        <f>'Special Corporate+ Rates'!DH14</f>
        <v>0</v>
      </c>
      <c r="DI350" s="65">
        <f>'Special Corporate+ Rates'!DI14</f>
        <v>0</v>
      </c>
      <c r="DJ350" s="65">
        <f>'Special Corporate+ Rates'!DJ14</f>
        <v>0</v>
      </c>
      <c r="DK350" s="65">
        <f>'Special Corporate+ Rates'!DK14</f>
        <v>0</v>
      </c>
      <c r="DL350" s="65">
        <f>'Special Corporate+ Rates'!DL14</f>
        <v>0</v>
      </c>
      <c r="DM350" s="65">
        <f>'Special Corporate+ Rates'!DM14</f>
        <v>0</v>
      </c>
      <c r="DN350" s="65">
        <f>'Special Corporate+ Rates'!DN14</f>
        <v>0</v>
      </c>
      <c r="DO350" s="65">
        <f>'Special Corporate+ Rates'!DO14</f>
        <v>0</v>
      </c>
      <c r="DP350" s="65">
        <f>'Special Corporate+ Rates'!DP14</f>
        <v>0</v>
      </c>
      <c r="DQ350" s="65">
        <f>'Special Corporate+ Rates'!DQ14</f>
        <v>0</v>
      </c>
      <c r="DR350" s="65">
        <f>'Special Corporate+ Rates'!DR14</f>
        <v>0</v>
      </c>
      <c r="DS350" s="65">
        <f>'Special Corporate+ Rates'!DS14</f>
        <v>0</v>
      </c>
      <c r="DT350" s="65">
        <f>'Special Corporate+ Rates'!DT14</f>
        <v>0</v>
      </c>
      <c r="DU350" s="65">
        <f>'Special Corporate+ Rates'!DU14</f>
        <v>0</v>
      </c>
      <c r="DV350" s="65">
        <f>'Special Corporate+ Rates'!DV14</f>
        <v>0</v>
      </c>
      <c r="DW350" s="65">
        <f>'Special Corporate+ Rates'!DW14</f>
        <v>0</v>
      </c>
      <c r="DX350" s="65">
        <f>'Special Corporate+ Rates'!DX14</f>
        <v>0</v>
      </c>
      <c r="DY350" s="68"/>
    </row>
    <row r="351" spans="1:129" x14ac:dyDescent="0.2">
      <c r="A351" s="152"/>
      <c r="B351" s="65" t="str">
        <f>'Special Corporate+ Rates'!B15</f>
        <v>PMRS</v>
      </c>
      <c r="C351" s="65">
        <f>'Special Corporate+ Rates'!C15</f>
        <v>0</v>
      </c>
      <c r="D351" s="65">
        <f>'Special Corporate+ Rates'!D15</f>
        <v>0</v>
      </c>
      <c r="E351" s="65">
        <f>'Special Corporate+ Rates'!E15</f>
        <v>0</v>
      </c>
      <c r="F351" s="65">
        <f>'Special Corporate+ Rates'!F15</f>
        <v>0</v>
      </c>
      <c r="G351" s="65">
        <f>'Special Corporate+ Rates'!G15</f>
        <v>0</v>
      </c>
      <c r="H351" s="65">
        <f>'Special Corporate+ Rates'!H15</f>
        <v>0</v>
      </c>
      <c r="I351" s="65">
        <f>'Special Corporate+ Rates'!I15</f>
        <v>0</v>
      </c>
      <c r="J351" s="65">
        <f>'Special Corporate+ Rates'!J15</f>
        <v>0</v>
      </c>
      <c r="K351" s="65">
        <f>'Special Corporate+ Rates'!K15</f>
        <v>0</v>
      </c>
      <c r="L351" s="65">
        <f>'Special Corporate+ Rates'!L15</f>
        <v>0</v>
      </c>
      <c r="M351" s="65">
        <f>'Special Corporate+ Rates'!M15</f>
        <v>0</v>
      </c>
      <c r="N351" s="65">
        <f>'Special Corporate+ Rates'!N15</f>
        <v>0</v>
      </c>
      <c r="O351" s="65">
        <f>'Special Corporate+ Rates'!O15</f>
        <v>0</v>
      </c>
      <c r="P351" s="65">
        <f>'Special Corporate+ Rates'!P15</f>
        <v>0</v>
      </c>
      <c r="Q351" s="65">
        <f>'Special Corporate+ Rates'!Q15</f>
        <v>0</v>
      </c>
      <c r="R351" s="65">
        <f>'Special Corporate+ Rates'!R15</f>
        <v>0</v>
      </c>
      <c r="S351" s="65">
        <f>'Special Corporate+ Rates'!S15</f>
        <v>0</v>
      </c>
      <c r="T351" s="65">
        <f>'Special Corporate+ Rates'!T15</f>
        <v>0</v>
      </c>
      <c r="U351" s="65">
        <f>'Special Corporate+ Rates'!U15</f>
        <v>0</v>
      </c>
      <c r="V351" s="65">
        <f>'Special Corporate+ Rates'!V15</f>
        <v>0</v>
      </c>
      <c r="W351" s="65">
        <f>'Special Corporate+ Rates'!W15</f>
        <v>0</v>
      </c>
      <c r="X351" s="65">
        <f>'Special Corporate+ Rates'!X15</f>
        <v>0</v>
      </c>
      <c r="Y351" s="65">
        <f>'Special Corporate+ Rates'!Y15</f>
        <v>0</v>
      </c>
      <c r="Z351" s="65">
        <f>'Special Corporate+ Rates'!Z15</f>
        <v>0</v>
      </c>
      <c r="AA351" s="65">
        <f>'Special Corporate+ Rates'!AA15</f>
        <v>0</v>
      </c>
      <c r="AB351" s="65">
        <f>'Special Corporate+ Rates'!AB15</f>
        <v>0</v>
      </c>
      <c r="AC351" s="65">
        <f>'Special Corporate+ Rates'!AC15</f>
        <v>0</v>
      </c>
      <c r="AD351" s="65">
        <f>'Special Corporate+ Rates'!AD15</f>
        <v>0</v>
      </c>
      <c r="AE351" s="65">
        <f>'Special Corporate+ Rates'!AE15</f>
        <v>0</v>
      </c>
      <c r="AF351" s="65">
        <f>'Special Corporate+ Rates'!AF15</f>
        <v>0</v>
      </c>
      <c r="AG351" s="65">
        <f>'Special Corporate+ Rates'!AG15</f>
        <v>0</v>
      </c>
      <c r="AH351" s="65">
        <f>'Special Corporate+ Rates'!AH15</f>
        <v>0</v>
      </c>
      <c r="AI351" s="65">
        <f>'Special Corporate+ Rates'!AI15</f>
        <v>0</v>
      </c>
      <c r="AJ351" s="65">
        <f>'Special Corporate+ Rates'!AJ15</f>
        <v>0</v>
      </c>
      <c r="AK351" s="65">
        <f>'Special Corporate+ Rates'!AK15</f>
        <v>0</v>
      </c>
      <c r="AL351" s="65">
        <f>'Special Corporate+ Rates'!AL15</f>
        <v>0</v>
      </c>
      <c r="AM351" s="65">
        <f>'Special Corporate+ Rates'!AM15</f>
        <v>0</v>
      </c>
      <c r="AN351" s="65">
        <f>'Special Corporate+ Rates'!AN15</f>
        <v>0</v>
      </c>
      <c r="AO351" s="65">
        <f>'Special Corporate+ Rates'!AO15</f>
        <v>0</v>
      </c>
      <c r="AP351" s="65">
        <f>'Special Corporate+ Rates'!AP15</f>
        <v>0</v>
      </c>
      <c r="AQ351" s="65">
        <f>'Special Corporate+ Rates'!AQ15</f>
        <v>0</v>
      </c>
      <c r="AR351" s="65">
        <f>'Special Corporate+ Rates'!AR15</f>
        <v>0</v>
      </c>
      <c r="AS351" s="65">
        <f>'Special Corporate+ Rates'!AS15</f>
        <v>0</v>
      </c>
      <c r="AT351" s="65">
        <f>'Special Corporate+ Rates'!AT15</f>
        <v>0</v>
      </c>
      <c r="AU351" s="65">
        <f>'Special Corporate+ Rates'!AU15</f>
        <v>0</v>
      </c>
      <c r="AV351" s="65">
        <f>'Special Corporate+ Rates'!AV15</f>
        <v>0</v>
      </c>
      <c r="AW351" s="65">
        <f>'Special Corporate+ Rates'!AW15</f>
        <v>0</v>
      </c>
      <c r="AX351" s="65">
        <f>'Special Corporate+ Rates'!AX15</f>
        <v>0</v>
      </c>
      <c r="AY351" s="65">
        <f>'Special Corporate+ Rates'!AY15</f>
        <v>0</v>
      </c>
      <c r="AZ351" s="65">
        <f>'Special Corporate+ Rates'!AZ15</f>
        <v>0</v>
      </c>
      <c r="BA351" s="65">
        <f>'Special Corporate+ Rates'!BA15</f>
        <v>0</v>
      </c>
      <c r="BB351" s="65">
        <f>'Special Corporate+ Rates'!BB15</f>
        <v>0</v>
      </c>
      <c r="BC351" s="65">
        <f>'Special Corporate+ Rates'!BC15</f>
        <v>0</v>
      </c>
      <c r="BD351" s="65">
        <f>'Special Corporate+ Rates'!BD15</f>
        <v>0</v>
      </c>
      <c r="BE351" s="65">
        <f>'Special Corporate+ Rates'!BE15</f>
        <v>0</v>
      </c>
      <c r="BF351" s="65">
        <f>'Special Corporate+ Rates'!BF15</f>
        <v>0</v>
      </c>
      <c r="BG351" s="65">
        <f>'Special Corporate+ Rates'!BG15</f>
        <v>0</v>
      </c>
      <c r="BH351" s="65">
        <f>'Special Corporate+ Rates'!BH15</f>
        <v>0</v>
      </c>
      <c r="BI351" s="65">
        <f>'Special Corporate+ Rates'!BI15</f>
        <v>0</v>
      </c>
      <c r="BJ351" s="65">
        <f>'Special Corporate+ Rates'!BJ15</f>
        <v>0</v>
      </c>
      <c r="BK351" s="65">
        <f>'Special Corporate+ Rates'!BK15</f>
        <v>0</v>
      </c>
      <c r="BL351" s="65">
        <f>'Special Corporate+ Rates'!BL15</f>
        <v>0</v>
      </c>
      <c r="BM351" s="65">
        <f>'Special Corporate+ Rates'!BM15</f>
        <v>0</v>
      </c>
      <c r="BN351" s="65">
        <f>'Special Corporate+ Rates'!BN15</f>
        <v>0</v>
      </c>
      <c r="BO351" s="65">
        <f>'Special Corporate+ Rates'!BO15</f>
        <v>0</v>
      </c>
      <c r="BP351" s="65">
        <f>'Special Corporate+ Rates'!BP15</f>
        <v>0</v>
      </c>
      <c r="BQ351" s="65">
        <f>'Special Corporate+ Rates'!BQ15</f>
        <v>0</v>
      </c>
      <c r="BR351" s="65">
        <f>'Special Corporate+ Rates'!BR15</f>
        <v>0</v>
      </c>
      <c r="BS351" s="65">
        <f>'Special Corporate+ Rates'!BS15</f>
        <v>0</v>
      </c>
      <c r="BT351" s="65">
        <f>'Special Corporate+ Rates'!BT15</f>
        <v>0</v>
      </c>
      <c r="BU351" s="65">
        <f>'Special Corporate+ Rates'!BU15</f>
        <v>0</v>
      </c>
      <c r="BV351" s="65">
        <f>'Special Corporate+ Rates'!BV15</f>
        <v>0</v>
      </c>
      <c r="BW351" s="65">
        <f>'Special Corporate+ Rates'!BW15</f>
        <v>0</v>
      </c>
      <c r="BX351" s="65">
        <f>'Special Corporate+ Rates'!BX15</f>
        <v>0</v>
      </c>
      <c r="BY351" s="65">
        <f>'Special Corporate+ Rates'!BY15</f>
        <v>0</v>
      </c>
      <c r="BZ351" s="65">
        <f>'Special Corporate+ Rates'!BZ15</f>
        <v>0</v>
      </c>
      <c r="CA351" s="65">
        <f>'Special Corporate+ Rates'!CA15</f>
        <v>0</v>
      </c>
      <c r="CB351" s="65">
        <f>'Special Corporate+ Rates'!CB15</f>
        <v>0</v>
      </c>
      <c r="CC351" s="65">
        <f>'Special Corporate+ Rates'!CC15</f>
        <v>0</v>
      </c>
      <c r="CD351" s="65">
        <f>'Special Corporate+ Rates'!CD15</f>
        <v>0</v>
      </c>
      <c r="CE351" s="65">
        <f>'Special Corporate+ Rates'!CE15</f>
        <v>0</v>
      </c>
      <c r="CF351" s="65">
        <f>'Special Corporate+ Rates'!CF15</f>
        <v>0</v>
      </c>
      <c r="CG351" s="65">
        <f>'Special Corporate+ Rates'!CG15</f>
        <v>0</v>
      </c>
      <c r="CH351" s="65">
        <f>'Special Corporate+ Rates'!CH15</f>
        <v>0</v>
      </c>
      <c r="CI351" s="65">
        <f>'Special Corporate+ Rates'!CI15</f>
        <v>0</v>
      </c>
      <c r="CJ351" s="65">
        <f>'Special Corporate+ Rates'!CJ15</f>
        <v>0</v>
      </c>
      <c r="CK351" s="65">
        <f>'Special Corporate+ Rates'!CK15</f>
        <v>0</v>
      </c>
      <c r="CL351" s="65">
        <f>'Special Corporate+ Rates'!CL15</f>
        <v>0</v>
      </c>
      <c r="CM351" s="65">
        <f>'Special Corporate+ Rates'!CM15</f>
        <v>0</v>
      </c>
      <c r="CN351" s="65">
        <f>'Special Corporate+ Rates'!CN15</f>
        <v>0</v>
      </c>
      <c r="CO351" s="65">
        <f>'Special Corporate+ Rates'!CO15</f>
        <v>0</v>
      </c>
      <c r="CP351" s="65">
        <f>'Special Corporate+ Rates'!CP15</f>
        <v>0</v>
      </c>
      <c r="CQ351" s="65">
        <f>'Special Corporate+ Rates'!CQ15</f>
        <v>0</v>
      </c>
      <c r="CR351" s="65">
        <f>'Special Corporate+ Rates'!CR15</f>
        <v>0</v>
      </c>
      <c r="CS351" s="65">
        <f>'Special Corporate+ Rates'!CS15</f>
        <v>0</v>
      </c>
      <c r="CT351" s="65">
        <f>'Special Corporate+ Rates'!CT15</f>
        <v>0</v>
      </c>
      <c r="CU351" s="65">
        <f>'Special Corporate+ Rates'!CU15</f>
        <v>0</v>
      </c>
      <c r="CV351" s="65">
        <f>'Special Corporate+ Rates'!CV15</f>
        <v>0</v>
      </c>
      <c r="CW351" s="65">
        <f>'Special Corporate+ Rates'!CW15</f>
        <v>0</v>
      </c>
      <c r="CX351" s="65">
        <f>'Special Corporate+ Rates'!CX15</f>
        <v>0</v>
      </c>
      <c r="CY351" s="65">
        <f>'Special Corporate+ Rates'!CY15</f>
        <v>0</v>
      </c>
      <c r="CZ351" s="65">
        <f>'Special Corporate+ Rates'!CZ15</f>
        <v>0</v>
      </c>
      <c r="DA351" s="65">
        <f>'Special Corporate+ Rates'!DA15</f>
        <v>0</v>
      </c>
      <c r="DB351" s="65">
        <f>'Special Corporate+ Rates'!DB15</f>
        <v>0</v>
      </c>
      <c r="DC351" s="65">
        <f>'Special Corporate+ Rates'!DC15</f>
        <v>0</v>
      </c>
      <c r="DD351" s="65">
        <f>'Special Corporate+ Rates'!DD15</f>
        <v>0</v>
      </c>
      <c r="DE351" s="65">
        <f>'Special Corporate+ Rates'!DE15</f>
        <v>0</v>
      </c>
      <c r="DF351" s="65">
        <f>'Special Corporate+ Rates'!DF15</f>
        <v>0</v>
      </c>
      <c r="DG351" s="65">
        <f>'Special Corporate+ Rates'!DG15</f>
        <v>0</v>
      </c>
      <c r="DH351" s="65">
        <f>'Special Corporate+ Rates'!DH15</f>
        <v>0</v>
      </c>
      <c r="DI351" s="65">
        <f>'Special Corporate+ Rates'!DI15</f>
        <v>0</v>
      </c>
      <c r="DJ351" s="65">
        <f>'Special Corporate+ Rates'!DJ15</f>
        <v>0</v>
      </c>
      <c r="DK351" s="65">
        <f>'Special Corporate+ Rates'!DK15</f>
        <v>0</v>
      </c>
      <c r="DL351" s="65">
        <f>'Special Corporate+ Rates'!DL15</f>
        <v>0</v>
      </c>
      <c r="DM351" s="65">
        <f>'Special Corporate+ Rates'!DM15</f>
        <v>0</v>
      </c>
      <c r="DN351" s="65">
        <f>'Special Corporate+ Rates'!DN15</f>
        <v>0</v>
      </c>
      <c r="DO351" s="65">
        <f>'Special Corporate+ Rates'!DO15</f>
        <v>0</v>
      </c>
      <c r="DP351" s="65">
        <f>'Special Corporate+ Rates'!DP15</f>
        <v>0</v>
      </c>
      <c r="DQ351" s="65">
        <f>'Special Corporate+ Rates'!DQ15</f>
        <v>0</v>
      </c>
      <c r="DR351" s="65">
        <f>'Special Corporate+ Rates'!DR15</f>
        <v>0</v>
      </c>
      <c r="DS351" s="65">
        <f>'Special Corporate+ Rates'!DS15</f>
        <v>0</v>
      </c>
      <c r="DT351" s="65">
        <f>'Special Corporate+ Rates'!DT15</f>
        <v>0</v>
      </c>
      <c r="DU351" s="65">
        <f>'Special Corporate+ Rates'!DU15</f>
        <v>0</v>
      </c>
      <c r="DV351" s="65">
        <f>'Special Corporate+ Rates'!DV15</f>
        <v>0</v>
      </c>
      <c r="DW351" s="65">
        <f>'Special Corporate+ Rates'!DW15</f>
        <v>0</v>
      </c>
      <c r="DX351" s="65">
        <f>'Special Corporate+ Rates'!DX15</f>
        <v>0</v>
      </c>
      <c r="DY351" s="68"/>
    </row>
    <row r="352" spans="1:129" x14ac:dyDescent="0.2">
      <c r="A352" s="152"/>
      <c r="B352" s="65">
        <f>'Special Corporate+ Rates'!B16</f>
        <v>0</v>
      </c>
      <c r="C352" s="65">
        <f>'Special Corporate+ Rates'!C16</f>
        <v>0</v>
      </c>
      <c r="D352" s="65">
        <f>'Special Corporate+ Rates'!D16</f>
        <v>0</v>
      </c>
      <c r="E352" s="65">
        <f>'Special Corporate+ Rates'!E16</f>
        <v>0</v>
      </c>
      <c r="F352" s="65">
        <f>'Special Corporate+ Rates'!F16</f>
        <v>0</v>
      </c>
      <c r="G352" s="65">
        <f>'Special Corporate+ Rates'!G16</f>
        <v>0</v>
      </c>
      <c r="H352" s="65">
        <f>'Special Corporate+ Rates'!H16</f>
        <v>0</v>
      </c>
      <c r="I352" s="65">
        <f>'Special Corporate+ Rates'!I16</f>
        <v>0</v>
      </c>
      <c r="J352" s="65">
        <f>'Special Corporate+ Rates'!J16</f>
        <v>0</v>
      </c>
      <c r="K352" s="65">
        <f>'Special Corporate+ Rates'!K16</f>
        <v>0</v>
      </c>
      <c r="L352" s="65">
        <f>'Special Corporate+ Rates'!L16</f>
        <v>0</v>
      </c>
      <c r="M352" s="65">
        <f>'Special Corporate+ Rates'!M16</f>
        <v>0</v>
      </c>
      <c r="N352" s="65">
        <f>'Special Corporate+ Rates'!N16</f>
        <v>0</v>
      </c>
      <c r="O352" s="65">
        <f>'Special Corporate+ Rates'!O16</f>
        <v>0</v>
      </c>
      <c r="P352" s="65">
        <f>'Special Corporate+ Rates'!P16</f>
        <v>0</v>
      </c>
      <c r="Q352" s="65">
        <f>'Special Corporate+ Rates'!Q16</f>
        <v>0</v>
      </c>
      <c r="R352" s="65">
        <f>'Special Corporate+ Rates'!R16</f>
        <v>0</v>
      </c>
      <c r="S352" s="65">
        <f>'Special Corporate+ Rates'!S16</f>
        <v>0</v>
      </c>
      <c r="T352" s="65">
        <f>'Special Corporate+ Rates'!T16</f>
        <v>0</v>
      </c>
      <c r="U352" s="65">
        <f>'Special Corporate+ Rates'!U16</f>
        <v>0</v>
      </c>
      <c r="V352" s="65">
        <f>'Special Corporate+ Rates'!V16</f>
        <v>0</v>
      </c>
      <c r="W352" s="65">
        <f>'Special Corporate+ Rates'!W16</f>
        <v>0</v>
      </c>
      <c r="X352" s="65">
        <f>'Special Corporate+ Rates'!X16</f>
        <v>0</v>
      </c>
      <c r="Y352" s="65">
        <f>'Special Corporate+ Rates'!Y16</f>
        <v>0</v>
      </c>
      <c r="Z352" s="65">
        <f>'Special Corporate+ Rates'!Z16</f>
        <v>0</v>
      </c>
      <c r="AA352" s="65">
        <f>'Special Corporate+ Rates'!AA16</f>
        <v>0</v>
      </c>
      <c r="AB352" s="65">
        <f>'Special Corporate+ Rates'!AB16</f>
        <v>0</v>
      </c>
      <c r="AC352" s="65">
        <f>'Special Corporate+ Rates'!AC16</f>
        <v>0</v>
      </c>
      <c r="AD352" s="65">
        <f>'Special Corporate+ Rates'!AD16</f>
        <v>0</v>
      </c>
      <c r="AE352" s="65">
        <f>'Special Corporate+ Rates'!AE16</f>
        <v>0</v>
      </c>
      <c r="AF352" s="65">
        <f>'Special Corporate+ Rates'!AF16</f>
        <v>0</v>
      </c>
      <c r="AG352" s="65">
        <f>'Special Corporate+ Rates'!AG16</f>
        <v>0</v>
      </c>
      <c r="AH352" s="65">
        <f>'Special Corporate+ Rates'!AH16</f>
        <v>0</v>
      </c>
      <c r="AI352" s="65">
        <f>'Special Corporate+ Rates'!AI16</f>
        <v>0</v>
      </c>
      <c r="AJ352" s="65">
        <f>'Special Corporate+ Rates'!AJ16</f>
        <v>0</v>
      </c>
      <c r="AK352" s="65">
        <f>'Special Corporate+ Rates'!AK16</f>
        <v>0</v>
      </c>
      <c r="AL352" s="65">
        <f>'Special Corporate+ Rates'!AL16</f>
        <v>0</v>
      </c>
      <c r="AM352" s="65">
        <f>'Special Corporate+ Rates'!AM16</f>
        <v>0</v>
      </c>
      <c r="AN352" s="65">
        <f>'Special Corporate+ Rates'!AN16</f>
        <v>0</v>
      </c>
      <c r="AO352" s="65">
        <f>'Special Corporate+ Rates'!AO16</f>
        <v>0</v>
      </c>
      <c r="AP352" s="65">
        <f>'Special Corporate+ Rates'!AP16</f>
        <v>0</v>
      </c>
      <c r="AQ352" s="65">
        <f>'Special Corporate+ Rates'!AQ16</f>
        <v>0</v>
      </c>
      <c r="AR352" s="65">
        <f>'Special Corporate+ Rates'!AR16</f>
        <v>0</v>
      </c>
      <c r="AS352" s="65">
        <f>'Special Corporate+ Rates'!AS16</f>
        <v>0</v>
      </c>
      <c r="AT352" s="65">
        <f>'Special Corporate+ Rates'!AT16</f>
        <v>0</v>
      </c>
      <c r="AU352" s="65">
        <f>'Special Corporate+ Rates'!AU16</f>
        <v>0</v>
      </c>
      <c r="AV352" s="65">
        <f>'Special Corporate+ Rates'!AV16</f>
        <v>0</v>
      </c>
      <c r="AW352" s="65">
        <f>'Special Corporate+ Rates'!AW16</f>
        <v>0</v>
      </c>
      <c r="AX352" s="65">
        <f>'Special Corporate+ Rates'!AX16</f>
        <v>0</v>
      </c>
      <c r="AY352" s="65">
        <f>'Special Corporate+ Rates'!AY16</f>
        <v>0</v>
      </c>
      <c r="AZ352" s="65">
        <f>'Special Corporate+ Rates'!AZ16</f>
        <v>0</v>
      </c>
      <c r="BA352" s="65">
        <f>'Special Corporate+ Rates'!BA16</f>
        <v>0</v>
      </c>
      <c r="BB352" s="65">
        <f>'Special Corporate+ Rates'!BB16</f>
        <v>0</v>
      </c>
      <c r="BC352" s="65">
        <f>'Special Corporate+ Rates'!BC16</f>
        <v>0</v>
      </c>
      <c r="BD352" s="65">
        <f>'Special Corporate+ Rates'!BD16</f>
        <v>0</v>
      </c>
      <c r="BE352" s="65">
        <f>'Special Corporate+ Rates'!BE16</f>
        <v>0</v>
      </c>
      <c r="BF352" s="65">
        <f>'Special Corporate+ Rates'!BF16</f>
        <v>0</v>
      </c>
      <c r="BG352" s="65">
        <f>'Special Corporate+ Rates'!BG16</f>
        <v>0</v>
      </c>
      <c r="BH352" s="65">
        <f>'Special Corporate+ Rates'!BH16</f>
        <v>0</v>
      </c>
      <c r="BI352" s="65">
        <f>'Special Corporate+ Rates'!BI16</f>
        <v>0</v>
      </c>
      <c r="BJ352" s="65">
        <f>'Special Corporate+ Rates'!BJ16</f>
        <v>0</v>
      </c>
      <c r="BK352" s="65">
        <f>'Special Corporate+ Rates'!BK16</f>
        <v>0</v>
      </c>
      <c r="BL352" s="65">
        <f>'Special Corporate+ Rates'!BL16</f>
        <v>0</v>
      </c>
      <c r="BM352" s="65">
        <f>'Special Corporate+ Rates'!BM16</f>
        <v>0</v>
      </c>
      <c r="BN352" s="65">
        <f>'Special Corporate+ Rates'!BN16</f>
        <v>0</v>
      </c>
      <c r="BO352" s="65">
        <f>'Special Corporate+ Rates'!BO16</f>
        <v>0</v>
      </c>
      <c r="BP352" s="65">
        <f>'Special Corporate+ Rates'!BP16</f>
        <v>0</v>
      </c>
      <c r="BQ352" s="65">
        <f>'Special Corporate+ Rates'!BQ16</f>
        <v>0</v>
      </c>
      <c r="BR352" s="65">
        <f>'Special Corporate+ Rates'!BR16</f>
        <v>0</v>
      </c>
      <c r="BS352" s="65">
        <f>'Special Corporate+ Rates'!BS16</f>
        <v>0</v>
      </c>
      <c r="BT352" s="65">
        <f>'Special Corporate+ Rates'!BT16</f>
        <v>0</v>
      </c>
      <c r="BU352" s="65">
        <f>'Special Corporate+ Rates'!BU16</f>
        <v>0</v>
      </c>
      <c r="BV352" s="65">
        <f>'Special Corporate+ Rates'!BV16</f>
        <v>0</v>
      </c>
      <c r="BW352" s="65">
        <f>'Special Corporate+ Rates'!BW16</f>
        <v>0</v>
      </c>
      <c r="BX352" s="65">
        <f>'Special Corporate+ Rates'!BX16</f>
        <v>0</v>
      </c>
      <c r="BY352" s="65">
        <f>'Special Corporate+ Rates'!BY16</f>
        <v>0</v>
      </c>
      <c r="BZ352" s="65">
        <f>'Special Corporate+ Rates'!BZ16</f>
        <v>0</v>
      </c>
      <c r="CA352" s="65">
        <f>'Special Corporate+ Rates'!CA16</f>
        <v>0</v>
      </c>
      <c r="CB352" s="65">
        <f>'Special Corporate+ Rates'!CB16</f>
        <v>0</v>
      </c>
      <c r="CC352" s="65">
        <f>'Special Corporate+ Rates'!CC16</f>
        <v>0</v>
      </c>
      <c r="CD352" s="65">
        <f>'Special Corporate+ Rates'!CD16</f>
        <v>0</v>
      </c>
      <c r="CE352" s="65">
        <f>'Special Corporate+ Rates'!CE16</f>
        <v>0</v>
      </c>
      <c r="CF352" s="65">
        <f>'Special Corporate+ Rates'!CF16</f>
        <v>0</v>
      </c>
      <c r="CG352" s="65">
        <f>'Special Corporate+ Rates'!CG16</f>
        <v>0</v>
      </c>
      <c r="CH352" s="65">
        <f>'Special Corporate+ Rates'!CH16</f>
        <v>0</v>
      </c>
      <c r="CI352" s="65">
        <f>'Special Corporate+ Rates'!CI16</f>
        <v>0</v>
      </c>
      <c r="CJ352" s="65">
        <f>'Special Corporate+ Rates'!CJ16</f>
        <v>0</v>
      </c>
      <c r="CK352" s="65">
        <f>'Special Corporate+ Rates'!CK16</f>
        <v>0</v>
      </c>
      <c r="CL352" s="65">
        <f>'Special Corporate+ Rates'!CL16</f>
        <v>0</v>
      </c>
      <c r="CM352" s="65">
        <f>'Special Corporate+ Rates'!CM16</f>
        <v>0</v>
      </c>
      <c r="CN352" s="65">
        <f>'Special Corporate+ Rates'!CN16</f>
        <v>0</v>
      </c>
      <c r="CO352" s="65">
        <f>'Special Corporate+ Rates'!CO16</f>
        <v>0</v>
      </c>
      <c r="CP352" s="65">
        <f>'Special Corporate+ Rates'!CP16</f>
        <v>0</v>
      </c>
      <c r="CQ352" s="65">
        <f>'Special Corporate+ Rates'!CQ16</f>
        <v>0</v>
      </c>
      <c r="CR352" s="65">
        <f>'Special Corporate+ Rates'!CR16</f>
        <v>0</v>
      </c>
      <c r="CS352" s="65">
        <f>'Special Corporate+ Rates'!CS16</f>
        <v>0</v>
      </c>
      <c r="CT352" s="65">
        <f>'Special Corporate+ Rates'!CT16</f>
        <v>0</v>
      </c>
      <c r="CU352" s="65">
        <f>'Special Corporate+ Rates'!CU16</f>
        <v>0</v>
      </c>
      <c r="CV352" s="65">
        <f>'Special Corporate+ Rates'!CV16</f>
        <v>0</v>
      </c>
      <c r="CW352" s="65">
        <f>'Special Corporate+ Rates'!CW16</f>
        <v>0</v>
      </c>
      <c r="CX352" s="65">
        <f>'Special Corporate+ Rates'!CX16</f>
        <v>0</v>
      </c>
      <c r="CY352" s="65">
        <f>'Special Corporate+ Rates'!CY16</f>
        <v>0</v>
      </c>
      <c r="CZ352" s="65">
        <f>'Special Corporate+ Rates'!CZ16</f>
        <v>0</v>
      </c>
      <c r="DA352" s="65">
        <f>'Special Corporate+ Rates'!DA16</f>
        <v>0</v>
      </c>
      <c r="DB352" s="65">
        <f>'Special Corporate+ Rates'!DB16</f>
        <v>0</v>
      </c>
      <c r="DC352" s="65">
        <f>'Special Corporate+ Rates'!DC16</f>
        <v>0</v>
      </c>
      <c r="DD352" s="65">
        <f>'Special Corporate+ Rates'!DD16</f>
        <v>0</v>
      </c>
      <c r="DE352" s="65">
        <f>'Special Corporate+ Rates'!DE16</f>
        <v>0</v>
      </c>
      <c r="DF352" s="65">
        <f>'Special Corporate+ Rates'!DF16</f>
        <v>0</v>
      </c>
      <c r="DG352" s="65">
        <f>'Special Corporate+ Rates'!DG16</f>
        <v>0</v>
      </c>
      <c r="DH352" s="65">
        <f>'Special Corporate+ Rates'!DH16</f>
        <v>0</v>
      </c>
      <c r="DI352" s="65">
        <f>'Special Corporate+ Rates'!DI16</f>
        <v>0</v>
      </c>
      <c r="DJ352" s="65">
        <f>'Special Corporate+ Rates'!DJ16</f>
        <v>0</v>
      </c>
      <c r="DK352" s="65">
        <f>'Special Corporate+ Rates'!DK16</f>
        <v>0</v>
      </c>
      <c r="DL352" s="65">
        <f>'Special Corporate+ Rates'!DL16</f>
        <v>0</v>
      </c>
      <c r="DM352" s="65">
        <f>'Special Corporate+ Rates'!DM16</f>
        <v>0</v>
      </c>
      <c r="DN352" s="65">
        <f>'Special Corporate+ Rates'!DN16</f>
        <v>0</v>
      </c>
      <c r="DO352" s="65">
        <f>'Special Corporate+ Rates'!DO16</f>
        <v>0</v>
      </c>
      <c r="DP352" s="65">
        <f>'Special Corporate+ Rates'!DP16</f>
        <v>0</v>
      </c>
      <c r="DQ352" s="65">
        <f>'Special Corporate+ Rates'!DQ16</f>
        <v>0</v>
      </c>
      <c r="DR352" s="65">
        <f>'Special Corporate+ Rates'!DR16</f>
        <v>0</v>
      </c>
      <c r="DS352" s="65">
        <f>'Special Corporate+ Rates'!DS16</f>
        <v>0</v>
      </c>
      <c r="DT352" s="65">
        <f>'Special Corporate+ Rates'!DT16</f>
        <v>0</v>
      </c>
      <c r="DU352" s="65">
        <f>'Special Corporate+ Rates'!DU16</f>
        <v>0</v>
      </c>
      <c r="DV352" s="65">
        <f>'Special Corporate+ Rates'!DV16</f>
        <v>0</v>
      </c>
      <c r="DW352" s="65">
        <f>'Special Corporate+ Rates'!DW16</f>
        <v>0</v>
      </c>
      <c r="DX352" s="65">
        <f>'Special Corporate+ Rates'!DX16</f>
        <v>0</v>
      </c>
      <c r="DY352" s="68"/>
    </row>
    <row r="353" spans="1:129" x14ac:dyDescent="0.2">
      <c r="A353" s="152"/>
      <c r="B353" s="65">
        <f>'Special Corporate+ Rates'!B17</f>
        <v>0</v>
      </c>
      <c r="C353" s="65">
        <f>'Special Corporate+ Rates'!C17</f>
        <v>0</v>
      </c>
      <c r="D353" s="65">
        <f>'Special Corporate+ Rates'!D17</f>
        <v>0</v>
      </c>
      <c r="E353" s="65">
        <f>'Special Corporate+ Rates'!E17</f>
        <v>0</v>
      </c>
      <c r="F353" s="65">
        <f>'Special Corporate+ Rates'!F17</f>
        <v>0</v>
      </c>
      <c r="G353" s="65">
        <f>'Special Corporate+ Rates'!G17</f>
        <v>0</v>
      </c>
      <c r="H353" s="65">
        <f>'Special Corporate+ Rates'!H17</f>
        <v>0</v>
      </c>
      <c r="I353" s="65">
        <f>'Special Corporate+ Rates'!I17</f>
        <v>0</v>
      </c>
      <c r="J353" s="65">
        <f>'Special Corporate+ Rates'!J17</f>
        <v>0</v>
      </c>
      <c r="K353" s="65">
        <f>'Special Corporate+ Rates'!K17</f>
        <v>0</v>
      </c>
      <c r="L353" s="65">
        <f>'Special Corporate+ Rates'!L17</f>
        <v>0</v>
      </c>
      <c r="M353" s="65">
        <f>'Special Corporate+ Rates'!M17</f>
        <v>0</v>
      </c>
      <c r="N353" s="65">
        <f>'Special Corporate+ Rates'!N17</f>
        <v>0</v>
      </c>
      <c r="O353" s="65">
        <f>'Special Corporate+ Rates'!O17</f>
        <v>0</v>
      </c>
      <c r="P353" s="65">
        <f>'Special Corporate+ Rates'!P17</f>
        <v>0</v>
      </c>
      <c r="Q353" s="65">
        <f>'Special Corporate+ Rates'!Q17</f>
        <v>0</v>
      </c>
      <c r="R353" s="65">
        <f>'Special Corporate+ Rates'!R17</f>
        <v>0</v>
      </c>
      <c r="S353" s="65">
        <f>'Special Corporate+ Rates'!S17</f>
        <v>0</v>
      </c>
      <c r="T353" s="65">
        <f>'Special Corporate+ Rates'!T17</f>
        <v>0</v>
      </c>
      <c r="U353" s="65">
        <f>'Special Corporate+ Rates'!U17</f>
        <v>0</v>
      </c>
      <c r="V353" s="65">
        <f>'Special Corporate+ Rates'!V17</f>
        <v>0</v>
      </c>
      <c r="W353" s="65">
        <f>'Special Corporate+ Rates'!W17</f>
        <v>0</v>
      </c>
      <c r="X353" s="65">
        <f>'Special Corporate+ Rates'!X17</f>
        <v>0</v>
      </c>
      <c r="Y353" s="65">
        <f>'Special Corporate+ Rates'!Y17</f>
        <v>0</v>
      </c>
      <c r="Z353" s="65">
        <f>'Special Corporate+ Rates'!Z17</f>
        <v>0</v>
      </c>
      <c r="AA353" s="65">
        <f>'Special Corporate+ Rates'!AA17</f>
        <v>0</v>
      </c>
      <c r="AB353" s="65">
        <f>'Special Corporate+ Rates'!AB17</f>
        <v>0</v>
      </c>
      <c r="AC353" s="65">
        <f>'Special Corporate+ Rates'!AC17</f>
        <v>0</v>
      </c>
      <c r="AD353" s="65">
        <f>'Special Corporate+ Rates'!AD17</f>
        <v>0</v>
      </c>
      <c r="AE353" s="65">
        <f>'Special Corporate+ Rates'!AE17</f>
        <v>0</v>
      </c>
      <c r="AF353" s="65">
        <f>'Special Corporate+ Rates'!AF17</f>
        <v>0</v>
      </c>
      <c r="AG353" s="65">
        <f>'Special Corporate+ Rates'!AG17</f>
        <v>0</v>
      </c>
      <c r="AH353" s="65">
        <f>'Special Corporate+ Rates'!AH17</f>
        <v>0</v>
      </c>
      <c r="AI353" s="65">
        <f>'Special Corporate+ Rates'!AI17</f>
        <v>0</v>
      </c>
      <c r="AJ353" s="65">
        <f>'Special Corporate+ Rates'!AJ17</f>
        <v>0</v>
      </c>
      <c r="AK353" s="65">
        <f>'Special Corporate+ Rates'!AK17</f>
        <v>0</v>
      </c>
      <c r="AL353" s="65">
        <f>'Special Corporate+ Rates'!AL17</f>
        <v>0</v>
      </c>
      <c r="AM353" s="65">
        <f>'Special Corporate+ Rates'!AM17</f>
        <v>0</v>
      </c>
      <c r="AN353" s="65">
        <f>'Special Corporate+ Rates'!AN17</f>
        <v>0</v>
      </c>
      <c r="AO353" s="65">
        <f>'Special Corporate+ Rates'!AO17</f>
        <v>0</v>
      </c>
      <c r="AP353" s="65">
        <f>'Special Corporate+ Rates'!AP17</f>
        <v>0</v>
      </c>
      <c r="AQ353" s="65">
        <f>'Special Corporate+ Rates'!AQ17</f>
        <v>0</v>
      </c>
      <c r="AR353" s="65">
        <f>'Special Corporate+ Rates'!AR17</f>
        <v>0</v>
      </c>
      <c r="AS353" s="65">
        <f>'Special Corporate+ Rates'!AS17</f>
        <v>0</v>
      </c>
      <c r="AT353" s="65">
        <f>'Special Corporate+ Rates'!AT17</f>
        <v>0</v>
      </c>
      <c r="AU353" s="65">
        <f>'Special Corporate+ Rates'!AU17</f>
        <v>0</v>
      </c>
      <c r="AV353" s="65">
        <f>'Special Corporate+ Rates'!AV17</f>
        <v>0</v>
      </c>
      <c r="AW353" s="65">
        <f>'Special Corporate+ Rates'!AW17</f>
        <v>0</v>
      </c>
      <c r="AX353" s="65">
        <f>'Special Corporate+ Rates'!AX17</f>
        <v>0</v>
      </c>
      <c r="AY353" s="65">
        <f>'Special Corporate+ Rates'!AY17</f>
        <v>0</v>
      </c>
      <c r="AZ353" s="65">
        <f>'Special Corporate+ Rates'!AZ17</f>
        <v>0</v>
      </c>
      <c r="BA353" s="65">
        <f>'Special Corporate+ Rates'!BA17</f>
        <v>0</v>
      </c>
      <c r="BB353" s="65">
        <f>'Special Corporate+ Rates'!BB17</f>
        <v>0</v>
      </c>
      <c r="BC353" s="65">
        <f>'Special Corporate+ Rates'!BC17</f>
        <v>0</v>
      </c>
      <c r="BD353" s="65">
        <f>'Special Corporate+ Rates'!BD17</f>
        <v>0</v>
      </c>
      <c r="BE353" s="65">
        <f>'Special Corporate+ Rates'!BE17</f>
        <v>0</v>
      </c>
      <c r="BF353" s="65">
        <f>'Special Corporate+ Rates'!BF17</f>
        <v>0</v>
      </c>
      <c r="BG353" s="65">
        <f>'Special Corporate+ Rates'!BG17</f>
        <v>0</v>
      </c>
      <c r="BH353" s="65">
        <f>'Special Corporate+ Rates'!BH17</f>
        <v>0</v>
      </c>
      <c r="BI353" s="65">
        <f>'Special Corporate+ Rates'!BI17</f>
        <v>0</v>
      </c>
      <c r="BJ353" s="65">
        <f>'Special Corporate+ Rates'!BJ17</f>
        <v>0</v>
      </c>
      <c r="BK353" s="65">
        <f>'Special Corporate+ Rates'!BK17</f>
        <v>0</v>
      </c>
      <c r="BL353" s="65">
        <f>'Special Corporate+ Rates'!BL17</f>
        <v>0</v>
      </c>
      <c r="BM353" s="65">
        <f>'Special Corporate+ Rates'!BM17</f>
        <v>0</v>
      </c>
      <c r="BN353" s="65">
        <f>'Special Corporate+ Rates'!BN17</f>
        <v>0</v>
      </c>
      <c r="BO353" s="65">
        <f>'Special Corporate+ Rates'!BO17</f>
        <v>0</v>
      </c>
      <c r="BP353" s="65">
        <f>'Special Corporate+ Rates'!BP17</f>
        <v>0</v>
      </c>
      <c r="BQ353" s="65">
        <f>'Special Corporate+ Rates'!BQ17</f>
        <v>0</v>
      </c>
      <c r="BR353" s="65">
        <f>'Special Corporate+ Rates'!BR17</f>
        <v>0</v>
      </c>
      <c r="BS353" s="65">
        <f>'Special Corporate+ Rates'!BS17</f>
        <v>0</v>
      </c>
      <c r="BT353" s="65">
        <f>'Special Corporate+ Rates'!BT17</f>
        <v>0</v>
      </c>
      <c r="BU353" s="65">
        <f>'Special Corporate+ Rates'!BU17</f>
        <v>0</v>
      </c>
      <c r="BV353" s="65">
        <f>'Special Corporate+ Rates'!BV17</f>
        <v>0</v>
      </c>
      <c r="BW353" s="65">
        <f>'Special Corporate+ Rates'!BW17</f>
        <v>0</v>
      </c>
      <c r="BX353" s="65">
        <f>'Special Corporate+ Rates'!BX17</f>
        <v>0</v>
      </c>
      <c r="BY353" s="65">
        <f>'Special Corporate+ Rates'!BY17</f>
        <v>0</v>
      </c>
      <c r="BZ353" s="65">
        <f>'Special Corporate+ Rates'!BZ17</f>
        <v>0</v>
      </c>
      <c r="CA353" s="65">
        <f>'Special Corporate+ Rates'!CA17</f>
        <v>0</v>
      </c>
      <c r="CB353" s="65">
        <f>'Special Corporate+ Rates'!CB17</f>
        <v>0</v>
      </c>
      <c r="CC353" s="65">
        <f>'Special Corporate+ Rates'!CC17</f>
        <v>0</v>
      </c>
      <c r="CD353" s="65">
        <f>'Special Corporate+ Rates'!CD17</f>
        <v>0</v>
      </c>
      <c r="CE353" s="65">
        <f>'Special Corporate+ Rates'!CE17</f>
        <v>0</v>
      </c>
      <c r="CF353" s="65">
        <f>'Special Corporate+ Rates'!CF17</f>
        <v>0</v>
      </c>
      <c r="CG353" s="65">
        <f>'Special Corporate+ Rates'!CG17</f>
        <v>0</v>
      </c>
      <c r="CH353" s="65">
        <f>'Special Corporate+ Rates'!CH17</f>
        <v>0</v>
      </c>
      <c r="CI353" s="65">
        <f>'Special Corporate+ Rates'!CI17</f>
        <v>0</v>
      </c>
      <c r="CJ353" s="65">
        <f>'Special Corporate+ Rates'!CJ17</f>
        <v>0</v>
      </c>
      <c r="CK353" s="65">
        <f>'Special Corporate+ Rates'!CK17</f>
        <v>0</v>
      </c>
      <c r="CL353" s="65">
        <f>'Special Corporate+ Rates'!CL17</f>
        <v>0</v>
      </c>
      <c r="CM353" s="65">
        <f>'Special Corporate+ Rates'!CM17</f>
        <v>0</v>
      </c>
      <c r="CN353" s="65">
        <f>'Special Corporate+ Rates'!CN17</f>
        <v>0</v>
      </c>
      <c r="CO353" s="65">
        <f>'Special Corporate+ Rates'!CO17</f>
        <v>0</v>
      </c>
      <c r="CP353" s="65">
        <f>'Special Corporate+ Rates'!CP17</f>
        <v>0</v>
      </c>
      <c r="CQ353" s="65">
        <f>'Special Corporate+ Rates'!CQ17</f>
        <v>0</v>
      </c>
      <c r="CR353" s="65">
        <f>'Special Corporate+ Rates'!CR17</f>
        <v>0</v>
      </c>
      <c r="CS353" s="65">
        <f>'Special Corporate+ Rates'!CS17</f>
        <v>0</v>
      </c>
      <c r="CT353" s="65">
        <f>'Special Corporate+ Rates'!CT17</f>
        <v>0</v>
      </c>
      <c r="CU353" s="65">
        <f>'Special Corporate+ Rates'!CU17</f>
        <v>0</v>
      </c>
      <c r="CV353" s="65">
        <f>'Special Corporate+ Rates'!CV17</f>
        <v>0</v>
      </c>
      <c r="CW353" s="65">
        <f>'Special Corporate+ Rates'!CW17</f>
        <v>0</v>
      </c>
      <c r="CX353" s="65">
        <f>'Special Corporate+ Rates'!CX17</f>
        <v>0</v>
      </c>
      <c r="CY353" s="65">
        <f>'Special Corporate+ Rates'!CY17</f>
        <v>0</v>
      </c>
      <c r="CZ353" s="65">
        <f>'Special Corporate+ Rates'!CZ17</f>
        <v>0</v>
      </c>
      <c r="DA353" s="65">
        <f>'Special Corporate+ Rates'!DA17</f>
        <v>0</v>
      </c>
      <c r="DB353" s="65">
        <f>'Special Corporate+ Rates'!DB17</f>
        <v>0</v>
      </c>
      <c r="DC353" s="65">
        <f>'Special Corporate+ Rates'!DC17</f>
        <v>0</v>
      </c>
      <c r="DD353" s="65">
        <f>'Special Corporate+ Rates'!DD17</f>
        <v>0</v>
      </c>
      <c r="DE353" s="65">
        <f>'Special Corporate+ Rates'!DE17</f>
        <v>0</v>
      </c>
      <c r="DF353" s="65">
        <f>'Special Corporate+ Rates'!DF17</f>
        <v>0</v>
      </c>
      <c r="DG353" s="65">
        <f>'Special Corporate+ Rates'!DG17</f>
        <v>0</v>
      </c>
      <c r="DH353" s="65">
        <f>'Special Corporate+ Rates'!DH17</f>
        <v>0</v>
      </c>
      <c r="DI353" s="65">
        <f>'Special Corporate+ Rates'!DI17</f>
        <v>0</v>
      </c>
      <c r="DJ353" s="65">
        <f>'Special Corporate+ Rates'!DJ17</f>
        <v>0</v>
      </c>
      <c r="DK353" s="65">
        <f>'Special Corporate+ Rates'!DK17</f>
        <v>0</v>
      </c>
      <c r="DL353" s="65">
        <f>'Special Corporate+ Rates'!DL17</f>
        <v>0</v>
      </c>
      <c r="DM353" s="65">
        <f>'Special Corporate+ Rates'!DM17</f>
        <v>0</v>
      </c>
      <c r="DN353" s="65">
        <f>'Special Corporate+ Rates'!DN17</f>
        <v>0</v>
      </c>
      <c r="DO353" s="65">
        <f>'Special Corporate+ Rates'!DO17</f>
        <v>0</v>
      </c>
      <c r="DP353" s="65">
        <f>'Special Corporate+ Rates'!DP17</f>
        <v>0</v>
      </c>
      <c r="DQ353" s="65">
        <f>'Special Corporate+ Rates'!DQ17</f>
        <v>0</v>
      </c>
      <c r="DR353" s="65">
        <f>'Special Corporate+ Rates'!DR17</f>
        <v>0</v>
      </c>
      <c r="DS353" s="65">
        <f>'Special Corporate+ Rates'!DS17</f>
        <v>0</v>
      </c>
      <c r="DT353" s="65">
        <f>'Special Corporate+ Rates'!DT17</f>
        <v>0</v>
      </c>
      <c r="DU353" s="65">
        <f>'Special Corporate+ Rates'!DU17</f>
        <v>0</v>
      </c>
      <c r="DV353" s="65">
        <f>'Special Corporate+ Rates'!DV17</f>
        <v>0</v>
      </c>
      <c r="DW353" s="65">
        <f>'Special Corporate+ Rates'!DW17</f>
        <v>0</v>
      </c>
      <c r="DX353" s="65">
        <f>'Special Corporate+ Rates'!DX17</f>
        <v>0</v>
      </c>
      <c r="DY353" s="68"/>
    </row>
    <row r="354" spans="1:129" x14ac:dyDescent="0.2">
      <c r="A354" s="152"/>
      <c r="B354" s="65">
        <f>'Special Corporate+ Rates'!B18</f>
        <v>0</v>
      </c>
      <c r="C354" s="65">
        <f>'Special Corporate+ Rates'!C18</f>
        <v>0</v>
      </c>
      <c r="D354" s="65">
        <f>'Special Corporate+ Rates'!D18</f>
        <v>0</v>
      </c>
      <c r="E354" s="65">
        <f>'Special Corporate+ Rates'!E18</f>
        <v>0</v>
      </c>
      <c r="F354" s="65">
        <f>'Special Corporate+ Rates'!F18</f>
        <v>0</v>
      </c>
      <c r="G354" s="65">
        <f>'Special Corporate+ Rates'!G18</f>
        <v>0</v>
      </c>
      <c r="H354" s="65">
        <f>'Special Corporate+ Rates'!H18</f>
        <v>0</v>
      </c>
      <c r="I354" s="65">
        <f>'Special Corporate+ Rates'!I18</f>
        <v>0</v>
      </c>
      <c r="J354" s="65">
        <f>'Special Corporate+ Rates'!J18</f>
        <v>0</v>
      </c>
      <c r="K354" s="65">
        <f>'Special Corporate+ Rates'!K18</f>
        <v>0</v>
      </c>
      <c r="L354" s="65">
        <f>'Special Corporate+ Rates'!L18</f>
        <v>0</v>
      </c>
      <c r="M354" s="65">
        <f>'Special Corporate+ Rates'!M18</f>
        <v>0</v>
      </c>
      <c r="N354" s="65">
        <f>'Special Corporate+ Rates'!N18</f>
        <v>0</v>
      </c>
      <c r="O354" s="65">
        <f>'Special Corporate+ Rates'!O18</f>
        <v>0</v>
      </c>
      <c r="P354" s="65">
        <f>'Special Corporate+ Rates'!P18</f>
        <v>0</v>
      </c>
      <c r="Q354" s="65">
        <f>'Special Corporate+ Rates'!Q18</f>
        <v>0</v>
      </c>
      <c r="R354" s="65">
        <f>'Special Corporate+ Rates'!R18</f>
        <v>0</v>
      </c>
      <c r="S354" s="65">
        <f>'Special Corporate+ Rates'!S18</f>
        <v>0</v>
      </c>
      <c r="T354" s="65">
        <f>'Special Corporate+ Rates'!T18</f>
        <v>0</v>
      </c>
      <c r="U354" s="65">
        <f>'Special Corporate+ Rates'!U18</f>
        <v>0</v>
      </c>
      <c r="V354" s="65">
        <f>'Special Corporate+ Rates'!V18</f>
        <v>0</v>
      </c>
      <c r="W354" s="65">
        <f>'Special Corporate+ Rates'!W18</f>
        <v>0</v>
      </c>
      <c r="X354" s="65">
        <f>'Special Corporate+ Rates'!X18</f>
        <v>0</v>
      </c>
      <c r="Y354" s="65">
        <f>'Special Corporate+ Rates'!Y18</f>
        <v>0</v>
      </c>
      <c r="Z354" s="65">
        <f>'Special Corporate+ Rates'!Z18</f>
        <v>0</v>
      </c>
      <c r="AA354" s="65">
        <f>'Special Corporate+ Rates'!AA18</f>
        <v>0</v>
      </c>
      <c r="AB354" s="65">
        <f>'Special Corporate+ Rates'!AB18</f>
        <v>0</v>
      </c>
      <c r="AC354" s="65">
        <f>'Special Corporate+ Rates'!AC18</f>
        <v>0</v>
      </c>
      <c r="AD354" s="65">
        <f>'Special Corporate+ Rates'!AD18</f>
        <v>0</v>
      </c>
      <c r="AE354" s="65">
        <f>'Special Corporate+ Rates'!AE18</f>
        <v>0</v>
      </c>
      <c r="AF354" s="65">
        <f>'Special Corporate+ Rates'!AF18</f>
        <v>0</v>
      </c>
      <c r="AG354" s="65">
        <f>'Special Corporate+ Rates'!AG18</f>
        <v>0</v>
      </c>
      <c r="AH354" s="65">
        <f>'Special Corporate+ Rates'!AH18</f>
        <v>0</v>
      </c>
      <c r="AI354" s="65">
        <f>'Special Corporate+ Rates'!AI18</f>
        <v>0</v>
      </c>
      <c r="AJ354" s="65">
        <f>'Special Corporate+ Rates'!AJ18</f>
        <v>0</v>
      </c>
      <c r="AK354" s="65">
        <f>'Special Corporate+ Rates'!AK18</f>
        <v>0</v>
      </c>
      <c r="AL354" s="65">
        <f>'Special Corporate+ Rates'!AL18</f>
        <v>0</v>
      </c>
      <c r="AM354" s="65">
        <f>'Special Corporate+ Rates'!AM18</f>
        <v>0</v>
      </c>
      <c r="AN354" s="65">
        <f>'Special Corporate+ Rates'!AN18</f>
        <v>0</v>
      </c>
      <c r="AO354" s="65">
        <f>'Special Corporate+ Rates'!AO18</f>
        <v>0</v>
      </c>
      <c r="AP354" s="65">
        <f>'Special Corporate+ Rates'!AP18</f>
        <v>0</v>
      </c>
      <c r="AQ354" s="65">
        <f>'Special Corporate+ Rates'!AQ18</f>
        <v>0</v>
      </c>
      <c r="AR354" s="65">
        <f>'Special Corporate+ Rates'!AR18</f>
        <v>0</v>
      </c>
      <c r="AS354" s="65">
        <f>'Special Corporate+ Rates'!AS18</f>
        <v>0</v>
      </c>
      <c r="AT354" s="65">
        <f>'Special Corporate+ Rates'!AT18</f>
        <v>0</v>
      </c>
      <c r="AU354" s="65">
        <f>'Special Corporate+ Rates'!AU18</f>
        <v>0</v>
      </c>
      <c r="AV354" s="65">
        <f>'Special Corporate+ Rates'!AV18</f>
        <v>0</v>
      </c>
      <c r="AW354" s="65">
        <f>'Special Corporate+ Rates'!AW18</f>
        <v>0</v>
      </c>
      <c r="AX354" s="65">
        <f>'Special Corporate+ Rates'!AX18</f>
        <v>0</v>
      </c>
      <c r="AY354" s="65">
        <f>'Special Corporate+ Rates'!AY18</f>
        <v>0</v>
      </c>
      <c r="AZ354" s="65">
        <f>'Special Corporate+ Rates'!AZ18</f>
        <v>0</v>
      </c>
      <c r="BA354" s="65">
        <f>'Special Corporate+ Rates'!BA18</f>
        <v>0</v>
      </c>
      <c r="BB354" s="65">
        <f>'Special Corporate+ Rates'!BB18</f>
        <v>0</v>
      </c>
      <c r="BC354" s="65">
        <f>'Special Corporate+ Rates'!BC18</f>
        <v>0</v>
      </c>
      <c r="BD354" s="65">
        <f>'Special Corporate+ Rates'!BD18</f>
        <v>0</v>
      </c>
      <c r="BE354" s="65">
        <f>'Special Corporate+ Rates'!BE18</f>
        <v>0</v>
      </c>
      <c r="BF354" s="65">
        <f>'Special Corporate+ Rates'!BF18</f>
        <v>0</v>
      </c>
      <c r="BG354" s="65">
        <f>'Special Corporate+ Rates'!BG18</f>
        <v>0</v>
      </c>
      <c r="BH354" s="65">
        <f>'Special Corporate+ Rates'!BH18</f>
        <v>0</v>
      </c>
      <c r="BI354" s="65">
        <f>'Special Corporate+ Rates'!BI18</f>
        <v>0</v>
      </c>
      <c r="BJ354" s="65">
        <f>'Special Corporate+ Rates'!BJ18</f>
        <v>0</v>
      </c>
      <c r="BK354" s="65">
        <f>'Special Corporate+ Rates'!BK18</f>
        <v>0</v>
      </c>
      <c r="BL354" s="65">
        <f>'Special Corporate+ Rates'!BL18</f>
        <v>0</v>
      </c>
      <c r="BM354" s="65">
        <f>'Special Corporate+ Rates'!BM18</f>
        <v>0</v>
      </c>
      <c r="BN354" s="65">
        <f>'Special Corporate+ Rates'!BN18</f>
        <v>0</v>
      </c>
      <c r="BO354" s="65">
        <f>'Special Corporate+ Rates'!BO18</f>
        <v>0</v>
      </c>
      <c r="BP354" s="65">
        <f>'Special Corporate+ Rates'!BP18</f>
        <v>0</v>
      </c>
      <c r="BQ354" s="65">
        <f>'Special Corporate+ Rates'!BQ18</f>
        <v>0</v>
      </c>
      <c r="BR354" s="65">
        <f>'Special Corporate+ Rates'!BR18</f>
        <v>0</v>
      </c>
      <c r="BS354" s="65">
        <f>'Special Corporate+ Rates'!BS18</f>
        <v>0</v>
      </c>
      <c r="BT354" s="65">
        <f>'Special Corporate+ Rates'!BT18</f>
        <v>0</v>
      </c>
      <c r="BU354" s="65">
        <f>'Special Corporate+ Rates'!BU18</f>
        <v>0</v>
      </c>
      <c r="BV354" s="65">
        <f>'Special Corporate+ Rates'!BV18</f>
        <v>0</v>
      </c>
      <c r="BW354" s="65">
        <f>'Special Corporate+ Rates'!BW18</f>
        <v>0</v>
      </c>
      <c r="BX354" s="65">
        <f>'Special Corporate+ Rates'!BX18</f>
        <v>0</v>
      </c>
      <c r="BY354" s="65">
        <f>'Special Corporate+ Rates'!BY18</f>
        <v>0</v>
      </c>
      <c r="BZ354" s="65">
        <f>'Special Corporate+ Rates'!BZ18</f>
        <v>0</v>
      </c>
      <c r="CA354" s="65">
        <f>'Special Corporate+ Rates'!CA18</f>
        <v>0</v>
      </c>
      <c r="CB354" s="65">
        <f>'Special Corporate+ Rates'!CB18</f>
        <v>0</v>
      </c>
      <c r="CC354" s="65">
        <f>'Special Corporate+ Rates'!CC18</f>
        <v>0</v>
      </c>
      <c r="CD354" s="65">
        <f>'Special Corporate+ Rates'!CD18</f>
        <v>0</v>
      </c>
      <c r="CE354" s="65">
        <f>'Special Corporate+ Rates'!CE18</f>
        <v>0</v>
      </c>
      <c r="CF354" s="65">
        <f>'Special Corporate+ Rates'!CF18</f>
        <v>0</v>
      </c>
      <c r="CG354" s="65">
        <f>'Special Corporate+ Rates'!CG18</f>
        <v>0</v>
      </c>
      <c r="CH354" s="65">
        <f>'Special Corporate+ Rates'!CH18</f>
        <v>0</v>
      </c>
      <c r="CI354" s="65">
        <f>'Special Corporate+ Rates'!CI18</f>
        <v>0</v>
      </c>
      <c r="CJ354" s="65">
        <f>'Special Corporate+ Rates'!CJ18</f>
        <v>0</v>
      </c>
      <c r="CK354" s="65">
        <f>'Special Corporate+ Rates'!CK18</f>
        <v>0</v>
      </c>
      <c r="CL354" s="65">
        <f>'Special Corporate+ Rates'!CL18</f>
        <v>0</v>
      </c>
      <c r="CM354" s="65">
        <f>'Special Corporate+ Rates'!CM18</f>
        <v>0</v>
      </c>
      <c r="CN354" s="65">
        <f>'Special Corporate+ Rates'!CN18</f>
        <v>0</v>
      </c>
      <c r="CO354" s="65">
        <f>'Special Corporate+ Rates'!CO18</f>
        <v>0</v>
      </c>
      <c r="CP354" s="65">
        <f>'Special Corporate+ Rates'!CP18</f>
        <v>0</v>
      </c>
      <c r="CQ354" s="65">
        <f>'Special Corporate+ Rates'!CQ18</f>
        <v>0</v>
      </c>
      <c r="CR354" s="65">
        <f>'Special Corporate+ Rates'!CR18</f>
        <v>0</v>
      </c>
      <c r="CS354" s="65">
        <f>'Special Corporate+ Rates'!CS18</f>
        <v>0</v>
      </c>
      <c r="CT354" s="65">
        <f>'Special Corporate+ Rates'!CT18</f>
        <v>0</v>
      </c>
      <c r="CU354" s="65">
        <f>'Special Corporate+ Rates'!CU18</f>
        <v>0</v>
      </c>
      <c r="CV354" s="65">
        <f>'Special Corporate+ Rates'!CV18</f>
        <v>0</v>
      </c>
      <c r="CW354" s="65">
        <f>'Special Corporate+ Rates'!CW18</f>
        <v>0</v>
      </c>
      <c r="CX354" s="65">
        <f>'Special Corporate+ Rates'!CX18</f>
        <v>0</v>
      </c>
      <c r="CY354" s="65">
        <f>'Special Corporate+ Rates'!CY18</f>
        <v>0</v>
      </c>
      <c r="CZ354" s="65">
        <f>'Special Corporate+ Rates'!CZ18</f>
        <v>0</v>
      </c>
      <c r="DA354" s="65">
        <f>'Special Corporate+ Rates'!DA18</f>
        <v>0</v>
      </c>
      <c r="DB354" s="65">
        <f>'Special Corporate+ Rates'!DB18</f>
        <v>0</v>
      </c>
      <c r="DC354" s="65">
        <f>'Special Corporate+ Rates'!DC18</f>
        <v>0</v>
      </c>
      <c r="DD354" s="65">
        <f>'Special Corporate+ Rates'!DD18</f>
        <v>0</v>
      </c>
      <c r="DE354" s="65">
        <f>'Special Corporate+ Rates'!DE18</f>
        <v>0</v>
      </c>
      <c r="DF354" s="65">
        <f>'Special Corporate+ Rates'!DF18</f>
        <v>0</v>
      </c>
      <c r="DG354" s="65">
        <f>'Special Corporate+ Rates'!DG18</f>
        <v>0</v>
      </c>
      <c r="DH354" s="65">
        <f>'Special Corporate+ Rates'!DH18</f>
        <v>0</v>
      </c>
      <c r="DI354" s="65">
        <f>'Special Corporate+ Rates'!DI18</f>
        <v>0</v>
      </c>
      <c r="DJ354" s="65">
        <f>'Special Corporate+ Rates'!DJ18</f>
        <v>0</v>
      </c>
      <c r="DK354" s="65">
        <f>'Special Corporate+ Rates'!DK18</f>
        <v>0</v>
      </c>
      <c r="DL354" s="65">
        <f>'Special Corporate+ Rates'!DL18</f>
        <v>0</v>
      </c>
      <c r="DM354" s="65">
        <f>'Special Corporate+ Rates'!DM18</f>
        <v>0</v>
      </c>
      <c r="DN354" s="65">
        <f>'Special Corporate+ Rates'!DN18</f>
        <v>0</v>
      </c>
      <c r="DO354" s="65">
        <f>'Special Corporate+ Rates'!DO18</f>
        <v>0</v>
      </c>
      <c r="DP354" s="65">
        <f>'Special Corporate+ Rates'!DP18</f>
        <v>0</v>
      </c>
      <c r="DQ354" s="65">
        <f>'Special Corporate+ Rates'!DQ18</f>
        <v>0</v>
      </c>
      <c r="DR354" s="65">
        <f>'Special Corporate+ Rates'!DR18</f>
        <v>0</v>
      </c>
      <c r="DS354" s="65">
        <f>'Special Corporate+ Rates'!DS18</f>
        <v>0</v>
      </c>
      <c r="DT354" s="65">
        <f>'Special Corporate+ Rates'!DT18</f>
        <v>0</v>
      </c>
      <c r="DU354" s="65">
        <f>'Special Corporate+ Rates'!DU18</f>
        <v>0</v>
      </c>
      <c r="DV354" s="65">
        <f>'Special Corporate+ Rates'!DV18</f>
        <v>0</v>
      </c>
      <c r="DW354" s="65">
        <f>'Special Corporate+ Rates'!DW18</f>
        <v>0</v>
      </c>
      <c r="DX354" s="65">
        <f>'Special Corporate+ Rates'!DX18</f>
        <v>0</v>
      </c>
      <c r="DY354" s="68"/>
    </row>
    <row r="355" spans="1:129" x14ac:dyDescent="0.2">
      <c r="A355" s="152"/>
      <c r="B355" s="65">
        <f>'Special Corporate+ Rates'!B19</f>
        <v>0</v>
      </c>
      <c r="C355" s="65">
        <f>'Special Corporate+ Rates'!C19</f>
        <v>0</v>
      </c>
      <c r="D355" s="65">
        <f>'Special Corporate+ Rates'!D19</f>
        <v>0</v>
      </c>
      <c r="E355" s="65">
        <f>'Special Corporate+ Rates'!E19</f>
        <v>0</v>
      </c>
      <c r="F355" s="65">
        <f>'Special Corporate+ Rates'!F19</f>
        <v>0</v>
      </c>
      <c r="G355" s="65">
        <f>'Special Corporate+ Rates'!G19</f>
        <v>0</v>
      </c>
      <c r="H355" s="65">
        <f>'Special Corporate+ Rates'!H19</f>
        <v>0</v>
      </c>
      <c r="I355" s="65">
        <f>'Special Corporate+ Rates'!I19</f>
        <v>0</v>
      </c>
      <c r="J355" s="65">
        <f>'Special Corporate+ Rates'!J19</f>
        <v>0</v>
      </c>
      <c r="K355" s="65">
        <f>'Special Corporate+ Rates'!K19</f>
        <v>0</v>
      </c>
      <c r="L355" s="65">
        <f>'Special Corporate+ Rates'!L19</f>
        <v>0</v>
      </c>
      <c r="M355" s="65">
        <f>'Special Corporate+ Rates'!M19</f>
        <v>0</v>
      </c>
      <c r="N355" s="65">
        <f>'Special Corporate+ Rates'!N19</f>
        <v>0</v>
      </c>
      <c r="O355" s="65">
        <f>'Special Corporate+ Rates'!O19</f>
        <v>0</v>
      </c>
      <c r="P355" s="65">
        <f>'Special Corporate+ Rates'!P19</f>
        <v>0</v>
      </c>
      <c r="Q355" s="65">
        <f>'Special Corporate+ Rates'!Q19</f>
        <v>0</v>
      </c>
      <c r="R355" s="65">
        <f>'Special Corporate+ Rates'!R19</f>
        <v>0</v>
      </c>
      <c r="S355" s="65">
        <f>'Special Corporate+ Rates'!S19</f>
        <v>0</v>
      </c>
      <c r="T355" s="65">
        <f>'Special Corporate+ Rates'!T19</f>
        <v>0</v>
      </c>
      <c r="U355" s="65">
        <f>'Special Corporate+ Rates'!U19</f>
        <v>0</v>
      </c>
      <c r="V355" s="65">
        <f>'Special Corporate+ Rates'!V19</f>
        <v>0</v>
      </c>
      <c r="W355" s="65">
        <f>'Special Corporate+ Rates'!W19</f>
        <v>0</v>
      </c>
      <c r="X355" s="65">
        <f>'Special Corporate+ Rates'!X19</f>
        <v>0</v>
      </c>
      <c r="Y355" s="65">
        <f>'Special Corporate+ Rates'!Y19</f>
        <v>0</v>
      </c>
      <c r="Z355" s="65">
        <f>'Special Corporate+ Rates'!Z19</f>
        <v>0</v>
      </c>
      <c r="AA355" s="65">
        <f>'Special Corporate+ Rates'!AA19</f>
        <v>0</v>
      </c>
      <c r="AB355" s="65">
        <f>'Special Corporate+ Rates'!AB19</f>
        <v>0</v>
      </c>
      <c r="AC355" s="65">
        <f>'Special Corporate+ Rates'!AC19</f>
        <v>0</v>
      </c>
      <c r="AD355" s="65">
        <f>'Special Corporate+ Rates'!AD19</f>
        <v>0</v>
      </c>
      <c r="AE355" s="65">
        <f>'Special Corporate+ Rates'!AE19</f>
        <v>0</v>
      </c>
      <c r="AF355" s="65">
        <f>'Special Corporate+ Rates'!AF19</f>
        <v>0</v>
      </c>
      <c r="AG355" s="65">
        <f>'Special Corporate+ Rates'!AG19</f>
        <v>0</v>
      </c>
      <c r="AH355" s="65">
        <f>'Special Corporate+ Rates'!AH19</f>
        <v>0</v>
      </c>
      <c r="AI355" s="65">
        <f>'Special Corporate+ Rates'!AI19</f>
        <v>0</v>
      </c>
      <c r="AJ355" s="65">
        <f>'Special Corporate+ Rates'!AJ19</f>
        <v>0</v>
      </c>
      <c r="AK355" s="65">
        <f>'Special Corporate+ Rates'!AK19</f>
        <v>0</v>
      </c>
      <c r="AL355" s="65">
        <f>'Special Corporate+ Rates'!AL19</f>
        <v>0</v>
      </c>
      <c r="AM355" s="65">
        <f>'Special Corporate+ Rates'!AM19</f>
        <v>0</v>
      </c>
      <c r="AN355" s="65">
        <f>'Special Corporate+ Rates'!AN19</f>
        <v>0</v>
      </c>
      <c r="AO355" s="65">
        <f>'Special Corporate+ Rates'!AO19</f>
        <v>0</v>
      </c>
      <c r="AP355" s="65">
        <f>'Special Corporate+ Rates'!AP19</f>
        <v>0</v>
      </c>
      <c r="AQ355" s="65">
        <f>'Special Corporate+ Rates'!AQ19</f>
        <v>0</v>
      </c>
      <c r="AR355" s="65">
        <f>'Special Corporate+ Rates'!AR19</f>
        <v>0</v>
      </c>
      <c r="AS355" s="65">
        <f>'Special Corporate+ Rates'!AS19</f>
        <v>0</v>
      </c>
      <c r="AT355" s="65">
        <f>'Special Corporate+ Rates'!AT19</f>
        <v>0</v>
      </c>
      <c r="AU355" s="65">
        <f>'Special Corporate+ Rates'!AU19</f>
        <v>0</v>
      </c>
      <c r="AV355" s="65">
        <f>'Special Corporate+ Rates'!AV19</f>
        <v>0</v>
      </c>
      <c r="AW355" s="65">
        <f>'Special Corporate+ Rates'!AW19</f>
        <v>0</v>
      </c>
      <c r="AX355" s="65">
        <f>'Special Corporate+ Rates'!AX19</f>
        <v>0</v>
      </c>
      <c r="AY355" s="65">
        <f>'Special Corporate+ Rates'!AY19</f>
        <v>0</v>
      </c>
      <c r="AZ355" s="65">
        <f>'Special Corporate+ Rates'!AZ19</f>
        <v>0</v>
      </c>
      <c r="BA355" s="65">
        <f>'Special Corporate+ Rates'!BA19</f>
        <v>0</v>
      </c>
      <c r="BB355" s="65">
        <f>'Special Corporate+ Rates'!BB19</f>
        <v>0</v>
      </c>
      <c r="BC355" s="65">
        <f>'Special Corporate+ Rates'!BC19</f>
        <v>0</v>
      </c>
      <c r="BD355" s="65">
        <f>'Special Corporate+ Rates'!BD19</f>
        <v>0</v>
      </c>
      <c r="BE355" s="65">
        <f>'Special Corporate+ Rates'!BE19</f>
        <v>0</v>
      </c>
      <c r="BF355" s="65">
        <f>'Special Corporate+ Rates'!BF19</f>
        <v>0</v>
      </c>
      <c r="BG355" s="65">
        <f>'Special Corporate+ Rates'!BG19</f>
        <v>0</v>
      </c>
      <c r="BH355" s="65">
        <f>'Special Corporate+ Rates'!BH19</f>
        <v>0</v>
      </c>
      <c r="BI355" s="65">
        <f>'Special Corporate+ Rates'!BI19</f>
        <v>0</v>
      </c>
      <c r="BJ355" s="65">
        <f>'Special Corporate+ Rates'!BJ19</f>
        <v>0</v>
      </c>
      <c r="BK355" s="65">
        <f>'Special Corporate+ Rates'!BK19</f>
        <v>0</v>
      </c>
      <c r="BL355" s="65">
        <f>'Special Corporate+ Rates'!BL19</f>
        <v>0</v>
      </c>
      <c r="BM355" s="65">
        <f>'Special Corporate+ Rates'!BM19</f>
        <v>0</v>
      </c>
      <c r="BN355" s="65">
        <f>'Special Corporate+ Rates'!BN19</f>
        <v>0</v>
      </c>
      <c r="BO355" s="65">
        <f>'Special Corporate+ Rates'!BO19</f>
        <v>0</v>
      </c>
      <c r="BP355" s="65">
        <f>'Special Corporate+ Rates'!BP19</f>
        <v>0</v>
      </c>
      <c r="BQ355" s="65">
        <f>'Special Corporate+ Rates'!BQ19</f>
        <v>0</v>
      </c>
      <c r="BR355" s="65">
        <f>'Special Corporate+ Rates'!BR19</f>
        <v>0</v>
      </c>
      <c r="BS355" s="65">
        <f>'Special Corporate+ Rates'!BS19</f>
        <v>0</v>
      </c>
      <c r="BT355" s="65">
        <f>'Special Corporate+ Rates'!BT19</f>
        <v>0</v>
      </c>
      <c r="BU355" s="65">
        <f>'Special Corporate+ Rates'!BU19</f>
        <v>0</v>
      </c>
      <c r="BV355" s="65">
        <f>'Special Corporate+ Rates'!BV19</f>
        <v>0</v>
      </c>
      <c r="BW355" s="65">
        <f>'Special Corporate+ Rates'!BW19</f>
        <v>0</v>
      </c>
      <c r="BX355" s="65">
        <f>'Special Corporate+ Rates'!BX19</f>
        <v>0</v>
      </c>
      <c r="BY355" s="65">
        <f>'Special Corporate+ Rates'!BY19</f>
        <v>0</v>
      </c>
      <c r="BZ355" s="65">
        <f>'Special Corporate+ Rates'!BZ19</f>
        <v>0</v>
      </c>
      <c r="CA355" s="65">
        <f>'Special Corporate+ Rates'!CA19</f>
        <v>0</v>
      </c>
      <c r="CB355" s="65">
        <f>'Special Corporate+ Rates'!CB19</f>
        <v>0</v>
      </c>
      <c r="CC355" s="65">
        <f>'Special Corporate+ Rates'!CC19</f>
        <v>0</v>
      </c>
      <c r="CD355" s="65">
        <f>'Special Corporate+ Rates'!CD19</f>
        <v>0</v>
      </c>
      <c r="CE355" s="65">
        <f>'Special Corporate+ Rates'!CE19</f>
        <v>0</v>
      </c>
      <c r="CF355" s="65">
        <f>'Special Corporate+ Rates'!CF19</f>
        <v>0</v>
      </c>
      <c r="CG355" s="65">
        <f>'Special Corporate+ Rates'!CG19</f>
        <v>0</v>
      </c>
      <c r="CH355" s="65">
        <f>'Special Corporate+ Rates'!CH19</f>
        <v>0</v>
      </c>
      <c r="CI355" s="65">
        <f>'Special Corporate+ Rates'!CI19</f>
        <v>0</v>
      </c>
      <c r="CJ355" s="65">
        <f>'Special Corporate+ Rates'!CJ19</f>
        <v>0</v>
      </c>
      <c r="CK355" s="65">
        <f>'Special Corporate+ Rates'!CK19</f>
        <v>0</v>
      </c>
      <c r="CL355" s="65">
        <f>'Special Corporate+ Rates'!CL19</f>
        <v>0</v>
      </c>
      <c r="CM355" s="65">
        <f>'Special Corporate+ Rates'!CM19</f>
        <v>0</v>
      </c>
      <c r="CN355" s="65">
        <f>'Special Corporate+ Rates'!CN19</f>
        <v>0</v>
      </c>
      <c r="CO355" s="65">
        <f>'Special Corporate+ Rates'!CO19</f>
        <v>0</v>
      </c>
      <c r="CP355" s="65">
        <f>'Special Corporate+ Rates'!CP19</f>
        <v>0</v>
      </c>
      <c r="CQ355" s="65">
        <f>'Special Corporate+ Rates'!CQ19</f>
        <v>0</v>
      </c>
      <c r="CR355" s="65">
        <f>'Special Corporate+ Rates'!CR19</f>
        <v>0</v>
      </c>
      <c r="CS355" s="65">
        <f>'Special Corporate+ Rates'!CS19</f>
        <v>0</v>
      </c>
      <c r="CT355" s="65">
        <f>'Special Corporate+ Rates'!CT19</f>
        <v>0</v>
      </c>
      <c r="CU355" s="65">
        <f>'Special Corporate+ Rates'!CU19</f>
        <v>0</v>
      </c>
      <c r="CV355" s="65">
        <f>'Special Corporate+ Rates'!CV19</f>
        <v>0</v>
      </c>
      <c r="CW355" s="65">
        <f>'Special Corporate+ Rates'!CW19</f>
        <v>0</v>
      </c>
      <c r="CX355" s="65">
        <f>'Special Corporate+ Rates'!CX19</f>
        <v>0</v>
      </c>
      <c r="CY355" s="65">
        <f>'Special Corporate+ Rates'!CY19</f>
        <v>0</v>
      </c>
      <c r="CZ355" s="65">
        <f>'Special Corporate+ Rates'!CZ19</f>
        <v>0</v>
      </c>
      <c r="DA355" s="65">
        <f>'Special Corporate+ Rates'!DA19</f>
        <v>0</v>
      </c>
      <c r="DB355" s="65">
        <f>'Special Corporate+ Rates'!DB19</f>
        <v>0</v>
      </c>
      <c r="DC355" s="65">
        <f>'Special Corporate+ Rates'!DC19</f>
        <v>0</v>
      </c>
      <c r="DD355" s="65">
        <f>'Special Corporate+ Rates'!DD19</f>
        <v>0</v>
      </c>
      <c r="DE355" s="65">
        <f>'Special Corporate+ Rates'!DE19</f>
        <v>0</v>
      </c>
      <c r="DF355" s="65">
        <f>'Special Corporate+ Rates'!DF19</f>
        <v>0</v>
      </c>
      <c r="DG355" s="65">
        <f>'Special Corporate+ Rates'!DG19</f>
        <v>0</v>
      </c>
      <c r="DH355" s="65">
        <f>'Special Corporate+ Rates'!DH19</f>
        <v>0</v>
      </c>
      <c r="DI355" s="65">
        <f>'Special Corporate+ Rates'!DI19</f>
        <v>0</v>
      </c>
      <c r="DJ355" s="65">
        <f>'Special Corporate+ Rates'!DJ19</f>
        <v>0</v>
      </c>
      <c r="DK355" s="65">
        <f>'Special Corporate+ Rates'!DK19</f>
        <v>0</v>
      </c>
      <c r="DL355" s="65">
        <f>'Special Corporate+ Rates'!DL19</f>
        <v>0</v>
      </c>
      <c r="DM355" s="65">
        <f>'Special Corporate+ Rates'!DM19</f>
        <v>0</v>
      </c>
      <c r="DN355" s="65">
        <f>'Special Corporate+ Rates'!DN19</f>
        <v>0</v>
      </c>
      <c r="DO355" s="65">
        <f>'Special Corporate+ Rates'!DO19</f>
        <v>0</v>
      </c>
      <c r="DP355" s="65">
        <f>'Special Corporate+ Rates'!DP19</f>
        <v>0</v>
      </c>
      <c r="DQ355" s="65">
        <f>'Special Corporate+ Rates'!DQ19</f>
        <v>0</v>
      </c>
      <c r="DR355" s="65">
        <f>'Special Corporate+ Rates'!DR19</f>
        <v>0</v>
      </c>
      <c r="DS355" s="65">
        <f>'Special Corporate+ Rates'!DS19</f>
        <v>0</v>
      </c>
      <c r="DT355" s="65">
        <f>'Special Corporate+ Rates'!DT19</f>
        <v>0</v>
      </c>
      <c r="DU355" s="65">
        <f>'Special Corporate+ Rates'!DU19</f>
        <v>0</v>
      </c>
      <c r="DV355" s="65">
        <f>'Special Corporate+ Rates'!DV19</f>
        <v>0</v>
      </c>
      <c r="DW355" s="65">
        <f>'Special Corporate+ Rates'!DW19</f>
        <v>0</v>
      </c>
      <c r="DX355" s="65">
        <f>'Special Corporate+ Rates'!DX19</f>
        <v>0</v>
      </c>
      <c r="DY355" s="68"/>
    </row>
    <row r="356" spans="1:129" x14ac:dyDescent="0.2">
      <c r="A356" s="152"/>
      <c r="B356" s="65">
        <f>'Special Corporate+ Rates'!B20</f>
        <v>0</v>
      </c>
      <c r="C356" s="65">
        <f>'Special Corporate+ Rates'!C20</f>
        <v>0</v>
      </c>
      <c r="D356" s="65">
        <f>'Special Corporate+ Rates'!D20</f>
        <v>0</v>
      </c>
      <c r="E356" s="65">
        <f>'Special Corporate+ Rates'!E20</f>
        <v>0</v>
      </c>
      <c r="F356" s="65">
        <f>'Special Corporate+ Rates'!F20</f>
        <v>0</v>
      </c>
      <c r="G356" s="65">
        <f>'Special Corporate+ Rates'!G20</f>
        <v>0</v>
      </c>
      <c r="H356" s="65">
        <f>'Special Corporate+ Rates'!H20</f>
        <v>0</v>
      </c>
      <c r="I356" s="65">
        <f>'Special Corporate+ Rates'!I20</f>
        <v>0</v>
      </c>
      <c r="J356" s="65">
        <f>'Special Corporate+ Rates'!J20</f>
        <v>0</v>
      </c>
      <c r="K356" s="65">
        <f>'Special Corporate+ Rates'!K20</f>
        <v>0</v>
      </c>
      <c r="L356" s="65">
        <f>'Special Corporate+ Rates'!L20</f>
        <v>0</v>
      </c>
      <c r="M356" s="65">
        <f>'Special Corporate+ Rates'!M20</f>
        <v>0</v>
      </c>
      <c r="N356" s="65">
        <f>'Special Corporate+ Rates'!N20</f>
        <v>0</v>
      </c>
      <c r="O356" s="65">
        <f>'Special Corporate+ Rates'!O20</f>
        <v>0</v>
      </c>
      <c r="P356" s="65">
        <f>'Special Corporate+ Rates'!P20</f>
        <v>0</v>
      </c>
      <c r="Q356" s="65">
        <f>'Special Corporate+ Rates'!Q20</f>
        <v>0</v>
      </c>
      <c r="R356" s="65">
        <f>'Special Corporate+ Rates'!R20</f>
        <v>0</v>
      </c>
      <c r="S356" s="65">
        <f>'Special Corporate+ Rates'!S20</f>
        <v>0</v>
      </c>
      <c r="T356" s="65">
        <f>'Special Corporate+ Rates'!T20</f>
        <v>0</v>
      </c>
      <c r="U356" s="65">
        <f>'Special Corporate+ Rates'!U20</f>
        <v>0</v>
      </c>
      <c r="V356" s="65">
        <f>'Special Corporate+ Rates'!V20</f>
        <v>0</v>
      </c>
      <c r="W356" s="65">
        <f>'Special Corporate+ Rates'!W20</f>
        <v>0</v>
      </c>
      <c r="X356" s="65">
        <f>'Special Corporate+ Rates'!X20</f>
        <v>0</v>
      </c>
      <c r="Y356" s="65">
        <f>'Special Corporate+ Rates'!Y20</f>
        <v>0</v>
      </c>
      <c r="Z356" s="65">
        <f>'Special Corporate+ Rates'!Z20</f>
        <v>0</v>
      </c>
      <c r="AA356" s="65">
        <f>'Special Corporate+ Rates'!AA20</f>
        <v>0</v>
      </c>
      <c r="AB356" s="65">
        <f>'Special Corporate+ Rates'!AB20</f>
        <v>0</v>
      </c>
      <c r="AC356" s="65">
        <f>'Special Corporate+ Rates'!AC20</f>
        <v>0</v>
      </c>
      <c r="AD356" s="65">
        <f>'Special Corporate+ Rates'!AD20</f>
        <v>0</v>
      </c>
      <c r="AE356" s="65">
        <f>'Special Corporate+ Rates'!AE20</f>
        <v>0</v>
      </c>
      <c r="AF356" s="65">
        <f>'Special Corporate+ Rates'!AF20</f>
        <v>0</v>
      </c>
      <c r="AG356" s="65">
        <f>'Special Corporate+ Rates'!AG20</f>
        <v>0</v>
      </c>
      <c r="AH356" s="65">
        <f>'Special Corporate+ Rates'!AH20</f>
        <v>0</v>
      </c>
      <c r="AI356" s="65">
        <f>'Special Corporate+ Rates'!AI20</f>
        <v>0</v>
      </c>
      <c r="AJ356" s="65">
        <f>'Special Corporate+ Rates'!AJ20</f>
        <v>0</v>
      </c>
      <c r="AK356" s="65">
        <f>'Special Corporate+ Rates'!AK20</f>
        <v>0</v>
      </c>
      <c r="AL356" s="65">
        <f>'Special Corporate+ Rates'!AL20</f>
        <v>0</v>
      </c>
      <c r="AM356" s="65">
        <f>'Special Corporate+ Rates'!AM20</f>
        <v>0</v>
      </c>
      <c r="AN356" s="65">
        <f>'Special Corporate+ Rates'!AN20</f>
        <v>0</v>
      </c>
      <c r="AO356" s="65">
        <f>'Special Corporate+ Rates'!AO20</f>
        <v>0</v>
      </c>
      <c r="AP356" s="65">
        <f>'Special Corporate+ Rates'!AP20</f>
        <v>0</v>
      </c>
      <c r="AQ356" s="65">
        <f>'Special Corporate+ Rates'!AQ20</f>
        <v>0</v>
      </c>
      <c r="AR356" s="65">
        <f>'Special Corporate+ Rates'!AR20</f>
        <v>0</v>
      </c>
      <c r="AS356" s="65">
        <f>'Special Corporate+ Rates'!AS20</f>
        <v>0</v>
      </c>
      <c r="AT356" s="65">
        <f>'Special Corporate+ Rates'!AT20</f>
        <v>0</v>
      </c>
      <c r="AU356" s="65">
        <f>'Special Corporate+ Rates'!AU20</f>
        <v>0</v>
      </c>
      <c r="AV356" s="65">
        <f>'Special Corporate+ Rates'!AV20</f>
        <v>0</v>
      </c>
      <c r="AW356" s="65">
        <f>'Special Corporate+ Rates'!AW20</f>
        <v>0</v>
      </c>
      <c r="AX356" s="65">
        <f>'Special Corporate+ Rates'!AX20</f>
        <v>0</v>
      </c>
      <c r="AY356" s="65">
        <f>'Special Corporate+ Rates'!AY20</f>
        <v>0</v>
      </c>
      <c r="AZ356" s="65">
        <f>'Special Corporate+ Rates'!AZ20</f>
        <v>0</v>
      </c>
      <c r="BA356" s="65">
        <f>'Special Corporate+ Rates'!BA20</f>
        <v>0</v>
      </c>
      <c r="BB356" s="65">
        <f>'Special Corporate+ Rates'!BB20</f>
        <v>0</v>
      </c>
      <c r="BC356" s="65">
        <f>'Special Corporate+ Rates'!BC20</f>
        <v>0</v>
      </c>
      <c r="BD356" s="65">
        <f>'Special Corporate+ Rates'!BD20</f>
        <v>0</v>
      </c>
      <c r="BE356" s="65">
        <f>'Special Corporate+ Rates'!BE20</f>
        <v>0</v>
      </c>
      <c r="BF356" s="65">
        <f>'Special Corporate+ Rates'!BF20</f>
        <v>0</v>
      </c>
      <c r="BG356" s="65">
        <f>'Special Corporate+ Rates'!BG20</f>
        <v>0</v>
      </c>
      <c r="BH356" s="65">
        <f>'Special Corporate+ Rates'!BH20</f>
        <v>0</v>
      </c>
      <c r="BI356" s="65">
        <f>'Special Corporate+ Rates'!BI20</f>
        <v>0</v>
      </c>
      <c r="BJ356" s="65">
        <f>'Special Corporate+ Rates'!BJ20</f>
        <v>0</v>
      </c>
      <c r="BK356" s="65">
        <f>'Special Corporate+ Rates'!BK20</f>
        <v>0</v>
      </c>
      <c r="BL356" s="65">
        <f>'Special Corporate+ Rates'!BL20</f>
        <v>0</v>
      </c>
      <c r="BM356" s="65">
        <f>'Special Corporate+ Rates'!BM20</f>
        <v>0</v>
      </c>
      <c r="BN356" s="65">
        <f>'Special Corporate+ Rates'!BN20</f>
        <v>0</v>
      </c>
      <c r="BO356" s="65">
        <f>'Special Corporate+ Rates'!BO20</f>
        <v>0</v>
      </c>
      <c r="BP356" s="65">
        <f>'Special Corporate+ Rates'!BP20</f>
        <v>0</v>
      </c>
      <c r="BQ356" s="65">
        <f>'Special Corporate+ Rates'!BQ20</f>
        <v>0</v>
      </c>
      <c r="BR356" s="65">
        <f>'Special Corporate+ Rates'!BR20</f>
        <v>0</v>
      </c>
      <c r="BS356" s="65">
        <f>'Special Corporate+ Rates'!BS20</f>
        <v>0</v>
      </c>
      <c r="BT356" s="65">
        <f>'Special Corporate+ Rates'!BT20</f>
        <v>0</v>
      </c>
      <c r="BU356" s="65">
        <f>'Special Corporate+ Rates'!BU20</f>
        <v>0</v>
      </c>
      <c r="BV356" s="65">
        <f>'Special Corporate+ Rates'!BV20</f>
        <v>0</v>
      </c>
      <c r="BW356" s="65">
        <f>'Special Corporate+ Rates'!BW20</f>
        <v>0</v>
      </c>
      <c r="BX356" s="65">
        <f>'Special Corporate+ Rates'!BX20</f>
        <v>0</v>
      </c>
      <c r="BY356" s="65">
        <f>'Special Corporate+ Rates'!BY20</f>
        <v>0</v>
      </c>
      <c r="BZ356" s="65">
        <f>'Special Corporate+ Rates'!BZ20</f>
        <v>0</v>
      </c>
      <c r="CA356" s="65">
        <f>'Special Corporate+ Rates'!CA20</f>
        <v>0</v>
      </c>
      <c r="CB356" s="65">
        <f>'Special Corporate+ Rates'!CB20</f>
        <v>0</v>
      </c>
      <c r="CC356" s="65">
        <f>'Special Corporate+ Rates'!CC20</f>
        <v>0</v>
      </c>
      <c r="CD356" s="65">
        <f>'Special Corporate+ Rates'!CD20</f>
        <v>0</v>
      </c>
      <c r="CE356" s="65">
        <f>'Special Corporate+ Rates'!CE20</f>
        <v>0</v>
      </c>
      <c r="CF356" s="65">
        <f>'Special Corporate+ Rates'!CF20</f>
        <v>0</v>
      </c>
      <c r="CG356" s="65">
        <f>'Special Corporate+ Rates'!CG20</f>
        <v>0</v>
      </c>
      <c r="CH356" s="65">
        <f>'Special Corporate+ Rates'!CH20</f>
        <v>0</v>
      </c>
      <c r="CI356" s="65">
        <f>'Special Corporate+ Rates'!CI20</f>
        <v>0</v>
      </c>
      <c r="CJ356" s="65">
        <f>'Special Corporate+ Rates'!CJ20</f>
        <v>0</v>
      </c>
      <c r="CK356" s="65">
        <f>'Special Corporate+ Rates'!CK20</f>
        <v>0</v>
      </c>
      <c r="CL356" s="65">
        <f>'Special Corporate+ Rates'!CL20</f>
        <v>0</v>
      </c>
      <c r="CM356" s="65">
        <f>'Special Corporate+ Rates'!CM20</f>
        <v>0</v>
      </c>
      <c r="CN356" s="65">
        <f>'Special Corporate+ Rates'!CN20</f>
        <v>0</v>
      </c>
      <c r="CO356" s="65">
        <f>'Special Corporate+ Rates'!CO20</f>
        <v>0</v>
      </c>
      <c r="CP356" s="65">
        <f>'Special Corporate+ Rates'!CP20</f>
        <v>0</v>
      </c>
      <c r="CQ356" s="65">
        <f>'Special Corporate+ Rates'!CQ20</f>
        <v>0</v>
      </c>
      <c r="CR356" s="65">
        <f>'Special Corporate+ Rates'!CR20</f>
        <v>0</v>
      </c>
      <c r="CS356" s="65">
        <f>'Special Corporate+ Rates'!CS20</f>
        <v>0</v>
      </c>
      <c r="CT356" s="65">
        <f>'Special Corporate+ Rates'!CT20</f>
        <v>0</v>
      </c>
      <c r="CU356" s="65">
        <f>'Special Corporate+ Rates'!CU20</f>
        <v>0</v>
      </c>
      <c r="CV356" s="65">
        <f>'Special Corporate+ Rates'!CV20</f>
        <v>0</v>
      </c>
      <c r="CW356" s="65">
        <f>'Special Corporate+ Rates'!CW20</f>
        <v>0</v>
      </c>
      <c r="CX356" s="65">
        <f>'Special Corporate+ Rates'!CX20</f>
        <v>0</v>
      </c>
      <c r="CY356" s="65">
        <f>'Special Corporate+ Rates'!CY20</f>
        <v>0</v>
      </c>
      <c r="CZ356" s="65">
        <f>'Special Corporate+ Rates'!CZ20</f>
        <v>0</v>
      </c>
      <c r="DA356" s="65">
        <f>'Special Corporate+ Rates'!DA20</f>
        <v>0</v>
      </c>
      <c r="DB356" s="65">
        <f>'Special Corporate+ Rates'!DB20</f>
        <v>0</v>
      </c>
      <c r="DC356" s="65">
        <f>'Special Corporate+ Rates'!DC20</f>
        <v>0</v>
      </c>
      <c r="DD356" s="65">
        <f>'Special Corporate+ Rates'!DD20</f>
        <v>0</v>
      </c>
      <c r="DE356" s="65">
        <f>'Special Corporate+ Rates'!DE20</f>
        <v>0</v>
      </c>
      <c r="DF356" s="65">
        <f>'Special Corporate+ Rates'!DF20</f>
        <v>0</v>
      </c>
      <c r="DG356" s="65">
        <f>'Special Corporate+ Rates'!DG20</f>
        <v>0</v>
      </c>
      <c r="DH356" s="65">
        <f>'Special Corporate+ Rates'!DH20</f>
        <v>0</v>
      </c>
      <c r="DI356" s="65">
        <f>'Special Corporate+ Rates'!DI20</f>
        <v>0</v>
      </c>
      <c r="DJ356" s="65">
        <f>'Special Corporate+ Rates'!DJ20</f>
        <v>0</v>
      </c>
      <c r="DK356" s="65">
        <f>'Special Corporate+ Rates'!DK20</f>
        <v>0</v>
      </c>
      <c r="DL356" s="65">
        <f>'Special Corporate+ Rates'!DL20</f>
        <v>0</v>
      </c>
      <c r="DM356" s="65">
        <f>'Special Corporate+ Rates'!DM20</f>
        <v>0</v>
      </c>
      <c r="DN356" s="65">
        <f>'Special Corporate+ Rates'!DN20</f>
        <v>0</v>
      </c>
      <c r="DO356" s="65">
        <f>'Special Corporate+ Rates'!DO20</f>
        <v>0</v>
      </c>
      <c r="DP356" s="65">
        <f>'Special Corporate+ Rates'!DP20</f>
        <v>0</v>
      </c>
      <c r="DQ356" s="65">
        <f>'Special Corporate+ Rates'!DQ20</f>
        <v>0</v>
      </c>
      <c r="DR356" s="65">
        <f>'Special Corporate+ Rates'!DR20</f>
        <v>0</v>
      </c>
      <c r="DS356" s="65">
        <f>'Special Corporate+ Rates'!DS20</f>
        <v>0</v>
      </c>
      <c r="DT356" s="65">
        <f>'Special Corporate+ Rates'!DT20</f>
        <v>0</v>
      </c>
      <c r="DU356" s="65">
        <f>'Special Corporate+ Rates'!DU20</f>
        <v>0</v>
      </c>
      <c r="DV356" s="65">
        <f>'Special Corporate+ Rates'!DV20</f>
        <v>0</v>
      </c>
      <c r="DW356" s="65">
        <f>'Special Corporate+ Rates'!DW20</f>
        <v>0</v>
      </c>
      <c r="DX356" s="65">
        <f>'Special Corporate+ Rates'!DX20</f>
        <v>0</v>
      </c>
      <c r="DY356" s="68"/>
    </row>
    <row r="357" spans="1:129" x14ac:dyDescent="0.2">
      <c r="A357" s="152"/>
      <c r="B357" s="65">
        <f>'Special Corporate+ Rates'!B21</f>
        <v>0</v>
      </c>
      <c r="C357" s="65">
        <f>'Special Corporate+ Rates'!C21</f>
        <v>0</v>
      </c>
      <c r="D357" s="65">
        <f>'Special Corporate+ Rates'!D21</f>
        <v>0</v>
      </c>
      <c r="E357" s="65">
        <f>'Special Corporate+ Rates'!E21</f>
        <v>0</v>
      </c>
      <c r="F357" s="65">
        <f>'Special Corporate+ Rates'!F21</f>
        <v>0</v>
      </c>
      <c r="G357" s="65">
        <f>'Special Corporate+ Rates'!G21</f>
        <v>0</v>
      </c>
      <c r="H357" s="65">
        <f>'Special Corporate+ Rates'!H21</f>
        <v>0</v>
      </c>
      <c r="I357" s="65">
        <f>'Special Corporate+ Rates'!I21</f>
        <v>0</v>
      </c>
      <c r="J357" s="65">
        <f>'Special Corporate+ Rates'!J21</f>
        <v>0</v>
      </c>
      <c r="K357" s="65">
        <f>'Special Corporate+ Rates'!K21</f>
        <v>0</v>
      </c>
      <c r="L357" s="65">
        <f>'Special Corporate+ Rates'!L21</f>
        <v>0</v>
      </c>
      <c r="M357" s="65">
        <f>'Special Corporate+ Rates'!M21</f>
        <v>0</v>
      </c>
      <c r="N357" s="65">
        <f>'Special Corporate+ Rates'!N21</f>
        <v>0</v>
      </c>
      <c r="O357" s="65">
        <f>'Special Corporate+ Rates'!O21</f>
        <v>0</v>
      </c>
      <c r="P357" s="65">
        <f>'Special Corporate+ Rates'!P21</f>
        <v>0</v>
      </c>
      <c r="Q357" s="65">
        <f>'Special Corporate+ Rates'!Q21</f>
        <v>0</v>
      </c>
      <c r="R357" s="65">
        <f>'Special Corporate+ Rates'!R21</f>
        <v>0</v>
      </c>
      <c r="S357" s="65">
        <f>'Special Corporate+ Rates'!S21</f>
        <v>0</v>
      </c>
      <c r="T357" s="65">
        <f>'Special Corporate+ Rates'!T21</f>
        <v>0</v>
      </c>
      <c r="U357" s="65">
        <f>'Special Corporate+ Rates'!U21</f>
        <v>0</v>
      </c>
      <c r="V357" s="65">
        <f>'Special Corporate+ Rates'!V21</f>
        <v>0</v>
      </c>
      <c r="W357" s="65">
        <f>'Special Corporate+ Rates'!W21</f>
        <v>0</v>
      </c>
      <c r="X357" s="65">
        <f>'Special Corporate+ Rates'!X21</f>
        <v>0</v>
      </c>
      <c r="Y357" s="65">
        <f>'Special Corporate+ Rates'!Y21</f>
        <v>0</v>
      </c>
      <c r="Z357" s="65">
        <f>'Special Corporate+ Rates'!Z21</f>
        <v>0</v>
      </c>
      <c r="AA357" s="65">
        <f>'Special Corporate+ Rates'!AA21</f>
        <v>0</v>
      </c>
      <c r="AB357" s="65">
        <f>'Special Corporate+ Rates'!AB21</f>
        <v>0</v>
      </c>
      <c r="AC357" s="65">
        <f>'Special Corporate+ Rates'!AC21</f>
        <v>0</v>
      </c>
      <c r="AD357" s="65">
        <f>'Special Corporate+ Rates'!AD21</f>
        <v>0</v>
      </c>
      <c r="AE357" s="65">
        <f>'Special Corporate+ Rates'!AE21</f>
        <v>0</v>
      </c>
      <c r="AF357" s="65">
        <f>'Special Corporate+ Rates'!AF21</f>
        <v>0</v>
      </c>
      <c r="AG357" s="65">
        <f>'Special Corporate+ Rates'!AG21</f>
        <v>0</v>
      </c>
      <c r="AH357" s="65">
        <f>'Special Corporate+ Rates'!AH21</f>
        <v>0</v>
      </c>
      <c r="AI357" s="65">
        <f>'Special Corporate+ Rates'!AI21</f>
        <v>0</v>
      </c>
      <c r="AJ357" s="65">
        <f>'Special Corporate+ Rates'!AJ21</f>
        <v>0</v>
      </c>
      <c r="AK357" s="65">
        <f>'Special Corporate+ Rates'!AK21</f>
        <v>0</v>
      </c>
      <c r="AL357" s="65">
        <f>'Special Corporate+ Rates'!AL21</f>
        <v>0</v>
      </c>
      <c r="AM357" s="65">
        <f>'Special Corporate+ Rates'!AM21</f>
        <v>0</v>
      </c>
      <c r="AN357" s="65">
        <f>'Special Corporate+ Rates'!AN21</f>
        <v>0</v>
      </c>
      <c r="AO357" s="65">
        <f>'Special Corporate+ Rates'!AO21</f>
        <v>0</v>
      </c>
      <c r="AP357" s="65">
        <f>'Special Corporate+ Rates'!AP21</f>
        <v>0</v>
      </c>
      <c r="AQ357" s="65">
        <f>'Special Corporate+ Rates'!AQ21</f>
        <v>0</v>
      </c>
      <c r="AR357" s="65">
        <f>'Special Corporate+ Rates'!AR21</f>
        <v>0</v>
      </c>
      <c r="AS357" s="65">
        <f>'Special Corporate+ Rates'!AS21</f>
        <v>0</v>
      </c>
      <c r="AT357" s="65">
        <f>'Special Corporate+ Rates'!AT21</f>
        <v>0</v>
      </c>
      <c r="AU357" s="65">
        <f>'Special Corporate+ Rates'!AU21</f>
        <v>0</v>
      </c>
      <c r="AV357" s="65">
        <f>'Special Corporate+ Rates'!AV21</f>
        <v>0</v>
      </c>
      <c r="AW357" s="65">
        <f>'Special Corporate+ Rates'!AW21</f>
        <v>0</v>
      </c>
      <c r="AX357" s="65">
        <f>'Special Corporate+ Rates'!AX21</f>
        <v>0</v>
      </c>
      <c r="AY357" s="65">
        <f>'Special Corporate+ Rates'!AY21</f>
        <v>0</v>
      </c>
      <c r="AZ357" s="65">
        <f>'Special Corporate+ Rates'!AZ21</f>
        <v>0</v>
      </c>
      <c r="BA357" s="65">
        <f>'Special Corporate+ Rates'!BA21</f>
        <v>0</v>
      </c>
      <c r="BB357" s="65">
        <f>'Special Corporate+ Rates'!BB21</f>
        <v>0</v>
      </c>
      <c r="BC357" s="65">
        <f>'Special Corporate+ Rates'!BC21</f>
        <v>0</v>
      </c>
      <c r="BD357" s="65">
        <f>'Special Corporate+ Rates'!BD21</f>
        <v>0</v>
      </c>
      <c r="BE357" s="65">
        <f>'Special Corporate+ Rates'!BE21</f>
        <v>0</v>
      </c>
      <c r="BF357" s="65">
        <f>'Special Corporate+ Rates'!BF21</f>
        <v>0</v>
      </c>
      <c r="BG357" s="65">
        <f>'Special Corporate+ Rates'!BG21</f>
        <v>0</v>
      </c>
      <c r="BH357" s="65">
        <f>'Special Corporate+ Rates'!BH21</f>
        <v>0</v>
      </c>
      <c r="BI357" s="65">
        <f>'Special Corporate+ Rates'!BI21</f>
        <v>0</v>
      </c>
      <c r="BJ357" s="65">
        <f>'Special Corporate+ Rates'!BJ21</f>
        <v>0</v>
      </c>
      <c r="BK357" s="65">
        <f>'Special Corporate+ Rates'!BK21</f>
        <v>0</v>
      </c>
      <c r="BL357" s="65">
        <f>'Special Corporate+ Rates'!BL21</f>
        <v>0</v>
      </c>
      <c r="BM357" s="65">
        <f>'Special Corporate+ Rates'!BM21</f>
        <v>0</v>
      </c>
      <c r="BN357" s="65">
        <f>'Special Corporate+ Rates'!BN21</f>
        <v>0</v>
      </c>
      <c r="BO357" s="65">
        <f>'Special Corporate+ Rates'!BO21</f>
        <v>0</v>
      </c>
      <c r="BP357" s="65">
        <f>'Special Corporate+ Rates'!BP21</f>
        <v>0</v>
      </c>
      <c r="BQ357" s="65">
        <f>'Special Corporate+ Rates'!BQ21</f>
        <v>0</v>
      </c>
      <c r="BR357" s="65">
        <f>'Special Corporate+ Rates'!BR21</f>
        <v>0</v>
      </c>
      <c r="BS357" s="65">
        <f>'Special Corporate+ Rates'!BS21</f>
        <v>0</v>
      </c>
      <c r="BT357" s="65">
        <f>'Special Corporate+ Rates'!BT21</f>
        <v>0</v>
      </c>
      <c r="BU357" s="65">
        <f>'Special Corporate+ Rates'!BU21</f>
        <v>0</v>
      </c>
      <c r="BV357" s="65">
        <f>'Special Corporate+ Rates'!BV21</f>
        <v>0</v>
      </c>
      <c r="BW357" s="65">
        <f>'Special Corporate+ Rates'!BW21</f>
        <v>0</v>
      </c>
      <c r="BX357" s="65">
        <f>'Special Corporate+ Rates'!BX21</f>
        <v>0</v>
      </c>
      <c r="BY357" s="65">
        <f>'Special Corporate+ Rates'!BY21</f>
        <v>0</v>
      </c>
      <c r="BZ357" s="65">
        <f>'Special Corporate+ Rates'!BZ21</f>
        <v>0</v>
      </c>
      <c r="CA357" s="65">
        <f>'Special Corporate+ Rates'!CA21</f>
        <v>0</v>
      </c>
      <c r="CB357" s="65">
        <f>'Special Corporate+ Rates'!CB21</f>
        <v>0</v>
      </c>
      <c r="CC357" s="65">
        <f>'Special Corporate+ Rates'!CC21</f>
        <v>0</v>
      </c>
      <c r="CD357" s="65">
        <f>'Special Corporate+ Rates'!CD21</f>
        <v>0</v>
      </c>
      <c r="CE357" s="65">
        <f>'Special Corporate+ Rates'!CE21</f>
        <v>0</v>
      </c>
      <c r="CF357" s="65">
        <f>'Special Corporate+ Rates'!CF21</f>
        <v>0</v>
      </c>
      <c r="CG357" s="65">
        <f>'Special Corporate+ Rates'!CG21</f>
        <v>0</v>
      </c>
      <c r="CH357" s="65">
        <f>'Special Corporate+ Rates'!CH21</f>
        <v>0</v>
      </c>
      <c r="CI357" s="65">
        <f>'Special Corporate+ Rates'!CI21</f>
        <v>0</v>
      </c>
      <c r="CJ357" s="65">
        <f>'Special Corporate+ Rates'!CJ21</f>
        <v>0</v>
      </c>
      <c r="CK357" s="65">
        <f>'Special Corporate+ Rates'!CK21</f>
        <v>0</v>
      </c>
      <c r="CL357" s="65">
        <f>'Special Corporate+ Rates'!CL21</f>
        <v>0</v>
      </c>
      <c r="CM357" s="65">
        <f>'Special Corporate+ Rates'!CM21</f>
        <v>0</v>
      </c>
      <c r="CN357" s="65">
        <f>'Special Corporate+ Rates'!CN21</f>
        <v>0</v>
      </c>
      <c r="CO357" s="65">
        <f>'Special Corporate+ Rates'!CO21</f>
        <v>0</v>
      </c>
      <c r="CP357" s="65">
        <f>'Special Corporate+ Rates'!CP21</f>
        <v>0</v>
      </c>
      <c r="CQ357" s="65">
        <f>'Special Corporate+ Rates'!CQ21</f>
        <v>0</v>
      </c>
      <c r="CR357" s="65">
        <f>'Special Corporate+ Rates'!CR21</f>
        <v>0</v>
      </c>
      <c r="CS357" s="65">
        <f>'Special Corporate+ Rates'!CS21</f>
        <v>0</v>
      </c>
      <c r="CT357" s="65">
        <f>'Special Corporate+ Rates'!CT21</f>
        <v>0</v>
      </c>
      <c r="CU357" s="65">
        <f>'Special Corporate+ Rates'!CU21</f>
        <v>0</v>
      </c>
      <c r="CV357" s="65">
        <f>'Special Corporate+ Rates'!CV21</f>
        <v>0</v>
      </c>
      <c r="CW357" s="65">
        <f>'Special Corporate+ Rates'!CW21</f>
        <v>0</v>
      </c>
      <c r="CX357" s="65">
        <f>'Special Corporate+ Rates'!CX21</f>
        <v>0</v>
      </c>
      <c r="CY357" s="65">
        <f>'Special Corporate+ Rates'!CY21</f>
        <v>0</v>
      </c>
      <c r="CZ357" s="65">
        <f>'Special Corporate+ Rates'!CZ21</f>
        <v>0</v>
      </c>
      <c r="DA357" s="65">
        <f>'Special Corporate+ Rates'!DA21</f>
        <v>0</v>
      </c>
      <c r="DB357" s="65">
        <f>'Special Corporate+ Rates'!DB21</f>
        <v>0</v>
      </c>
      <c r="DC357" s="65">
        <f>'Special Corporate+ Rates'!DC21</f>
        <v>0</v>
      </c>
      <c r="DD357" s="65">
        <f>'Special Corporate+ Rates'!DD21</f>
        <v>0</v>
      </c>
      <c r="DE357" s="65">
        <f>'Special Corporate+ Rates'!DE21</f>
        <v>0</v>
      </c>
      <c r="DF357" s="65">
        <f>'Special Corporate+ Rates'!DF21</f>
        <v>0</v>
      </c>
      <c r="DG357" s="65">
        <f>'Special Corporate+ Rates'!DG21</f>
        <v>0</v>
      </c>
      <c r="DH357" s="65">
        <f>'Special Corporate+ Rates'!DH21</f>
        <v>0</v>
      </c>
      <c r="DI357" s="65">
        <f>'Special Corporate+ Rates'!DI21</f>
        <v>0</v>
      </c>
      <c r="DJ357" s="65">
        <f>'Special Corporate+ Rates'!DJ21</f>
        <v>0</v>
      </c>
      <c r="DK357" s="65">
        <f>'Special Corporate+ Rates'!DK21</f>
        <v>0</v>
      </c>
      <c r="DL357" s="65">
        <f>'Special Corporate+ Rates'!DL21</f>
        <v>0</v>
      </c>
      <c r="DM357" s="65">
        <f>'Special Corporate+ Rates'!DM21</f>
        <v>0</v>
      </c>
      <c r="DN357" s="65">
        <f>'Special Corporate+ Rates'!DN21</f>
        <v>0</v>
      </c>
      <c r="DO357" s="65">
        <f>'Special Corporate+ Rates'!DO21</f>
        <v>0</v>
      </c>
      <c r="DP357" s="65">
        <f>'Special Corporate+ Rates'!DP21</f>
        <v>0</v>
      </c>
      <c r="DQ357" s="65">
        <f>'Special Corporate+ Rates'!DQ21</f>
        <v>0</v>
      </c>
      <c r="DR357" s="65">
        <f>'Special Corporate+ Rates'!DR21</f>
        <v>0</v>
      </c>
      <c r="DS357" s="65">
        <f>'Special Corporate+ Rates'!DS21</f>
        <v>0</v>
      </c>
      <c r="DT357" s="65">
        <f>'Special Corporate+ Rates'!DT21</f>
        <v>0</v>
      </c>
      <c r="DU357" s="65">
        <f>'Special Corporate+ Rates'!DU21</f>
        <v>0</v>
      </c>
      <c r="DV357" s="65">
        <f>'Special Corporate+ Rates'!DV21</f>
        <v>0</v>
      </c>
      <c r="DW357" s="65">
        <f>'Special Corporate+ Rates'!DW21</f>
        <v>0</v>
      </c>
      <c r="DX357" s="65">
        <f>'Special Corporate+ Rates'!DX21</f>
        <v>0</v>
      </c>
      <c r="DY357" s="68"/>
    </row>
    <row r="358" spans="1:129" x14ac:dyDescent="0.2">
      <c r="A358" s="152"/>
      <c r="B358" s="65">
        <f>'Special Corporate+ Rates'!B22</f>
        <v>0</v>
      </c>
      <c r="C358" s="65">
        <f>'Special Corporate+ Rates'!C22</f>
        <v>0</v>
      </c>
      <c r="D358" s="65">
        <f>'Special Corporate+ Rates'!D22</f>
        <v>0</v>
      </c>
      <c r="E358" s="65">
        <f>'Special Corporate+ Rates'!E22</f>
        <v>0</v>
      </c>
      <c r="F358" s="65">
        <f>'Special Corporate+ Rates'!F22</f>
        <v>0</v>
      </c>
      <c r="G358" s="65">
        <f>'Special Corporate+ Rates'!G22</f>
        <v>0</v>
      </c>
      <c r="H358" s="65">
        <f>'Special Corporate+ Rates'!H22</f>
        <v>0</v>
      </c>
      <c r="I358" s="65">
        <f>'Special Corporate+ Rates'!I22</f>
        <v>0</v>
      </c>
      <c r="J358" s="65">
        <f>'Special Corporate+ Rates'!J22</f>
        <v>0</v>
      </c>
      <c r="K358" s="65">
        <f>'Special Corporate+ Rates'!K22</f>
        <v>0</v>
      </c>
      <c r="L358" s="65">
        <f>'Special Corporate+ Rates'!L22</f>
        <v>0</v>
      </c>
      <c r="M358" s="65">
        <f>'Special Corporate+ Rates'!M22</f>
        <v>0</v>
      </c>
      <c r="N358" s="65">
        <f>'Special Corporate+ Rates'!N22</f>
        <v>0</v>
      </c>
      <c r="O358" s="65">
        <f>'Special Corporate+ Rates'!O22</f>
        <v>0</v>
      </c>
      <c r="P358" s="65">
        <f>'Special Corporate+ Rates'!P22</f>
        <v>0</v>
      </c>
      <c r="Q358" s="65">
        <f>'Special Corporate+ Rates'!Q22</f>
        <v>0</v>
      </c>
      <c r="R358" s="65">
        <f>'Special Corporate+ Rates'!R22</f>
        <v>0</v>
      </c>
      <c r="S358" s="65">
        <f>'Special Corporate+ Rates'!S22</f>
        <v>0</v>
      </c>
      <c r="T358" s="65">
        <f>'Special Corporate+ Rates'!T22</f>
        <v>0</v>
      </c>
      <c r="U358" s="65">
        <f>'Special Corporate+ Rates'!U22</f>
        <v>0</v>
      </c>
      <c r="V358" s="65">
        <f>'Special Corporate+ Rates'!V22</f>
        <v>0</v>
      </c>
      <c r="W358" s="65">
        <f>'Special Corporate+ Rates'!W22</f>
        <v>0</v>
      </c>
      <c r="X358" s="65">
        <f>'Special Corporate+ Rates'!X22</f>
        <v>0</v>
      </c>
      <c r="Y358" s="65">
        <f>'Special Corporate+ Rates'!Y22</f>
        <v>0</v>
      </c>
      <c r="Z358" s="65">
        <f>'Special Corporate+ Rates'!Z22</f>
        <v>0</v>
      </c>
      <c r="AA358" s="65">
        <f>'Special Corporate+ Rates'!AA22</f>
        <v>0</v>
      </c>
      <c r="AB358" s="65">
        <f>'Special Corporate+ Rates'!AB22</f>
        <v>0</v>
      </c>
      <c r="AC358" s="65">
        <f>'Special Corporate+ Rates'!AC22</f>
        <v>0</v>
      </c>
      <c r="AD358" s="65">
        <f>'Special Corporate+ Rates'!AD22</f>
        <v>0</v>
      </c>
      <c r="AE358" s="65">
        <f>'Special Corporate+ Rates'!AE22</f>
        <v>0</v>
      </c>
      <c r="AF358" s="65">
        <f>'Special Corporate+ Rates'!AF22</f>
        <v>0</v>
      </c>
      <c r="AG358" s="65">
        <f>'Special Corporate+ Rates'!AG22</f>
        <v>0</v>
      </c>
      <c r="AH358" s="65">
        <f>'Special Corporate+ Rates'!AH22</f>
        <v>0</v>
      </c>
      <c r="AI358" s="65">
        <f>'Special Corporate+ Rates'!AI22</f>
        <v>0</v>
      </c>
      <c r="AJ358" s="65">
        <f>'Special Corporate+ Rates'!AJ22</f>
        <v>0</v>
      </c>
      <c r="AK358" s="65">
        <f>'Special Corporate+ Rates'!AK22</f>
        <v>0</v>
      </c>
      <c r="AL358" s="65">
        <f>'Special Corporate+ Rates'!AL22</f>
        <v>0</v>
      </c>
      <c r="AM358" s="65">
        <f>'Special Corporate+ Rates'!AM22</f>
        <v>0</v>
      </c>
      <c r="AN358" s="65">
        <f>'Special Corporate+ Rates'!AN22</f>
        <v>0</v>
      </c>
      <c r="AO358" s="65">
        <f>'Special Corporate+ Rates'!AO22</f>
        <v>0</v>
      </c>
      <c r="AP358" s="65">
        <f>'Special Corporate+ Rates'!AP22</f>
        <v>0</v>
      </c>
      <c r="AQ358" s="65">
        <f>'Special Corporate+ Rates'!AQ22</f>
        <v>0</v>
      </c>
      <c r="AR358" s="65">
        <f>'Special Corporate+ Rates'!AR22</f>
        <v>0</v>
      </c>
      <c r="AS358" s="65">
        <f>'Special Corporate+ Rates'!AS22</f>
        <v>0</v>
      </c>
      <c r="AT358" s="65">
        <f>'Special Corporate+ Rates'!AT22</f>
        <v>0</v>
      </c>
      <c r="AU358" s="65">
        <f>'Special Corporate+ Rates'!AU22</f>
        <v>0</v>
      </c>
      <c r="AV358" s="65">
        <f>'Special Corporate+ Rates'!AV22</f>
        <v>0</v>
      </c>
      <c r="AW358" s="65">
        <f>'Special Corporate+ Rates'!AW22</f>
        <v>0</v>
      </c>
      <c r="AX358" s="65">
        <f>'Special Corporate+ Rates'!AX22</f>
        <v>0</v>
      </c>
      <c r="AY358" s="65">
        <f>'Special Corporate+ Rates'!AY22</f>
        <v>0</v>
      </c>
      <c r="AZ358" s="65">
        <f>'Special Corporate+ Rates'!AZ22</f>
        <v>0</v>
      </c>
      <c r="BA358" s="65">
        <f>'Special Corporate+ Rates'!BA22</f>
        <v>0</v>
      </c>
      <c r="BB358" s="65">
        <f>'Special Corporate+ Rates'!BB22</f>
        <v>0</v>
      </c>
      <c r="BC358" s="65">
        <f>'Special Corporate+ Rates'!BC22</f>
        <v>0</v>
      </c>
      <c r="BD358" s="65">
        <f>'Special Corporate+ Rates'!BD22</f>
        <v>0</v>
      </c>
      <c r="BE358" s="65">
        <f>'Special Corporate+ Rates'!BE22</f>
        <v>0</v>
      </c>
      <c r="BF358" s="65">
        <f>'Special Corporate+ Rates'!BF22</f>
        <v>0</v>
      </c>
      <c r="BG358" s="65">
        <f>'Special Corporate+ Rates'!BG22</f>
        <v>0</v>
      </c>
      <c r="BH358" s="65">
        <f>'Special Corporate+ Rates'!BH22</f>
        <v>0</v>
      </c>
      <c r="BI358" s="65">
        <f>'Special Corporate+ Rates'!BI22</f>
        <v>0</v>
      </c>
      <c r="BJ358" s="65">
        <f>'Special Corporate+ Rates'!BJ22</f>
        <v>0</v>
      </c>
      <c r="BK358" s="65">
        <f>'Special Corporate+ Rates'!BK22</f>
        <v>0</v>
      </c>
      <c r="BL358" s="65">
        <f>'Special Corporate+ Rates'!BL22</f>
        <v>0</v>
      </c>
      <c r="BM358" s="65">
        <f>'Special Corporate+ Rates'!BM22</f>
        <v>0</v>
      </c>
      <c r="BN358" s="65">
        <f>'Special Corporate+ Rates'!BN22</f>
        <v>0</v>
      </c>
      <c r="BO358" s="65">
        <f>'Special Corporate+ Rates'!BO22</f>
        <v>0</v>
      </c>
      <c r="BP358" s="65">
        <f>'Special Corporate+ Rates'!BP22</f>
        <v>0</v>
      </c>
      <c r="BQ358" s="65">
        <f>'Special Corporate+ Rates'!BQ22</f>
        <v>0</v>
      </c>
      <c r="BR358" s="65">
        <f>'Special Corporate+ Rates'!BR22</f>
        <v>0</v>
      </c>
      <c r="BS358" s="65">
        <f>'Special Corporate+ Rates'!BS22</f>
        <v>0</v>
      </c>
      <c r="BT358" s="65">
        <f>'Special Corporate+ Rates'!BT22</f>
        <v>0</v>
      </c>
      <c r="BU358" s="65">
        <f>'Special Corporate+ Rates'!BU22</f>
        <v>0</v>
      </c>
      <c r="BV358" s="65">
        <f>'Special Corporate+ Rates'!BV22</f>
        <v>0</v>
      </c>
      <c r="BW358" s="65">
        <f>'Special Corporate+ Rates'!BW22</f>
        <v>0</v>
      </c>
      <c r="BX358" s="65">
        <f>'Special Corporate+ Rates'!BX22</f>
        <v>0</v>
      </c>
      <c r="BY358" s="65">
        <f>'Special Corporate+ Rates'!BY22</f>
        <v>0</v>
      </c>
      <c r="BZ358" s="65">
        <f>'Special Corporate+ Rates'!BZ22</f>
        <v>0</v>
      </c>
      <c r="CA358" s="65">
        <f>'Special Corporate+ Rates'!CA22</f>
        <v>0</v>
      </c>
      <c r="CB358" s="65">
        <f>'Special Corporate+ Rates'!CB22</f>
        <v>0</v>
      </c>
      <c r="CC358" s="65">
        <f>'Special Corporate+ Rates'!CC22</f>
        <v>0</v>
      </c>
      <c r="CD358" s="65">
        <f>'Special Corporate+ Rates'!CD22</f>
        <v>0</v>
      </c>
      <c r="CE358" s="65">
        <f>'Special Corporate+ Rates'!CE22</f>
        <v>0</v>
      </c>
      <c r="CF358" s="65">
        <f>'Special Corporate+ Rates'!CF22</f>
        <v>0</v>
      </c>
      <c r="CG358" s="65">
        <f>'Special Corporate+ Rates'!CG22</f>
        <v>0</v>
      </c>
      <c r="CH358" s="65">
        <f>'Special Corporate+ Rates'!CH22</f>
        <v>0</v>
      </c>
      <c r="CI358" s="65">
        <f>'Special Corporate+ Rates'!CI22</f>
        <v>0</v>
      </c>
      <c r="CJ358" s="65">
        <f>'Special Corporate+ Rates'!CJ22</f>
        <v>0</v>
      </c>
      <c r="CK358" s="65">
        <f>'Special Corporate+ Rates'!CK22</f>
        <v>0</v>
      </c>
      <c r="CL358" s="65">
        <f>'Special Corporate+ Rates'!CL22</f>
        <v>0</v>
      </c>
      <c r="CM358" s="65">
        <f>'Special Corporate+ Rates'!CM22</f>
        <v>0</v>
      </c>
      <c r="CN358" s="65">
        <f>'Special Corporate+ Rates'!CN22</f>
        <v>0</v>
      </c>
      <c r="CO358" s="65">
        <f>'Special Corporate+ Rates'!CO22</f>
        <v>0</v>
      </c>
      <c r="CP358" s="65">
        <f>'Special Corporate+ Rates'!CP22</f>
        <v>0</v>
      </c>
      <c r="CQ358" s="65">
        <f>'Special Corporate+ Rates'!CQ22</f>
        <v>0</v>
      </c>
      <c r="CR358" s="65">
        <f>'Special Corporate+ Rates'!CR22</f>
        <v>0</v>
      </c>
      <c r="CS358" s="65">
        <f>'Special Corporate+ Rates'!CS22</f>
        <v>0</v>
      </c>
      <c r="CT358" s="65">
        <f>'Special Corporate+ Rates'!CT22</f>
        <v>0</v>
      </c>
      <c r="CU358" s="65">
        <f>'Special Corporate+ Rates'!CU22</f>
        <v>0</v>
      </c>
      <c r="CV358" s="65">
        <f>'Special Corporate+ Rates'!CV22</f>
        <v>0</v>
      </c>
      <c r="CW358" s="65">
        <f>'Special Corporate+ Rates'!CW22</f>
        <v>0</v>
      </c>
      <c r="CX358" s="65">
        <f>'Special Corporate+ Rates'!CX22</f>
        <v>0</v>
      </c>
      <c r="CY358" s="65">
        <f>'Special Corporate+ Rates'!CY22</f>
        <v>0</v>
      </c>
      <c r="CZ358" s="65">
        <f>'Special Corporate+ Rates'!CZ22</f>
        <v>0</v>
      </c>
      <c r="DA358" s="65">
        <f>'Special Corporate+ Rates'!DA22</f>
        <v>0</v>
      </c>
      <c r="DB358" s="65">
        <f>'Special Corporate+ Rates'!DB22</f>
        <v>0</v>
      </c>
      <c r="DC358" s="65">
        <f>'Special Corporate+ Rates'!DC22</f>
        <v>0</v>
      </c>
      <c r="DD358" s="65">
        <f>'Special Corporate+ Rates'!DD22</f>
        <v>0</v>
      </c>
      <c r="DE358" s="65">
        <f>'Special Corporate+ Rates'!DE22</f>
        <v>0</v>
      </c>
      <c r="DF358" s="65">
        <f>'Special Corporate+ Rates'!DF22</f>
        <v>0</v>
      </c>
      <c r="DG358" s="65">
        <f>'Special Corporate+ Rates'!DG22</f>
        <v>0</v>
      </c>
      <c r="DH358" s="65">
        <f>'Special Corporate+ Rates'!DH22</f>
        <v>0</v>
      </c>
      <c r="DI358" s="65">
        <f>'Special Corporate+ Rates'!DI22</f>
        <v>0</v>
      </c>
      <c r="DJ358" s="65">
        <f>'Special Corporate+ Rates'!DJ22</f>
        <v>0</v>
      </c>
      <c r="DK358" s="65">
        <f>'Special Corporate+ Rates'!DK22</f>
        <v>0</v>
      </c>
      <c r="DL358" s="65">
        <f>'Special Corporate+ Rates'!DL22</f>
        <v>0</v>
      </c>
      <c r="DM358" s="65">
        <f>'Special Corporate+ Rates'!DM22</f>
        <v>0</v>
      </c>
      <c r="DN358" s="65">
        <f>'Special Corporate+ Rates'!DN22</f>
        <v>0</v>
      </c>
      <c r="DO358" s="65">
        <f>'Special Corporate+ Rates'!DO22</f>
        <v>0</v>
      </c>
      <c r="DP358" s="65">
        <f>'Special Corporate+ Rates'!DP22</f>
        <v>0</v>
      </c>
      <c r="DQ358" s="65">
        <f>'Special Corporate+ Rates'!DQ22</f>
        <v>0</v>
      </c>
      <c r="DR358" s="65">
        <f>'Special Corporate+ Rates'!DR22</f>
        <v>0</v>
      </c>
      <c r="DS358" s="65">
        <f>'Special Corporate+ Rates'!DS22</f>
        <v>0</v>
      </c>
      <c r="DT358" s="65">
        <f>'Special Corporate+ Rates'!DT22</f>
        <v>0</v>
      </c>
      <c r="DU358" s="65">
        <f>'Special Corporate+ Rates'!DU22</f>
        <v>0</v>
      </c>
      <c r="DV358" s="65">
        <f>'Special Corporate+ Rates'!DV22</f>
        <v>0</v>
      </c>
      <c r="DW358" s="65">
        <f>'Special Corporate+ Rates'!DW22</f>
        <v>0</v>
      </c>
      <c r="DX358" s="65">
        <f>'Special Corporate+ Rates'!DX22</f>
        <v>0</v>
      </c>
      <c r="DY358" s="68"/>
    </row>
    <row r="359" spans="1:129" x14ac:dyDescent="0.2">
      <c r="A359" s="152"/>
      <c r="B359" s="65">
        <f>'Special Corporate+ Rates'!B23</f>
        <v>0</v>
      </c>
      <c r="C359" s="65">
        <f>'Special Corporate+ Rates'!C23</f>
        <v>0</v>
      </c>
      <c r="D359" s="65">
        <f>'Special Corporate+ Rates'!D23</f>
        <v>0</v>
      </c>
      <c r="E359" s="65">
        <f>'Special Corporate+ Rates'!E23</f>
        <v>0</v>
      </c>
      <c r="F359" s="65">
        <f>'Special Corporate+ Rates'!F23</f>
        <v>0</v>
      </c>
      <c r="G359" s="65">
        <f>'Special Corporate+ Rates'!G23</f>
        <v>0</v>
      </c>
      <c r="H359" s="65">
        <f>'Special Corporate+ Rates'!H23</f>
        <v>0</v>
      </c>
      <c r="I359" s="65">
        <f>'Special Corporate+ Rates'!I23</f>
        <v>0</v>
      </c>
      <c r="J359" s="65">
        <f>'Special Corporate+ Rates'!J23</f>
        <v>0</v>
      </c>
      <c r="K359" s="65">
        <f>'Special Corporate+ Rates'!K23</f>
        <v>0</v>
      </c>
      <c r="L359" s="65">
        <f>'Special Corporate+ Rates'!L23</f>
        <v>0</v>
      </c>
      <c r="M359" s="65">
        <f>'Special Corporate+ Rates'!M23</f>
        <v>0</v>
      </c>
      <c r="N359" s="65">
        <f>'Special Corporate+ Rates'!N23</f>
        <v>0</v>
      </c>
      <c r="O359" s="65">
        <f>'Special Corporate+ Rates'!O23</f>
        <v>0</v>
      </c>
      <c r="P359" s="65">
        <f>'Special Corporate+ Rates'!P23</f>
        <v>0</v>
      </c>
      <c r="Q359" s="65">
        <f>'Special Corporate+ Rates'!Q23</f>
        <v>0</v>
      </c>
      <c r="R359" s="65">
        <f>'Special Corporate+ Rates'!R23</f>
        <v>0</v>
      </c>
      <c r="S359" s="65">
        <f>'Special Corporate+ Rates'!S23</f>
        <v>0</v>
      </c>
      <c r="T359" s="65">
        <f>'Special Corporate+ Rates'!T23</f>
        <v>0</v>
      </c>
      <c r="U359" s="65">
        <f>'Special Corporate+ Rates'!U23</f>
        <v>0</v>
      </c>
      <c r="V359" s="65">
        <f>'Special Corporate+ Rates'!V23</f>
        <v>0</v>
      </c>
      <c r="W359" s="65">
        <f>'Special Corporate+ Rates'!W23</f>
        <v>0</v>
      </c>
      <c r="X359" s="65">
        <f>'Special Corporate+ Rates'!X23</f>
        <v>0</v>
      </c>
      <c r="Y359" s="65">
        <f>'Special Corporate+ Rates'!Y23</f>
        <v>0</v>
      </c>
      <c r="Z359" s="65">
        <f>'Special Corporate+ Rates'!Z23</f>
        <v>0</v>
      </c>
      <c r="AA359" s="65">
        <f>'Special Corporate+ Rates'!AA23</f>
        <v>0</v>
      </c>
      <c r="AB359" s="65">
        <f>'Special Corporate+ Rates'!AB23</f>
        <v>0</v>
      </c>
      <c r="AC359" s="65">
        <f>'Special Corporate+ Rates'!AC23</f>
        <v>0</v>
      </c>
      <c r="AD359" s="65">
        <f>'Special Corporate+ Rates'!AD23</f>
        <v>0</v>
      </c>
      <c r="AE359" s="65">
        <f>'Special Corporate+ Rates'!AE23</f>
        <v>0</v>
      </c>
      <c r="AF359" s="65">
        <f>'Special Corporate+ Rates'!AF23</f>
        <v>0</v>
      </c>
      <c r="AG359" s="65">
        <f>'Special Corporate+ Rates'!AG23</f>
        <v>0</v>
      </c>
      <c r="AH359" s="65">
        <f>'Special Corporate+ Rates'!AH23</f>
        <v>0</v>
      </c>
      <c r="AI359" s="65">
        <f>'Special Corporate+ Rates'!AI23</f>
        <v>0</v>
      </c>
      <c r="AJ359" s="65">
        <f>'Special Corporate+ Rates'!AJ23</f>
        <v>0</v>
      </c>
      <c r="AK359" s="65">
        <f>'Special Corporate+ Rates'!AK23</f>
        <v>0</v>
      </c>
      <c r="AL359" s="65">
        <f>'Special Corporate+ Rates'!AL23</f>
        <v>0</v>
      </c>
      <c r="AM359" s="65">
        <f>'Special Corporate+ Rates'!AM23</f>
        <v>0</v>
      </c>
      <c r="AN359" s="65">
        <f>'Special Corporate+ Rates'!AN23</f>
        <v>0</v>
      </c>
      <c r="AO359" s="65">
        <f>'Special Corporate+ Rates'!AO23</f>
        <v>0</v>
      </c>
      <c r="AP359" s="65">
        <f>'Special Corporate+ Rates'!AP23</f>
        <v>0</v>
      </c>
      <c r="AQ359" s="65">
        <f>'Special Corporate+ Rates'!AQ23</f>
        <v>0</v>
      </c>
      <c r="AR359" s="65">
        <f>'Special Corporate+ Rates'!AR23</f>
        <v>0</v>
      </c>
      <c r="AS359" s="65">
        <f>'Special Corporate+ Rates'!AS23</f>
        <v>0</v>
      </c>
      <c r="AT359" s="65">
        <f>'Special Corporate+ Rates'!AT23</f>
        <v>0</v>
      </c>
      <c r="AU359" s="65">
        <f>'Special Corporate+ Rates'!AU23</f>
        <v>0</v>
      </c>
      <c r="AV359" s="65">
        <f>'Special Corporate+ Rates'!AV23</f>
        <v>0</v>
      </c>
      <c r="AW359" s="65">
        <f>'Special Corporate+ Rates'!AW23</f>
        <v>0</v>
      </c>
      <c r="AX359" s="65">
        <f>'Special Corporate+ Rates'!AX23</f>
        <v>0</v>
      </c>
      <c r="AY359" s="65">
        <f>'Special Corporate+ Rates'!AY23</f>
        <v>0</v>
      </c>
      <c r="AZ359" s="65">
        <f>'Special Corporate+ Rates'!AZ23</f>
        <v>0</v>
      </c>
      <c r="BA359" s="65">
        <f>'Special Corporate+ Rates'!BA23</f>
        <v>0</v>
      </c>
      <c r="BB359" s="65">
        <f>'Special Corporate+ Rates'!BB23</f>
        <v>0</v>
      </c>
      <c r="BC359" s="65">
        <f>'Special Corporate+ Rates'!BC23</f>
        <v>0</v>
      </c>
      <c r="BD359" s="65">
        <f>'Special Corporate+ Rates'!BD23</f>
        <v>0</v>
      </c>
      <c r="BE359" s="65">
        <f>'Special Corporate+ Rates'!BE23</f>
        <v>0</v>
      </c>
      <c r="BF359" s="65">
        <f>'Special Corporate+ Rates'!BF23</f>
        <v>0</v>
      </c>
      <c r="BG359" s="65">
        <f>'Special Corporate+ Rates'!BG23</f>
        <v>0</v>
      </c>
      <c r="BH359" s="65">
        <f>'Special Corporate+ Rates'!BH23</f>
        <v>0</v>
      </c>
      <c r="BI359" s="65">
        <f>'Special Corporate+ Rates'!BI23</f>
        <v>0</v>
      </c>
      <c r="BJ359" s="65">
        <f>'Special Corporate+ Rates'!BJ23</f>
        <v>0</v>
      </c>
      <c r="BK359" s="65">
        <f>'Special Corporate+ Rates'!BK23</f>
        <v>0</v>
      </c>
      <c r="BL359" s="65">
        <f>'Special Corporate+ Rates'!BL23</f>
        <v>0</v>
      </c>
      <c r="BM359" s="65">
        <f>'Special Corporate+ Rates'!BM23</f>
        <v>0</v>
      </c>
      <c r="BN359" s="65">
        <f>'Special Corporate+ Rates'!BN23</f>
        <v>0</v>
      </c>
      <c r="BO359" s="65">
        <f>'Special Corporate+ Rates'!BO23</f>
        <v>0</v>
      </c>
      <c r="BP359" s="65">
        <f>'Special Corporate+ Rates'!BP23</f>
        <v>0</v>
      </c>
      <c r="BQ359" s="65">
        <f>'Special Corporate+ Rates'!BQ23</f>
        <v>0</v>
      </c>
      <c r="BR359" s="65">
        <f>'Special Corporate+ Rates'!BR23</f>
        <v>0</v>
      </c>
      <c r="BS359" s="65">
        <f>'Special Corporate+ Rates'!BS23</f>
        <v>0</v>
      </c>
      <c r="BT359" s="65">
        <f>'Special Corporate+ Rates'!BT23</f>
        <v>0</v>
      </c>
      <c r="BU359" s="65">
        <f>'Special Corporate+ Rates'!BU23</f>
        <v>0</v>
      </c>
      <c r="BV359" s="65">
        <f>'Special Corporate+ Rates'!BV23</f>
        <v>0</v>
      </c>
      <c r="BW359" s="65">
        <f>'Special Corporate+ Rates'!BW23</f>
        <v>0</v>
      </c>
      <c r="BX359" s="65">
        <f>'Special Corporate+ Rates'!BX23</f>
        <v>0</v>
      </c>
      <c r="BY359" s="65">
        <f>'Special Corporate+ Rates'!BY23</f>
        <v>0</v>
      </c>
      <c r="BZ359" s="65">
        <f>'Special Corporate+ Rates'!BZ23</f>
        <v>0</v>
      </c>
      <c r="CA359" s="65">
        <f>'Special Corporate+ Rates'!CA23</f>
        <v>0</v>
      </c>
      <c r="CB359" s="65">
        <f>'Special Corporate+ Rates'!CB23</f>
        <v>0</v>
      </c>
      <c r="CC359" s="65">
        <f>'Special Corporate+ Rates'!CC23</f>
        <v>0</v>
      </c>
      <c r="CD359" s="65">
        <f>'Special Corporate+ Rates'!CD23</f>
        <v>0</v>
      </c>
      <c r="CE359" s="65">
        <f>'Special Corporate+ Rates'!CE23</f>
        <v>0</v>
      </c>
      <c r="CF359" s="65">
        <f>'Special Corporate+ Rates'!CF23</f>
        <v>0</v>
      </c>
      <c r="CG359" s="65">
        <f>'Special Corporate+ Rates'!CG23</f>
        <v>0</v>
      </c>
      <c r="CH359" s="65">
        <f>'Special Corporate+ Rates'!CH23</f>
        <v>0</v>
      </c>
      <c r="CI359" s="65">
        <f>'Special Corporate+ Rates'!CI23</f>
        <v>0</v>
      </c>
      <c r="CJ359" s="65">
        <f>'Special Corporate+ Rates'!CJ23</f>
        <v>0</v>
      </c>
      <c r="CK359" s="65">
        <f>'Special Corporate+ Rates'!CK23</f>
        <v>0</v>
      </c>
      <c r="CL359" s="65">
        <f>'Special Corporate+ Rates'!CL23</f>
        <v>0</v>
      </c>
      <c r="CM359" s="65">
        <f>'Special Corporate+ Rates'!CM23</f>
        <v>0</v>
      </c>
      <c r="CN359" s="65">
        <f>'Special Corporate+ Rates'!CN23</f>
        <v>0</v>
      </c>
      <c r="CO359" s="65">
        <f>'Special Corporate+ Rates'!CO23</f>
        <v>0</v>
      </c>
      <c r="CP359" s="65">
        <f>'Special Corporate+ Rates'!CP23</f>
        <v>0</v>
      </c>
      <c r="CQ359" s="65">
        <f>'Special Corporate+ Rates'!CQ23</f>
        <v>0</v>
      </c>
      <c r="CR359" s="65">
        <f>'Special Corporate+ Rates'!CR23</f>
        <v>0</v>
      </c>
      <c r="CS359" s="65">
        <f>'Special Corporate+ Rates'!CS23</f>
        <v>0</v>
      </c>
      <c r="CT359" s="65">
        <f>'Special Corporate+ Rates'!CT23</f>
        <v>0</v>
      </c>
      <c r="CU359" s="65">
        <f>'Special Corporate+ Rates'!CU23</f>
        <v>0</v>
      </c>
      <c r="CV359" s="65">
        <f>'Special Corporate+ Rates'!CV23</f>
        <v>0</v>
      </c>
      <c r="CW359" s="65">
        <f>'Special Corporate+ Rates'!CW23</f>
        <v>0</v>
      </c>
      <c r="CX359" s="65">
        <f>'Special Corporate+ Rates'!CX23</f>
        <v>0</v>
      </c>
      <c r="CY359" s="65">
        <f>'Special Corporate+ Rates'!CY23</f>
        <v>0</v>
      </c>
      <c r="CZ359" s="65">
        <f>'Special Corporate+ Rates'!CZ23</f>
        <v>0</v>
      </c>
      <c r="DA359" s="65">
        <f>'Special Corporate+ Rates'!DA23</f>
        <v>0</v>
      </c>
      <c r="DB359" s="65">
        <f>'Special Corporate+ Rates'!DB23</f>
        <v>0</v>
      </c>
      <c r="DC359" s="65">
        <f>'Special Corporate+ Rates'!DC23</f>
        <v>0</v>
      </c>
      <c r="DD359" s="65">
        <f>'Special Corporate+ Rates'!DD23</f>
        <v>0</v>
      </c>
      <c r="DE359" s="65">
        <f>'Special Corporate+ Rates'!DE23</f>
        <v>0</v>
      </c>
      <c r="DF359" s="65">
        <f>'Special Corporate+ Rates'!DF23</f>
        <v>0</v>
      </c>
      <c r="DG359" s="65">
        <f>'Special Corporate+ Rates'!DG23</f>
        <v>0</v>
      </c>
      <c r="DH359" s="65">
        <f>'Special Corporate+ Rates'!DH23</f>
        <v>0</v>
      </c>
      <c r="DI359" s="65">
        <f>'Special Corporate+ Rates'!DI23</f>
        <v>0</v>
      </c>
      <c r="DJ359" s="65">
        <f>'Special Corporate+ Rates'!DJ23</f>
        <v>0</v>
      </c>
      <c r="DK359" s="65">
        <f>'Special Corporate+ Rates'!DK23</f>
        <v>0</v>
      </c>
      <c r="DL359" s="65">
        <f>'Special Corporate+ Rates'!DL23</f>
        <v>0</v>
      </c>
      <c r="DM359" s="65">
        <f>'Special Corporate+ Rates'!DM23</f>
        <v>0</v>
      </c>
      <c r="DN359" s="65">
        <f>'Special Corporate+ Rates'!DN23</f>
        <v>0</v>
      </c>
      <c r="DO359" s="65">
        <f>'Special Corporate+ Rates'!DO23</f>
        <v>0</v>
      </c>
      <c r="DP359" s="65">
        <f>'Special Corporate+ Rates'!DP23</f>
        <v>0</v>
      </c>
      <c r="DQ359" s="65">
        <f>'Special Corporate+ Rates'!DQ23</f>
        <v>0</v>
      </c>
      <c r="DR359" s="65">
        <f>'Special Corporate+ Rates'!DR23</f>
        <v>0</v>
      </c>
      <c r="DS359" s="65">
        <f>'Special Corporate+ Rates'!DS23</f>
        <v>0</v>
      </c>
      <c r="DT359" s="65">
        <f>'Special Corporate+ Rates'!DT23</f>
        <v>0</v>
      </c>
      <c r="DU359" s="65">
        <f>'Special Corporate+ Rates'!DU23</f>
        <v>0</v>
      </c>
      <c r="DV359" s="65">
        <f>'Special Corporate+ Rates'!DV23</f>
        <v>0</v>
      </c>
      <c r="DW359" s="65">
        <f>'Special Corporate+ Rates'!DW23</f>
        <v>0</v>
      </c>
      <c r="DX359" s="65">
        <f>'Special Corporate+ Rates'!DX23</f>
        <v>0</v>
      </c>
      <c r="DY359" s="68"/>
    </row>
    <row r="360" spans="1:129" x14ac:dyDescent="0.2">
      <c r="A360" s="152"/>
      <c r="B360" s="65">
        <f>'Special Corporate+ Rates'!B24</f>
        <v>0</v>
      </c>
      <c r="C360" s="65">
        <f>'Special Corporate+ Rates'!C24</f>
        <v>0</v>
      </c>
      <c r="D360" s="65">
        <f>'Special Corporate+ Rates'!D24</f>
        <v>0</v>
      </c>
      <c r="E360" s="65">
        <f>'Special Corporate+ Rates'!E24</f>
        <v>0</v>
      </c>
      <c r="F360" s="65">
        <f>'Special Corporate+ Rates'!F24</f>
        <v>0</v>
      </c>
      <c r="G360" s="65">
        <f>'Special Corporate+ Rates'!G24</f>
        <v>0</v>
      </c>
      <c r="H360" s="65">
        <f>'Special Corporate+ Rates'!H24</f>
        <v>0</v>
      </c>
      <c r="I360" s="65">
        <f>'Special Corporate+ Rates'!I24</f>
        <v>0</v>
      </c>
      <c r="J360" s="65">
        <f>'Special Corporate+ Rates'!J24</f>
        <v>0</v>
      </c>
      <c r="K360" s="65">
        <f>'Special Corporate+ Rates'!K24</f>
        <v>0</v>
      </c>
      <c r="L360" s="65">
        <f>'Special Corporate+ Rates'!L24</f>
        <v>0</v>
      </c>
      <c r="M360" s="65">
        <f>'Special Corporate+ Rates'!M24</f>
        <v>0</v>
      </c>
      <c r="N360" s="65">
        <f>'Special Corporate+ Rates'!N24</f>
        <v>0</v>
      </c>
      <c r="O360" s="65">
        <f>'Special Corporate+ Rates'!O24</f>
        <v>0</v>
      </c>
      <c r="P360" s="65">
        <f>'Special Corporate+ Rates'!P24</f>
        <v>0</v>
      </c>
      <c r="Q360" s="65">
        <f>'Special Corporate+ Rates'!Q24</f>
        <v>0</v>
      </c>
      <c r="R360" s="65">
        <f>'Special Corporate+ Rates'!R24</f>
        <v>0</v>
      </c>
      <c r="S360" s="65">
        <f>'Special Corporate+ Rates'!S24</f>
        <v>0</v>
      </c>
      <c r="T360" s="65">
        <f>'Special Corporate+ Rates'!T24</f>
        <v>0</v>
      </c>
      <c r="U360" s="65">
        <f>'Special Corporate+ Rates'!U24</f>
        <v>0</v>
      </c>
      <c r="V360" s="65">
        <f>'Special Corporate+ Rates'!V24</f>
        <v>0</v>
      </c>
      <c r="W360" s="65">
        <f>'Special Corporate+ Rates'!W24</f>
        <v>0</v>
      </c>
      <c r="X360" s="65">
        <f>'Special Corporate+ Rates'!X24</f>
        <v>0</v>
      </c>
      <c r="Y360" s="65">
        <f>'Special Corporate+ Rates'!Y24</f>
        <v>0</v>
      </c>
      <c r="Z360" s="65">
        <f>'Special Corporate+ Rates'!Z24</f>
        <v>0</v>
      </c>
      <c r="AA360" s="65">
        <f>'Special Corporate+ Rates'!AA24</f>
        <v>0</v>
      </c>
      <c r="AB360" s="65">
        <f>'Special Corporate+ Rates'!AB24</f>
        <v>0</v>
      </c>
      <c r="AC360" s="65">
        <f>'Special Corporate+ Rates'!AC24</f>
        <v>0</v>
      </c>
      <c r="AD360" s="65">
        <f>'Special Corporate+ Rates'!AD24</f>
        <v>0</v>
      </c>
      <c r="AE360" s="65">
        <f>'Special Corporate+ Rates'!AE24</f>
        <v>0</v>
      </c>
      <c r="AF360" s="65">
        <f>'Special Corporate+ Rates'!AF24</f>
        <v>0</v>
      </c>
      <c r="AG360" s="65">
        <f>'Special Corporate+ Rates'!AG24</f>
        <v>0</v>
      </c>
      <c r="AH360" s="65">
        <f>'Special Corporate+ Rates'!AH24</f>
        <v>0</v>
      </c>
      <c r="AI360" s="65">
        <f>'Special Corporate+ Rates'!AI24</f>
        <v>0</v>
      </c>
      <c r="AJ360" s="65">
        <f>'Special Corporate+ Rates'!AJ24</f>
        <v>0</v>
      </c>
      <c r="AK360" s="65">
        <f>'Special Corporate+ Rates'!AK24</f>
        <v>0</v>
      </c>
      <c r="AL360" s="65">
        <f>'Special Corporate+ Rates'!AL24</f>
        <v>0</v>
      </c>
      <c r="AM360" s="65">
        <f>'Special Corporate+ Rates'!AM24</f>
        <v>0</v>
      </c>
      <c r="AN360" s="65">
        <f>'Special Corporate+ Rates'!AN24</f>
        <v>0</v>
      </c>
      <c r="AO360" s="65">
        <f>'Special Corporate+ Rates'!AO24</f>
        <v>0</v>
      </c>
      <c r="AP360" s="65">
        <f>'Special Corporate+ Rates'!AP24</f>
        <v>0</v>
      </c>
      <c r="AQ360" s="65">
        <f>'Special Corporate+ Rates'!AQ24</f>
        <v>0</v>
      </c>
      <c r="AR360" s="65">
        <f>'Special Corporate+ Rates'!AR24</f>
        <v>0</v>
      </c>
      <c r="AS360" s="65">
        <f>'Special Corporate+ Rates'!AS24</f>
        <v>0</v>
      </c>
      <c r="AT360" s="65">
        <f>'Special Corporate+ Rates'!AT24</f>
        <v>0</v>
      </c>
      <c r="AU360" s="65">
        <f>'Special Corporate+ Rates'!AU24</f>
        <v>0</v>
      </c>
      <c r="AV360" s="65">
        <f>'Special Corporate+ Rates'!AV24</f>
        <v>0</v>
      </c>
      <c r="AW360" s="65">
        <f>'Special Corporate+ Rates'!AW24</f>
        <v>0</v>
      </c>
      <c r="AX360" s="65">
        <f>'Special Corporate+ Rates'!AX24</f>
        <v>0</v>
      </c>
      <c r="AY360" s="65">
        <f>'Special Corporate+ Rates'!AY24</f>
        <v>0</v>
      </c>
      <c r="AZ360" s="65">
        <f>'Special Corporate+ Rates'!AZ24</f>
        <v>0</v>
      </c>
      <c r="BA360" s="65">
        <f>'Special Corporate+ Rates'!BA24</f>
        <v>0</v>
      </c>
      <c r="BB360" s="65">
        <f>'Special Corporate+ Rates'!BB24</f>
        <v>0</v>
      </c>
      <c r="BC360" s="65">
        <f>'Special Corporate+ Rates'!BC24</f>
        <v>0</v>
      </c>
      <c r="BD360" s="65">
        <f>'Special Corporate+ Rates'!BD24</f>
        <v>0</v>
      </c>
      <c r="BE360" s="65">
        <f>'Special Corporate+ Rates'!BE24</f>
        <v>0</v>
      </c>
      <c r="BF360" s="65">
        <f>'Special Corporate+ Rates'!BF24</f>
        <v>0</v>
      </c>
      <c r="BG360" s="65">
        <f>'Special Corporate+ Rates'!BG24</f>
        <v>0</v>
      </c>
      <c r="BH360" s="65">
        <f>'Special Corporate+ Rates'!BH24</f>
        <v>0</v>
      </c>
      <c r="BI360" s="65">
        <f>'Special Corporate+ Rates'!BI24</f>
        <v>0</v>
      </c>
      <c r="BJ360" s="65">
        <f>'Special Corporate+ Rates'!BJ24</f>
        <v>0</v>
      </c>
      <c r="BK360" s="65">
        <f>'Special Corporate+ Rates'!BK24</f>
        <v>0</v>
      </c>
      <c r="BL360" s="65">
        <f>'Special Corporate+ Rates'!BL24</f>
        <v>0</v>
      </c>
      <c r="BM360" s="65">
        <f>'Special Corporate+ Rates'!BM24</f>
        <v>0</v>
      </c>
      <c r="BN360" s="65">
        <f>'Special Corporate+ Rates'!BN24</f>
        <v>0</v>
      </c>
      <c r="BO360" s="65">
        <f>'Special Corporate+ Rates'!BO24</f>
        <v>0</v>
      </c>
      <c r="BP360" s="65">
        <f>'Special Corporate+ Rates'!BP24</f>
        <v>0</v>
      </c>
      <c r="BQ360" s="65">
        <f>'Special Corporate+ Rates'!BQ24</f>
        <v>0</v>
      </c>
      <c r="BR360" s="65">
        <f>'Special Corporate+ Rates'!BR24</f>
        <v>0</v>
      </c>
      <c r="BS360" s="65">
        <f>'Special Corporate+ Rates'!BS24</f>
        <v>0</v>
      </c>
      <c r="BT360" s="65">
        <f>'Special Corporate+ Rates'!BT24</f>
        <v>0</v>
      </c>
      <c r="BU360" s="65">
        <f>'Special Corporate+ Rates'!BU24</f>
        <v>0</v>
      </c>
      <c r="BV360" s="65">
        <f>'Special Corporate+ Rates'!BV24</f>
        <v>0</v>
      </c>
      <c r="BW360" s="65">
        <f>'Special Corporate+ Rates'!BW24</f>
        <v>0</v>
      </c>
      <c r="BX360" s="65">
        <f>'Special Corporate+ Rates'!BX24</f>
        <v>0</v>
      </c>
      <c r="BY360" s="65">
        <f>'Special Corporate+ Rates'!BY24</f>
        <v>0</v>
      </c>
      <c r="BZ360" s="65">
        <f>'Special Corporate+ Rates'!BZ24</f>
        <v>0</v>
      </c>
      <c r="CA360" s="65">
        <f>'Special Corporate+ Rates'!CA24</f>
        <v>0</v>
      </c>
      <c r="CB360" s="65">
        <f>'Special Corporate+ Rates'!CB24</f>
        <v>0</v>
      </c>
      <c r="CC360" s="65">
        <f>'Special Corporate+ Rates'!CC24</f>
        <v>0</v>
      </c>
      <c r="CD360" s="65">
        <f>'Special Corporate+ Rates'!CD24</f>
        <v>0</v>
      </c>
      <c r="CE360" s="65">
        <f>'Special Corporate+ Rates'!CE24</f>
        <v>0</v>
      </c>
      <c r="CF360" s="65">
        <f>'Special Corporate+ Rates'!CF24</f>
        <v>0</v>
      </c>
      <c r="CG360" s="65">
        <f>'Special Corporate+ Rates'!CG24</f>
        <v>0</v>
      </c>
      <c r="CH360" s="65">
        <f>'Special Corporate+ Rates'!CH24</f>
        <v>0</v>
      </c>
      <c r="CI360" s="65">
        <f>'Special Corporate+ Rates'!CI24</f>
        <v>0</v>
      </c>
      <c r="CJ360" s="65">
        <f>'Special Corporate+ Rates'!CJ24</f>
        <v>0</v>
      </c>
      <c r="CK360" s="65">
        <f>'Special Corporate+ Rates'!CK24</f>
        <v>0</v>
      </c>
      <c r="CL360" s="65">
        <f>'Special Corporate+ Rates'!CL24</f>
        <v>0</v>
      </c>
      <c r="CM360" s="65">
        <f>'Special Corporate+ Rates'!CM24</f>
        <v>0</v>
      </c>
      <c r="CN360" s="65">
        <f>'Special Corporate+ Rates'!CN24</f>
        <v>0</v>
      </c>
      <c r="CO360" s="65">
        <f>'Special Corporate+ Rates'!CO24</f>
        <v>0</v>
      </c>
      <c r="CP360" s="65">
        <f>'Special Corporate+ Rates'!CP24</f>
        <v>0</v>
      </c>
      <c r="CQ360" s="65">
        <f>'Special Corporate+ Rates'!CQ24</f>
        <v>0</v>
      </c>
      <c r="CR360" s="65">
        <f>'Special Corporate+ Rates'!CR24</f>
        <v>0</v>
      </c>
      <c r="CS360" s="65">
        <f>'Special Corporate+ Rates'!CS24</f>
        <v>0</v>
      </c>
      <c r="CT360" s="65">
        <f>'Special Corporate+ Rates'!CT24</f>
        <v>0</v>
      </c>
      <c r="CU360" s="65">
        <f>'Special Corporate+ Rates'!CU24</f>
        <v>0</v>
      </c>
      <c r="CV360" s="65">
        <f>'Special Corporate+ Rates'!CV24</f>
        <v>0</v>
      </c>
      <c r="CW360" s="65">
        <f>'Special Corporate+ Rates'!CW24</f>
        <v>0</v>
      </c>
      <c r="CX360" s="65">
        <f>'Special Corporate+ Rates'!CX24</f>
        <v>0</v>
      </c>
      <c r="CY360" s="65">
        <f>'Special Corporate+ Rates'!CY24</f>
        <v>0</v>
      </c>
      <c r="CZ360" s="65">
        <f>'Special Corporate+ Rates'!CZ24</f>
        <v>0</v>
      </c>
      <c r="DA360" s="65">
        <f>'Special Corporate+ Rates'!DA24</f>
        <v>0</v>
      </c>
      <c r="DB360" s="65">
        <f>'Special Corporate+ Rates'!DB24</f>
        <v>0</v>
      </c>
      <c r="DC360" s="65">
        <f>'Special Corporate+ Rates'!DC24</f>
        <v>0</v>
      </c>
      <c r="DD360" s="65">
        <f>'Special Corporate+ Rates'!DD24</f>
        <v>0</v>
      </c>
      <c r="DE360" s="65">
        <f>'Special Corporate+ Rates'!DE24</f>
        <v>0</v>
      </c>
      <c r="DF360" s="65">
        <f>'Special Corporate+ Rates'!DF24</f>
        <v>0</v>
      </c>
      <c r="DG360" s="65">
        <f>'Special Corporate+ Rates'!DG24</f>
        <v>0</v>
      </c>
      <c r="DH360" s="65">
        <f>'Special Corporate+ Rates'!DH24</f>
        <v>0</v>
      </c>
      <c r="DI360" s="65">
        <f>'Special Corporate+ Rates'!DI24</f>
        <v>0</v>
      </c>
      <c r="DJ360" s="65">
        <f>'Special Corporate+ Rates'!DJ24</f>
        <v>0</v>
      </c>
      <c r="DK360" s="65">
        <f>'Special Corporate+ Rates'!DK24</f>
        <v>0</v>
      </c>
      <c r="DL360" s="65">
        <f>'Special Corporate+ Rates'!DL24</f>
        <v>0</v>
      </c>
      <c r="DM360" s="65">
        <f>'Special Corporate+ Rates'!DM24</f>
        <v>0</v>
      </c>
      <c r="DN360" s="65">
        <f>'Special Corporate+ Rates'!DN24</f>
        <v>0</v>
      </c>
      <c r="DO360" s="65">
        <f>'Special Corporate+ Rates'!DO24</f>
        <v>0</v>
      </c>
      <c r="DP360" s="65">
        <f>'Special Corporate+ Rates'!DP24</f>
        <v>0</v>
      </c>
      <c r="DQ360" s="65">
        <f>'Special Corporate+ Rates'!DQ24</f>
        <v>0</v>
      </c>
      <c r="DR360" s="65">
        <f>'Special Corporate+ Rates'!DR24</f>
        <v>0</v>
      </c>
      <c r="DS360" s="65">
        <f>'Special Corporate+ Rates'!DS24</f>
        <v>0</v>
      </c>
      <c r="DT360" s="65">
        <f>'Special Corporate+ Rates'!DT24</f>
        <v>0</v>
      </c>
      <c r="DU360" s="65">
        <f>'Special Corporate+ Rates'!DU24</f>
        <v>0</v>
      </c>
      <c r="DV360" s="65">
        <f>'Special Corporate+ Rates'!DV24</f>
        <v>0</v>
      </c>
      <c r="DW360" s="65">
        <f>'Special Corporate+ Rates'!DW24</f>
        <v>0</v>
      </c>
      <c r="DX360" s="65">
        <f>'Special Corporate+ Rates'!DX24</f>
        <v>0</v>
      </c>
      <c r="DY360" s="68"/>
    </row>
    <row r="361" spans="1:129" x14ac:dyDescent="0.2">
      <c r="A361" s="152"/>
      <c r="B361" s="65">
        <f>'Special Corporate+ Rates'!B25</f>
        <v>0</v>
      </c>
      <c r="C361" s="65">
        <f>'Special Corporate+ Rates'!C25</f>
        <v>0</v>
      </c>
      <c r="D361" s="65">
        <f>'Special Corporate+ Rates'!D25</f>
        <v>0</v>
      </c>
      <c r="E361" s="65">
        <f>'Special Corporate+ Rates'!E25</f>
        <v>0</v>
      </c>
      <c r="F361" s="65">
        <f>'Special Corporate+ Rates'!F25</f>
        <v>0</v>
      </c>
      <c r="G361" s="65">
        <f>'Special Corporate+ Rates'!G25</f>
        <v>0</v>
      </c>
      <c r="H361" s="65">
        <f>'Special Corporate+ Rates'!H25</f>
        <v>0</v>
      </c>
      <c r="I361" s="65">
        <f>'Special Corporate+ Rates'!I25</f>
        <v>0</v>
      </c>
      <c r="J361" s="65">
        <f>'Special Corporate+ Rates'!J25</f>
        <v>0</v>
      </c>
      <c r="K361" s="65">
        <f>'Special Corporate+ Rates'!K25</f>
        <v>0</v>
      </c>
      <c r="L361" s="65">
        <f>'Special Corporate+ Rates'!L25</f>
        <v>0</v>
      </c>
      <c r="M361" s="65">
        <f>'Special Corporate+ Rates'!M25</f>
        <v>0</v>
      </c>
      <c r="N361" s="65">
        <f>'Special Corporate+ Rates'!N25</f>
        <v>0</v>
      </c>
      <c r="O361" s="65">
        <f>'Special Corporate+ Rates'!O25</f>
        <v>0</v>
      </c>
      <c r="P361" s="65">
        <f>'Special Corporate+ Rates'!P25</f>
        <v>0</v>
      </c>
      <c r="Q361" s="65">
        <f>'Special Corporate+ Rates'!Q25</f>
        <v>0</v>
      </c>
      <c r="R361" s="65">
        <f>'Special Corporate+ Rates'!R25</f>
        <v>0</v>
      </c>
      <c r="S361" s="65">
        <f>'Special Corporate+ Rates'!S25</f>
        <v>0</v>
      </c>
      <c r="T361" s="65">
        <f>'Special Corporate+ Rates'!T25</f>
        <v>0</v>
      </c>
      <c r="U361" s="65">
        <f>'Special Corporate+ Rates'!U25</f>
        <v>0</v>
      </c>
      <c r="V361" s="65">
        <f>'Special Corporate+ Rates'!V25</f>
        <v>0</v>
      </c>
      <c r="W361" s="65">
        <f>'Special Corporate+ Rates'!W25</f>
        <v>0</v>
      </c>
      <c r="X361" s="65">
        <f>'Special Corporate+ Rates'!X25</f>
        <v>0</v>
      </c>
      <c r="Y361" s="65">
        <f>'Special Corporate+ Rates'!Y25</f>
        <v>0</v>
      </c>
      <c r="Z361" s="65">
        <f>'Special Corporate+ Rates'!Z25</f>
        <v>0</v>
      </c>
      <c r="AA361" s="65">
        <f>'Special Corporate+ Rates'!AA25</f>
        <v>0</v>
      </c>
      <c r="AB361" s="65">
        <f>'Special Corporate+ Rates'!AB25</f>
        <v>0</v>
      </c>
      <c r="AC361" s="65">
        <f>'Special Corporate+ Rates'!AC25</f>
        <v>0</v>
      </c>
      <c r="AD361" s="65">
        <f>'Special Corporate+ Rates'!AD25</f>
        <v>0</v>
      </c>
      <c r="AE361" s="65">
        <f>'Special Corporate+ Rates'!AE25</f>
        <v>0</v>
      </c>
      <c r="AF361" s="65">
        <f>'Special Corporate+ Rates'!AF25</f>
        <v>0</v>
      </c>
      <c r="AG361" s="65">
        <f>'Special Corporate+ Rates'!AG25</f>
        <v>0</v>
      </c>
      <c r="AH361" s="65">
        <f>'Special Corporate+ Rates'!AH25</f>
        <v>0</v>
      </c>
      <c r="AI361" s="65">
        <f>'Special Corporate+ Rates'!AI25</f>
        <v>0</v>
      </c>
      <c r="AJ361" s="65">
        <f>'Special Corporate+ Rates'!AJ25</f>
        <v>0</v>
      </c>
      <c r="AK361" s="65">
        <f>'Special Corporate+ Rates'!AK25</f>
        <v>0</v>
      </c>
      <c r="AL361" s="65">
        <f>'Special Corporate+ Rates'!AL25</f>
        <v>0</v>
      </c>
      <c r="AM361" s="65">
        <f>'Special Corporate+ Rates'!AM25</f>
        <v>0</v>
      </c>
      <c r="AN361" s="65">
        <f>'Special Corporate+ Rates'!AN25</f>
        <v>0</v>
      </c>
      <c r="AO361" s="65">
        <f>'Special Corporate+ Rates'!AO25</f>
        <v>0</v>
      </c>
      <c r="AP361" s="65">
        <f>'Special Corporate+ Rates'!AP25</f>
        <v>0</v>
      </c>
      <c r="AQ361" s="65">
        <f>'Special Corporate+ Rates'!AQ25</f>
        <v>0</v>
      </c>
      <c r="AR361" s="65">
        <f>'Special Corporate+ Rates'!AR25</f>
        <v>0</v>
      </c>
      <c r="AS361" s="65">
        <f>'Special Corporate+ Rates'!AS25</f>
        <v>0</v>
      </c>
      <c r="AT361" s="65">
        <f>'Special Corporate+ Rates'!AT25</f>
        <v>0</v>
      </c>
      <c r="AU361" s="65">
        <f>'Special Corporate+ Rates'!AU25</f>
        <v>0</v>
      </c>
      <c r="AV361" s="65">
        <f>'Special Corporate+ Rates'!AV25</f>
        <v>0</v>
      </c>
      <c r="AW361" s="65">
        <f>'Special Corporate+ Rates'!AW25</f>
        <v>0</v>
      </c>
      <c r="AX361" s="65">
        <f>'Special Corporate+ Rates'!AX25</f>
        <v>0</v>
      </c>
      <c r="AY361" s="65">
        <f>'Special Corporate+ Rates'!AY25</f>
        <v>0</v>
      </c>
      <c r="AZ361" s="65">
        <f>'Special Corporate+ Rates'!AZ25</f>
        <v>0</v>
      </c>
      <c r="BA361" s="65">
        <f>'Special Corporate+ Rates'!BA25</f>
        <v>0</v>
      </c>
      <c r="BB361" s="65">
        <f>'Special Corporate+ Rates'!BB25</f>
        <v>0</v>
      </c>
      <c r="BC361" s="65">
        <f>'Special Corporate+ Rates'!BC25</f>
        <v>0</v>
      </c>
      <c r="BD361" s="65">
        <f>'Special Corporate+ Rates'!BD25</f>
        <v>0</v>
      </c>
      <c r="BE361" s="65">
        <f>'Special Corporate+ Rates'!BE25</f>
        <v>0</v>
      </c>
      <c r="BF361" s="65">
        <f>'Special Corporate+ Rates'!BF25</f>
        <v>0</v>
      </c>
      <c r="BG361" s="65">
        <f>'Special Corporate+ Rates'!BG25</f>
        <v>0</v>
      </c>
      <c r="BH361" s="65">
        <f>'Special Corporate+ Rates'!BH25</f>
        <v>0</v>
      </c>
      <c r="BI361" s="65">
        <f>'Special Corporate+ Rates'!BI25</f>
        <v>0</v>
      </c>
      <c r="BJ361" s="65">
        <f>'Special Corporate+ Rates'!BJ25</f>
        <v>0</v>
      </c>
      <c r="BK361" s="65">
        <f>'Special Corporate+ Rates'!BK25</f>
        <v>0</v>
      </c>
      <c r="BL361" s="65">
        <f>'Special Corporate+ Rates'!BL25</f>
        <v>0</v>
      </c>
      <c r="BM361" s="65">
        <f>'Special Corporate+ Rates'!BM25</f>
        <v>0</v>
      </c>
      <c r="BN361" s="65">
        <f>'Special Corporate+ Rates'!BN25</f>
        <v>0</v>
      </c>
      <c r="BO361" s="65">
        <f>'Special Corporate+ Rates'!BO25</f>
        <v>0</v>
      </c>
      <c r="BP361" s="65">
        <f>'Special Corporate+ Rates'!BP25</f>
        <v>0</v>
      </c>
      <c r="BQ361" s="65">
        <f>'Special Corporate+ Rates'!BQ25</f>
        <v>0</v>
      </c>
      <c r="BR361" s="65">
        <f>'Special Corporate+ Rates'!BR25</f>
        <v>0</v>
      </c>
      <c r="BS361" s="65">
        <f>'Special Corporate+ Rates'!BS25</f>
        <v>0</v>
      </c>
      <c r="BT361" s="65">
        <f>'Special Corporate+ Rates'!BT25</f>
        <v>0</v>
      </c>
      <c r="BU361" s="65">
        <f>'Special Corporate+ Rates'!BU25</f>
        <v>0</v>
      </c>
      <c r="BV361" s="65">
        <f>'Special Corporate+ Rates'!BV25</f>
        <v>0</v>
      </c>
      <c r="BW361" s="65">
        <f>'Special Corporate+ Rates'!BW25</f>
        <v>0</v>
      </c>
      <c r="BX361" s="65">
        <f>'Special Corporate+ Rates'!BX25</f>
        <v>0</v>
      </c>
      <c r="BY361" s="65">
        <f>'Special Corporate+ Rates'!BY25</f>
        <v>0</v>
      </c>
      <c r="BZ361" s="65">
        <f>'Special Corporate+ Rates'!BZ25</f>
        <v>0</v>
      </c>
      <c r="CA361" s="65">
        <f>'Special Corporate+ Rates'!CA25</f>
        <v>0</v>
      </c>
      <c r="CB361" s="65">
        <f>'Special Corporate+ Rates'!CB25</f>
        <v>0</v>
      </c>
      <c r="CC361" s="65">
        <f>'Special Corporate+ Rates'!CC25</f>
        <v>0</v>
      </c>
      <c r="CD361" s="65">
        <f>'Special Corporate+ Rates'!CD25</f>
        <v>0</v>
      </c>
      <c r="CE361" s="65">
        <f>'Special Corporate+ Rates'!CE25</f>
        <v>0</v>
      </c>
      <c r="CF361" s="65">
        <f>'Special Corporate+ Rates'!CF25</f>
        <v>0</v>
      </c>
      <c r="CG361" s="65">
        <f>'Special Corporate+ Rates'!CG25</f>
        <v>0</v>
      </c>
      <c r="CH361" s="65">
        <f>'Special Corporate+ Rates'!CH25</f>
        <v>0</v>
      </c>
      <c r="CI361" s="65">
        <f>'Special Corporate+ Rates'!CI25</f>
        <v>0</v>
      </c>
      <c r="CJ361" s="65">
        <f>'Special Corporate+ Rates'!CJ25</f>
        <v>0</v>
      </c>
      <c r="CK361" s="65">
        <f>'Special Corporate+ Rates'!CK25</f>
        <v>0</v>
      </c>
      <c r="CL361" s="65">
        <f>'Special Corporate+ Rates'!CL25</f>
        <v>0</v>
      </c>
      <c r="CM361" s="65">
        <f>'Special Corporate+ Rates'!CM25</f>
        <v>0</v>
      </c>
      <c r="CN361" s="65">
        <f>'Special Corporate+ Rates'!CN25</f>
        <v>0</v>
      </c>
      <c r="CO361" s="65">
        <f>'Special Corporate+ Rates'!CO25</f>
        <v>0</v>
      </c>
      <c r="CP361" s="65">
        <f>'Special Corporate+ Rates'!CP25</f>
        <v>0</v>
      </c>
      <c r="CQ361" s="65">
        <f>'Special Corporate+ Rates'!CQ25</f>
        <v>0</v>
      </c>
      <c r="CR361" s="65">
        <f>'Special Corporate+ Rates'!CR25</f>
        <v>0</v>
      </c>
      <c r="CS361" s="65">
        <f>'Special Corporate+ Rates'!CS25</f>
        <v>0</v>
      </c>
      <c r="CT361" s="65">
        <f>'Special Corporate+ Rates'!CT25</f>
        <v>0</v>
      </c>
      <c r="CU361" s="65">
        <f>'Special Corporate+ Rates'!CU25</f>
        <v>0</v>
      </c>
      <c r="CV361" s="65">
        <f>'Special Corporate+ Rates'!CV25</f>
        <v>0</v>
      </c>
      <c r="CW361" s="65">
        <f>'Special Corporate+ Rates'!CW25</f>
        <v>0</v>
      </c>
      <c r="CX361" s="65">
        <f>'Special Corporate+ Rates'!CX25</f>
        <v>0</v>
      </c>
      <c r="CY361" s="65">
        <f>'Special Corporate+ Rates'!CY25</f>
        <v>0</v>
      </c>
      <c r="CZ361" s="65">
        <f>'Special Corporate+ Rates'!CZ25</f>
        <v>0</v>
      </c>
      <c r="DA361" s="65">
        <f>'Special Corporate+ Rates'!DA25</f>
        <v>0</v>
      </c>
      <c r="DB361" s="65">
        <f>'Special Corporate+ Rates'!DB25</f>
        <v>0</v>
      </c>
      <c r="DC361" s="65">
        <f>'Special Corporate+ Rates'!DC25</f>
        <v>0</v>
      </c>
      <c r="DD361" s="65">
        <f>'Special Corporate+ Rates'!DD25</f>
        <v>0</v>
      </c>
      <c r="DE361" s="65">
        <f>'Special Corporate+ Rates'!DE25</f>
        <v>0</v>
      </c>
      <c r="DF361" s="65">
        <f>'Special Corporate+ Rates'!DF25</f>
        <v>0</v>
      </c>
      <c r="DG361" s="65">
        <f>'Special Corporate+ Rates'!DG25</f>
        <v>0</v>
      </c>
      <c r="DH361" s="65">
        <f>'Special Corporate+ Rates'!DH25</f>
        <v>0</v>
      </c>
      <c r="DI361" s="65">
        <f>'Special Corporate+ Rates'!DI25</f>
        <v>0</v>
      </c>
      <c r="DJ361" s="65">
        <f>'Special Corporate+ Rates'!DJ25</f>
        <v>0</v>
      </c>
      <c r="DK361" s="65">
        <f>'Special Corporate+ Rates'!DK25</f>
        <v>0</v>
      </c>
      <c r="DL361" s="65">
        <f>'Special Corporate+ Rates'!DL25</f>
        <v>0</v>
      </c>
      <c r="DM361" s="65">
        <f>'Special Corporate+ Rates'!DM25</f>
        <v>0</v>
      </c>
      <c r="DN361" s="65">
        <f>'Special Corporate+ Rates'!DN25</f>
        <v>0</v>
      </c>
      <c r="DO361" s="65">
        <f>'Special Corporate+ Rates'!DO25</f>
        <v>0</v>
      </c>
      <c r="DP361" s="65">
        <f>'Special Corporate+ Rates'!DP25</f>
        <v>0</v>
      </c>
      <c r="DQ361" s="65">
        <f>'Special Corporate+ Rates'!DQ25</f>
        <v>0</v>
      </c>
      <c r="DR361" s="65">
        <f>'Special Corporate+ Rates'!DR25</f>
        <v>0</v>
      </c>
      <c r="DS361" s="65">
        <f>'Special Corporate+ Rates'!DS25</f>
        <v>0</v>
      </c>
      <c r="DT361" s="65">
        <f>'Special Corporate+ Rates'!DT25</f>
        <v>0</v>
      </c>
      <c r="DU361" s="65">
        <f>'Special Corporate+ Rates'!DU25</f>
        <v>0</v>
      </c>
      <c r="DV361" s="65">
        <f>'Special Corporate+ Rates'!DV25</f>
        <v>0</v>
      </c>
      <c r="DW361" s="65">
        <f>'Special Corporate+ Rates'!DW25</f>
        <v>0</v>
      </c>
      <c r="DX361" s="65">
        <f>'Special Corporate+ Rates'!DX25</f>
        <v>0</v>
      </c>
      <c r="DY361" s="68"/>
    </row>
    <row r="362" spans="1:129" x14ac:dyDescent="0.2">
      <c r="A362" s="152"/>
      <c r="B362" s="65">
        <f>'Special Corporate+ Rates'!B26</f>
        <v>0</v>
      </c>
      <c r="C362" s="65">
        <f>'Special Corporate+ Rates'!C26</f>
        <v>0</v>
      </c>
      <c r="D362" s="65">
        <f>'Special Corporate+ Rates'!D26</f>
        <v>0</v>
      </c>
      <c r="E362" s="65">
        <f>'Special Corporate+ Rates'!E26</f>
        <v>0</v>
      </c>
      <c r="F362" s="65">
        <f>'Special Corporate+ Rates'!F26</f>
        <v>0</v>
      </c>
      <c r="G362" s="65">
        <f>'Special Corporate+ Rates'!G26</f>
        <v>0</v>
      </c>
      <c r="H362" s="65">
        <f>'Special Corporate+ Rates'!H26</f>
        <v>0</v>
      </c>
      <c r="I362" s="65">
        <f>'Special Corporate+ Rates'!I26</f>
        <v>0</v>
      </c>
      <c r="J362" s="65">
        <f>'Special Corporate+ Rates'!J26</f>
        <v>0</v>
      </c>
      <c r="K362" s="65">
        <f>'Special Corporate+ Rates'!K26</f>
        <v>0</v>
      </c>
      <c r="L362" s="65">
        <f>'Special Corporate+ Rates'!L26</f>
        <v>0</v>
      </c>
      <c r="M362" s="65">
        <f>'Special Corporate+ Rates'!M26</f>
        <v>0</v>
      </c>
      <c r="N362" s="65">
        <f>'Special Corporate+ Rates'!N26</f>
        <v>0</v>
      </c>
      <c r="O362" s="65">
        <f>'Special Corporate+ Rates'!O26</f>
        <v>0</v>
      </c>
      <c r="P362" s="65">
        <f>'Special Corporate+ Rates'!P26</f>
        <v>0</v>
      </c>
      <c r="Q362" s="65">
        <f>'Special Corporate+ Rates'!Q26</f>
        <v>0</v>
      </c>
      <c r="R362" s="65">
        <f>'Special Corporate+ Rates'!R26</f>
        <v>0</v>
      </c>
      <c r="S362" s="65">
        <f>'Special Corporate+ Rates'!S26</f>
        <v>0</v>
      </c>
      <c r="T362" s="65">
        <f>'Special Corporate+ Rates'!T26</f>
        <v>0</v>
      </c>
      <c r="U362" s="65">
        <f>'Special Corporate+ Rates'!U26</f>
        <v>0</v>
      </c>
      <c r="V362" s="65">
        <f>'Special Corporate+ Rates'!V26</f>
        <v>0</v>
      </c>
      <c r="W362" s="65">
        <f>'Special Corporate+ Rates'!W26</f>
        <v>0</v>
      </c>
      <c r="X362" s="65">
        <f>'Special Corporate+ Rates'!X26</f>
        <v>0</v>
      </c>
      <c r="Y362" s="65">
        <f>'Special Corporate+ Rates'!Y26</f>
        <v>0</v>
      </c>
      <c r="Z362" s="65">
        <f>'Special Corporate+ Rates'!Z26</f>
        <v>0</v>
      </c>
      <c r="AA362" s="65">
        <f>'Special Corporate+ Rates'!AA26</f>
        <v>0</v>
      </c>
      <c r="AB362" s="65">
        <f>'Special Corporate+ Rates'!AB26</f>
        <v>0</v>
      </c>
      <c r="AC362" s="65">
        <f>'Special Corporate+ Rates'!AC26</f>
        <v>0</v>
      </c>
      <c r="AD362" s="65">
        <f>'Special Corporate+ Rates'!AD26</f>
        <v>0</v>
      </c>
      <c r="AE362" s="65">
        <f>'Special Corporate+ Rates'!AE26</f>
        <v>0</v>
      </c>
      <c r="AF362" s="65">
        <f>'Special Corporate+ Rates'!AF26</f>
        <v>0</v>
      </c>
      <c r="AG362" s="65">
        <f>'Special Corporate+ Rates'!AG26</f>
        <v>0</v>
      </c>
      <c r="AH362" s="65">
        <f>'Special Corporate+ Rates'!AH26</f>
        <v>0</v>
      </c>
      <c r="AI362" s="65">
        <f>'Special Corporate+ Rates'!AI26</f>
        <v>0</v>
      </c>
      <c r="AJ362" s="65">
        <f>'Special Corporate+ Rates'!AJ26</f>
        <v>0</v>
      </c>
      <c r="AK362" s="65">
        <f>'Special Corporate+ Rates'!AK26</f>
        <v>0</v>
      </c>
      <c r="AL362" s="65">
        <f>'Special Corporate+ Rates'!AL26</f>
        <v>0</v>
      </c>
      <c r="AM362" s="65">
        <f>'Special Corporate+ Rates'!AM26</f>
        <v>0</v>
      </c>
      <c r="AN362" s="65">
        <f>'Special Corporate+ Rates'!AN26</f>
        <v>0</v>
      </c>
      <c r="AO362" s="65">
        <f>'Special Corporate+ Rates'!AO26</f>
        <v>0</v>
      </c>
      <c r="AP362" s="65">
        <f>'Special Corporate+ Rates'!AP26</f>
        <v>0</v>
      </c>
      <c r="AQ362" s="65">
        <f>'Special Corporate+ Rates'!AQ26</f>
        <v>0</v>
      </c>
      <c r="AR362" s="65">
        <f>'Special Corporate+ Rates'!AR26</f>
        <v>0</v>
      </c>
      <c r="AS362" s="65">
        <f>'Special Corporate+ Rates'!AS26</f>
        <v>0</v>
      </c>
      <c r="AT362" s="65">
        <f>'Special Corporate+ Rates'!AT26</f>
        <v>0</v>
      </c>
      <c r="AU362" s="65">
        <f>'Special Corporate+ Rates'!AU26</f>
        <v>0</v>
      </c>
      <c r="AV362" s="65">
        <f>'Special Corporate+ Rates'!AV26</f>
        <v>0</v>
      </c>
      <c r="AW362" s="65">
        <f>'Special Corporate+ Rates'!AW26</f>
        <v>0</v>
      </c>
      <c r="AX362" s="65">
        <f>'Special Corporate+ Rates'!AX26</f>
        <v>0</v>
      </c>
      <c r="AY362" s="65">
        <f>'Special Corporate+ Rates'!AY26</f>
        <v>0</v>
      </c>
      <c r="AZ362" s="65">
        <f>'Special Corporate+ Rates'!AZ26</f>
        <v>0</v>
      </c>
      <c r="BA362" s="65">
        <f>'Special Corporate+ Rates'!BA26</f>
        <v>0</v>
      </c>
      <c r="BB362" s="65">
        <f>'Special Corporate+ Rates'!BB26</f>
        <v>0</v>
      </c>
      <c r="BC362" s="65">
        <f>'Special Corporate+ Rates'!BC26</f>
        <v>0</v>
      </c>
      <c r="BD362" s="65">
        <f>'Special Corporate+ Rates'!BD26</f>
        <v>0</v>
      </c>
      <c r="BE362" s="65">
        <f>'Special Corporate+ Rates'!BE26</f>
        <v>0</v>
      </c>
      <c r="BF362" s="65">
        <f>'Special Corporate+ Rates'!BF26</f>
        <v>0</v>
      </c>
      <c r="BG362" s="65">
        <f>'Special Corporate+ Rates'!BG26</f>
        <v>0</v>
      </c>
      <c r="BH362" s="65">
        <f>'Special Corporate+ Rates'!BH26</f>
        <v>0</v>
      </c>
      <c r="BI362" s="65">
        <f>'Special Corporate+ Rates'!BI26</f>
        <v>0</v>
      </c>
      <c r="BJ362" s="65">
        <f>'Special Corporate+ Rates'!BJ26</f>
        <v>0</v>
      </c>
      <c r="BK362" s="65">
        <f>'Special Corporate+ Rates'!BK26</f>
        <v>0</v>
      </c>
      <c r="BL362" s="65">
        <f>'Special Corporate+ Rates'!BL26</f>
        <v>0</v>
      </c>
      <c r="BM362" s="65">
        <f>'Special Corporate+ Rates'!BM26</f>
        <v>0</v>
      </c>
      <c r="BN362" s="65">
        <f>'Special Corporate+ Rates'!BN26</f>
        <v>0</v>
      </c>
      <c r="BO362" s="65">
        <f>'Special Corporate+ Rates'!BO26</f>
        <v>0</v>
      </c>
      <c r="BP362" s="65">
        <f>'Special Corporate+ Rates'!BP26</f>
        <v>0</v>
      </c>
      <c r="BQ362" s="65">
        <f>'Special Corporate+ Rates'!BQ26</f>
        <v>0</v>
      </c>
      <c r="BR362" s="65">
        <f>'Special Corporate+ Rates'!BR26</f>
        <v>0</v>
      </c>
      <c r="BS362" s="65">
        <f>'Special Corporate+ Rates'!BS26</f>
        <v>0</v>
      </c>
      <c r="BT362" s="65">
        <f>'Special Corporate+ Rates'!BT26</f>
        <v>0</v>
      </c>
      <c r="BU362" s="65">
        <f>'Special Corporate+ Rates'!BU26</f>
        <v>0</v>
      </c>
      <c r="BV362" s="65">
        <f>'Special Corporate+ Rates'!BV26</f>
        <v>0</v>
      </c>
      <c r="BW362" s="65">
        <f>'Special Corporate+ Rates'!BW26</f>
        <v>0</v>
      </c>
      <c r="BX362" s="65">
        <f>'Special Corporate+ Rates'!BX26</f>
        <v>0</v>
      </c>
      <c r="BY362" s="65">
        <f>'Special Corporate+ Rates'!BY26</f>
        <v>0</v>
      </c>
      <c r="BZ362" s="65">
        <f>'Special Corporate+ Rates'!BZ26</f>
        <v>0</v>
      </c>
      <c r="CA362" s="65">
        <f>'Special Corporate+ Rates'!CA26</f>
        <v>0</v>
      </c>
      <c r="CB362" s="65">
        <f>'Special Corporate+ Rates'!CB26</f>
        <v>0</v>
      </c>
      <c r="CC362" s="65">
        <f>'Special Corporate+ Rates'!CC26</f>
        <v>0</v>
      </c>
      <c r="CD362" s="65">
        <f>'Special Corporate+ Rates'!CD26</f>
        <v>0</v>
      </c>
      <c r="CE362" s="65">
        <f>'Special Corporate+ Rates'!CE26</f>
        <v>0</v>
      </c>
      <c r="CF362" s="65">
        <f>'Special Corporate+ Rates'!CF26</f>
        <v>0</v>
      </c>
      <c r="CG362" s="65">
        <f>'Special Corporate+ Rates'!CG26</f>
        <v>0</v>
      </c>
      <c r="CH362" s="65">
        <f>'Special Corporate+ Rates'!CH26</f>
        <v>0</v>
      </c>
      <c r="CI362" s="65">
        <f>'Special Corporate+ Rates'!CI26</f>
        <v>0</v>
      </c>
      <c r="CJ362" s="65">
        <f>'Special Corporate+ Rates'!CJ26</f>
        <v>0</v>
      </c>
      <c r="CK362" s="65">
        <f>'Special Corporate+ Rates'!CK26</f>
        <v>0</v>
      </c>
      <c r="CL362" s="65">
        <f>'Special Corporate+ Rates'!CL26</f>
        <v>0</v>
      </c>
      <c r="CM362" s="65">
        <f>'Special Corporate+ Rates'!CM26</f>
        <v>0</v>
      </c>
      <c r="CN362" s="65">
        <f>'Special Corporate+ Rates'!CN26</f>
        <v>0</v>
      </c>
      <c r="CO362" s="65">
        <f>'Special Corporate+ Rates'!CO26</f>
        <v>0</v>
      </c>
      <c r="CP362" s="65">
        <f>'Special Corporate+ Rates'!CP26</f>
        <v>0</v>
      </c>
      <c r="CQ362" s="65">
        <f>'Special Corporate+ Rates'!CQ26</f>
        <v>0</v>
      </c>
      <c r="CR362" s="65">
        <f>'Special Corporate+ Rates'!CR26</f>
        <v>0</v>
      </c>
      <c r="CS362" s="65">
        <f>'Special Corporate+ Rates'!CS26</f>
        <v>0</v>
      </c>
      <c r="CT362" s="65">
        <f>'Special Corporate+ Rates'!CT26</f>
        <v>0</v>
      </c>
      <c r="CU362" s="65">
        <f>'Special Corporate+ Rates'!CU26</f>
        <v>0</v>
      </c>
      <c r="CV362" s="65">
        <f>'Special Corporate+ Rates'!CV26</f>
        <v>0</v>
      </c>
      <c r="CW362" s="65">
        <f>'Special Corporate+ Rates'!CW26</f>
        <v>0</v>
      </c>
      <c r="CX362" s="65">
        <f>'Special Corporate+ Rates'!CX26</f>
        <v>0</v>
      </c>
      <c r="CY362" s="65">
        <f>'Special Corporate+ Rates'!CY26</f>
        <v>0</v>
      </c>
      <c r="CZ362" s="65">
        <f>'Special Corporate+ Rates'!CZ26</f>
        <v>0</v>
      </c>
      <c r="DA362" s="65">
        <f>'Special Corporate+ Rates'!DA26</f>
        <v>0</v>
      </c>
      <c r="DB362" s="65">
        <f>'Special Corporate+ Rates'!DB26</f>
        <v>0</v>
      </c>
      <c r="DC362" s="65">
        <f>'Special Corporate+ Rates'!DC26</f>
        <v>0</v>
      </c>
      <c r="DD362" s="65">
        <f>'Special Corporate+ Rates'!DD26</f>
        <v>0</v>
      </c>
      <c r="DE362" s="65">
        <f>'Special Corporate+ Rates'!DE26</f>
        <v>0</v>
      </c>
      <c r="DF362" s="65">
        <f>'Special Corporate+ Rates'!DF26</f>
        <v>0</v>
      </c>
      <c r="DG362" s="65">
        <f>'Special Corporate+ Rates'!DG26</f>
        <v>0</v>
      </c>
      <c r="DH362" s="65">
        <f>'Special Corporate+ Rates'!DH26</f>
        <v>0</v>
      </c>
      <c r="DI362" s="65">
        <f>'Special Corporate+ Rates'!DI26</f>
        <v>0</v>
      </c>
      <c r="DJ362" s="65">
        <f>'Special Corporate+ Rates'!DJ26</f>
        <v>0</v>
      </c>
      <c r="DK362" s="65">
        <f>'Special Corporate+ Rates'!DK26</f>
        <v>0</v>
      </c>
      <c r="DL362" s="65">
        <f>'Special Corporate+ Rates'!DL26</f>
        <v>0</v>
      </c>
      <c r="DM362" s="65">
        <f>'Special Corporate+ Rates'!DM26</f>
        <v>0</v>
      </c>
      <c r="DN362" s="65">
        <f>'Special Corporate+ Rates'!DN26</f>
        <v>0</v>
      </c>
      <c r="DO362" s="65">
        <f>'Special Corporate+ Rates'!DO26</f>
        <v>0</v>
      </c>
      <c r="DP362" s="65">
        <f>'Special Corporate+ Rates'!DP26</f>
        <v>0</v>
      </c>
      <c r="DQ362" s="65">
        <f>'Special Corporate+ Rates'!DQ26</f>
        <v>0</v>
      </c>
      <c r="DR362" s="65">
        <f>'Special Corporate+ Rates'!DR26</f>
        <v>0</v>
      </c>
      <c r="DS362" s="65">
        <f>'Special Corporate+ Rates'!DS26</f>
        <v>0</v>
      </c>
      <c r="DT362" s="65">
        <f>'Special Corporate+ Rates'!DT26</f>
        <v>0</v>
      </c>
      <c r="DU362" s="65">
        <f>'Special Corporate+ Rates'!DU26</f>
        <v>0</v>
      </c>
      <c r="DV362" s="65">
        <f>'Special Corporate+ Rates'!DV26</f>
        <v>0</v>
      </c>
      <c r="DW362" s="65">
        <f>'Special Corporate+ Rates'!DW26</f>
        <v>0</v>
      </c>
      <c r="DX362" s="65">
        <f>'Special Corporate+ Rates'!DX26</f>
        <v>0</v>
      </c>
      <c r="DY362" s="68"/>
    </row>
    <row r="363" spans="1:129" x14ac:dyDescent="0.2">
      <c r="A363" s="152"/>
      <c r="B363" s="65">
        <f>'Special Corporate+ Rates'!B27</f>
        <v>0</v>
      </c>
      <c r="C363" s="65">
        <f>'Special Corporate+ Rates'!C27</f>
        <v>0</v>
      </c>
      <c r="D363" s="65">
        <f>'Special Corporate+ Rates'!D27</f>
        <v>0</v>
      </c>
      <c r="E363" s="65">
        <f>'Special Corporate+ Rates'!E27</f>
        <v>0</v>
      </c>
      <c r="F363" s="65">
        <f>'Special Corporate+ Rates'!F27</f>
        <v>0</v>
      </c>
      <c r="G363" s="65">
        <f>'Special Corporate+ Rates'!G27</f>
        <v>0</v>
      </c>
      <c r="H363" s="65">
        <f>'Special Corporate+ Rates'!H27</f>
        <v>0</v>
      </c>
      <c r="I363" s="65">
        <f>'Special Corporate+ Rates'!I27</f>
        <v>0</v>
      </c>
      <c r="J363" s="65">
        <f>'Special Corporate+ Rates'!J27</f>
        <v>0</v>
      </c>
      <c r="K363" s="65">
        <f>'Special Corporate+ Rates'!K27</f>
        <v>0</v>
      </c>
      <c r="L363" s="65">
        <f>'Special Corporate+ Rates'!L27</f>
        <v>0</v>
      </c>
      <c r="M363" s="65">
        <f>'Special Corporate+ Rates'!M27</f>
        <v>0</v>
      </c>
      <c r="N363" s="65">
        <f>'Special Corporate+ Rates'!N27</f>
        <v>0</v>
      </c>
      <c r="O363" s="65">
        <f>'Special Corporate+ Rates'!O27</f>
        <v>0</v>
      </c>
      <c r="P363" s="65">
        <f>'Special Corporate+ Rates'!P27</f>
        <v>0</v>
      </c>
      <c r="Q363" s="65">
        <f>'Special Corporate+ Rates'!Q27</f>
        <v>0</v>
      </c>
      <c r="R363" s="65">
        <f>'Special Corporate+ Rates'!R27</f>
        <v>0</v>
      </c>
      <c r="S363" s="65">
        <f>'Special Corporate+ Rates'!S27</f>
        <v>0</v>
      </c>
      <c r="T363" s="65">
        <f>'Special Corporate+ Rates'!T27</f>
        <v>0</v>
      </c>
      <c r="U363" s="65">
        <f>'Special Corporate+ Rates'!U27</f>
        <v>0</v>
      </c>
      <c r="V363" s="65">
        <f>'Special Corporate+ Rates'!V27</f>
        <v>0</v>
      </c>
      <c r="W363" s="65">
        <f>'Special Corporate+ Rates'!W27</f>
        <v>0</v>
      </c>
      <c r="X363" s="65">
        <f>'Special Corporate+ Rates'!X27</f>
        <v>0</v>
      </c>
      <c r="Y363" s="65">
        <f>'Special Corporate+ Rates'!Y27</f>
        <v>0</v>
      </c>
      <c r="Z363" s="65">
        <f>'Special Corporate+ Rates'!Z27</f>
        <v>0</v>
      </c>
      <c r="AA363" s="65">
        <f>'Special Corporate+ Rates'!AA27</f>
        <v>0</v>
      </c>
      <c r="AB363" s="65">
        <f>'Special Corporate+ Rates'!AB27</f>
        <v>0</v>
      </c>
      <c r="AC363" s="65">
        <f>'Special Corporate+ Rates'!AC27</f>
        <v>0</v>
      </c>
      <c r="AD363" s="65">
        <f>'Special Corporate+ Rates'!AD27</f>
        <v>0</v>
      </c>
      <c r="AE363" s="65">
        <f>'Special Corporate+ Rates'!AE27</f>
        <v>0</v>
      </c>
      <c r="AF363" s="65">
        <f>'Special Corporate+ Rates'!AF27</f>
        <v>0</v>
      </c>
      <c r="AG363" s="65">
        <f>'Special Corporate+ Rates'!AG27</f>
        <v>0</v>
      </c>
      <c r="AH363" s="65">
        <f>'Special Corporate+ Rates'!AH27</f>
        <v>0</v>
      </c>
      <c r="AI363" s="65">
        <f>'Special Corporate+ Rates'!AI27</f>
        <v>0</v>
      </c>
      <c r="AJ363" s="65">
        <f>'Special Corporate+ Rates'!AJ27</f>
        <v>0</v>
      </c>
      <c r="AK363" s="65">
        <f>'Special Corporate+ Rates'!AK27</f>
        <v>0</v>
      </c>
      <c r="AL363" s="65">
        <f>'Special Corporate+ Rates'!AL27</f>
        <v>0</v>
      </c>
      <c r="AM363" s="65">
        <f>'Special Corporate+ Rates'!AM27</f>
        <v>0</v>
      </c>
      <c r="AN363" s="65">
        <f>'Special Corporate+ Rates'!AN27</f>
        <v>0</v>
      </c>
      <c r="AO363" s="65">
        <f>'Special Corporate+ Rates'!AO27</f>
        <v>0</v>
      </c>
      <c r="AP363" s="65">
        <f>'Special Corporate+ Rates'!AP27</f>
        <v>0</v>
      </c>
      <c r="AQ363" s="65">
        <f>'Special Corporate+ Rates'!AQ27</f>
        <v>0</v>
      </c>
      <c r="AR363" s="65">
        <f>'Special Corporate+ Rates'!AR27</f>
        <v>0</v>
      </c>
      <c r="AS363" s="65">
        <f>'Special Corporate+ Rates'!AS27</f>
        <v>0</v>
      </c>
      <c r="AT363" s="65">
        <f>'Special Corporate+ Rates'!AT27</f>
        <v>0</v>
      </c>
      <c r="AU363" s="65">
        <f>'Special Corporate+ Rates'!AU27</f>
        <v>0</v>
      </c>
      <c r="AV363" s="65">
        <f>'Special Corporate+ Rates'!AV27</f>
        <v>0</v>
      </c>
      <c r="AW363" s="65">
        <f>'Special Corporate+ Rates'!AW27</f>
        <v>0</v>
      </c>
      <c r="AX363" s="65">
        <f>'Special Corporate+ Rates'!AX27</f>
        <v>0</v>
      </c>
      <c r="AY363" s="65">
        <f>'Special Corporate+ Rates'!AY27</f>
        <v>0</v>
      </c>
      <c r="AZ363" s="65">
        <f>'Special Corporate+ Rates'!AZ27</f>
        <v>0</v>
      </c>
      <c r="BA363" s="65">
        <f>'Special Corporate+ Rates'!BA27</f>
        <v>0</v>
      </c>
      <c r="BB363" s="65">
        <f>'Special Corporate+ Rates'!BB27</f>
        <v>0</v>
      </c>
      <c r="BC363" s="65">
        <f>'Special Corporate+ Rates'!BC27</f>
        <v>0</v>
      </c>
      <c r="BD363" s="65">
        <f>'Special Corporate+ Rates'!BD27</f>
        <v>0</v>
      </c>
      <c r="BE363" s="65">
        <f>'Special Corporate+ Rates'!BE27</f>
        <v>0</v>
      </c>
      <c r="BF363" s="65">
        <f>'Special Corporate+ Rates'!BF27</f>
        <v>0</v>
      </c>
      <c r="BG363" s="65">
        <f>'Special Corporate+ Rates'!BG27</f>
        <v>0</v>
      </c>
      <c r="BH363" s="65">
        <f>'Special Corporate+ Rates'!BH27</f>
        <v>0</v>
      </c>
      <c r="BI363" s="65">
        <f>'Special Corporate+ Rates'!BI27</f>
        <v>0</v>
      </c>
      <c r="BJ363" s="65">
        <f>'Special Corporate+ Rates'!BJ27</f>
        <v>0</v>
      </c>
      <c r="BK363" s="65">
        <f>'Special Corporate+ Rates'!BK27</f>
        <v>0</v>
      </c>
      <c r="BL363" s="65">
        <f>'Special Corporate+ Rates'!BL27</f>
        <v>0</v>
      </c>
      <c r="BM363" s="65">
        <f>'Special Corporate+ Rates'!BM27</f>
        <v>0</v>
      </c>
      <c r="BN363" s="65">
        <f>'Special Corporate+ Rates'!BN27</f>
        <v>0</v>
      </c>
      <c r="BO363" s="65">
        <f>'Special Corporate+ Rates'!BO27</f>
        <v>0</v>
      </c>
      <c r="BP363" s="65">
        <f>'Special Corporate+ Rates'!BP27</f>
        <v>0</v>
      </c>
      <c r="BQ363" s="65">
        <f>'Special Corporate+ Rates'!BQ27</f>
        <v>0</v>
      </c>
      <c r="BR363" s="65">
        <f>'Special Corporate+ Rates'!BR27</f>
        <v>0</v>
      </c>
      <c r="BS363" s="65">
        <f>'Special Corporate+ Rates'!BS27</f>
        <v>0</v>
      </c>
      <c r="BT363" s="65">
        <f>'Special Corporate+ Rates'!BT27</f>
        <v>0</v>
      </c>
      <c r="BU363" s="65">
        <f>'Special Corporate+ Rates'!BU27</f>
        <v>0</v>
      </c>
      <c r="BV363" s="65">
        <f>'Special Corporate+ Rates'!BV27</f>
        <v>0</v>
      </c>
      <c r="BW363" s="65">
        <f>'Special Corporate+ Rates'!BW27</f>
        <v>0</v>
      </c>
      <c r="BX363" s="65">
        <f>'Special Corporate+ Rates'!BX27</f>
        <v>0</v>
      </c>
      <c r="BY363" s="65">
        <f>'Special Corporate+ Rates'!BY27</f>
        <v>0</v>
      </c>
      <c r="BZ363" s="65">
        <f>'Special Corporate+ Rates'!BZ27</f>
        <v>0</v>
      </c>
      <c r="CA363" s="65">
        <f>'Special Corporate+ Rates'!CA27</f>
        <v>0</v>
      </c>
      <c r="CB363" s="65">
        <f>'Special Corporate+ Rates'!CB27</f>
        <v>0</v>
      </c>
      <c r="CC363" s="65">
        <f>'Special Corporate+ Rates'!CC27</f>
        <v>0</v>
      </c>
      <c r="CD363" s="65">
        <f>'Special Corporate+ Rates'!CD27</f>
        <v>0</v>
      </c>
      <c r="CE363" s="65">
        <f>'Special Corporate+ Rates'!CE27</f>
        <v>0</v>
      </c>
      <c r="CF363" s="65">
        <f>'Special Corporate+ Rates'!CF27</f>
        <v>0</v>
      </c>
      <c r="CG363" s="65">
        <f>'Special Corporate+ Rates'!CG27</f>
        <v>0</v>
      </c>
      <c r="CH363" s="65">
        <f>'Special Corporate+ Rates'!CH27</f>
        <v>0</v>
      </c>
      <c r="CI363" s="65">
        <f>'Special Corporate+ Rates'!CI27</f>
        <v>0</v>
      </c>
      <c r="CJ363" s="65">
        <f>'Special Corporate+ Rates'!CJ27</f>
        <v>0</v>
      </c>
      <c r="CK363" s="65">
        <f>'Special Corporate+ Rates'!CK27</f>
        <v>0</v>
      </c>
      <c r="CL363" s="65">
        <f>'Special Corporate+ Rates'!CL27</f>
        <v>0</v>
      </c>
      <c r="CM363" s="65">
        <f>'Special Corporate+ Rates'!CM27</f>
        <v>0</v>
      </c>
      <c r="CN363" s="65">
        <f>'Special Corporate+ Rates'!CN27</f>
        <v>0</v>
      </c>
      <c r="CO363" s="65">
        <f>'Special Corporate+ Rates'!CO27</f>
        <v>0</v>
      </c>
      <c r="CP363" s="65">
        <f>'Special Corporate+ Rates'!CP27</f>
        <v>0</v>
      </c>
      <c r="CQ363" s="65">
        <f>'Special Corporate+ Rates'!CQ27</f>
        <v>0</v>
      </c>
      <c r="CR363" s="65">
        <f>'Special Corporate+ Rates'!CR27</f>
        <v>0</v>
      </c>
      <c r="CS363" s="65">
        <f>'Special Corporate+ Rates'!CS27</f>
        <v>0</v>
      </c>
      <c r="CT363" s="65">
        <f>'Special Corporate+ Rates'!CT27</f>
        <v>0</v>
      </c>
      <c r="CU363" s="65">
        <f>'Special Corporate+ Rates'!CU27</f>
        <v>0</v>
      </c>
      <c r="CV363" s="65">
        <f>'Special Corporate+ Rates'!CV27</f>
        <v>0</v>
      </c>
      <c r="CW363" s="65">
        <f>'Special Corporate+ Rates'!CW27</f>
        <v>0</v>
      </c>
      <c r="CX363" s="65">
        <f>'Special Corporate+ Rates'!CX27</f>
        <v>0</v>
      </c>
      <c r="CY363" s="65">
        <f>'Special Corporate+ Rates'!CY27</f>
        <v>0</v>
      </c>
      <c r="CZ363" s="65">
        <f>'Special Corporate+ Rates'!CZ27</f>
        <v>0</v>
      </c>
      <c r="DA363" s="65">
        <f>'Special Corporate+ Rates'!DA27</f>
        <v>0</v>
      </c>
      <c r="DB363" s="65">
        <f>'Special Corporate+ Rates'!DB27</f>
        <v>0</v>
      </c>
      <c r="DC363" s="65">
        <f>'Special Corporate+ Rates'!DC27</f>
        <v>0</v>
      </c>
      <c r="DD363" s="65">
        <f>'Special Corporate+ Rates'!DD27</f>
        <v>0</v>
      </c>
      <c r="DE363" s="65">
        <f>'Special Corporate+ Rates'!DE27</f>
        <v>0</v>
      </c>
      <c r="DF363" s="65">
        <f>'Special Corporate+ Rates'!DF27</f>
        <v>0</v>
      </c>
      <c r="DG363" s="65">
        <f>'Special Corporate+ Rates'!DG27</f>
        <v>0</v>
      </c>
      <c r="DH363" s="65">
        <f>'Special Corporate+ Rates'!DH27</f>
        <v>0</v>
      </c>
      <c r="DI363" s="65">
        <f>'Special Corporate+ Rates'!DI27</f>
        <v>0</v>
      </c>
      <c r="DJ363" s="65">
        <f>'Special Corporate+ Rates'!DJ27</f>
        <v>0</v>
      </c>
      <c r="DK363" s="65">
        <f>'Special Corporate+ Rates'!DK27</f>
        <v>0</v>
      </c>
      <c r="DL363" s="65">
        <f>'Special Corporate+ Rates'!DL27</f>
        <v>0</v>
      </c>
      <c r="DM363" s="65">
        <f>'Special Corporate+ Rates'!DM27</f>
        <v>0</v>
      </c>
      <c r="DN363" s="65">
        <f>'Special Corporate+ Rates'!DN27</f>
        <v>0</v>
      </c>
      <c r="DO363" s="65">
        <f>'Special Corporate+ Rates'!DO27</f>
        <v>0</v>
      </c>
      <c r="DP363" s="65">
        <f>'Special Corporate+ Rates'!DP27</f>
        <v>0</v>
      </c>
      <c r="DQ363" s="65">
        <f>'Special Corporate+ Rates'!DQ27</f>
        <v>0</v>
      </c>
      <c r="DR363" s="65">
        <f>'Special Corporate+ Rates'!DR27</f>
        <v>0</v>
      </c>
      <c r="DS363" s="65">
        <f>'Special Corporate+ Rates'!DS27</f>
        <v>0</v>
      </c>
      <c r="DT363" s="65">
        <f>'Special Corporate+ Rates'!DT27</f>
        <v>0</v>
      </c>
      <c r="DU363" s="65">
        <f>'Special Corporate+ Rates'!DU27</f>
        <v>0</v>
      </c>
      <c r="DV363" s="65">
        <f>'Special Corporate+ Rates'!DV27</f>
        <v>0</v>
      </c>
      <c r="DW363" s="65">
        <f>'Special Corporate+ Rates'!DW27</f>
        <v>0</v>
      </c>
      <c r="DX363" s="65">
        <f>'Special Corporate+ Rates'!DX27</f>
        <v>0</v>
      </c>
      <c r="DY363" s="68"/>
    </row>
    <row r="364" spans="1:129" x14ac:dyDescent="0.2">
      <c r="A364" s="152"/>
      <c r="B364" s="65" t="str">
        <f>'Special Corporate+ Rates'!B28</f>
        <v>GDS Requests / Additional Comments</v>
      </c>
      <c r="C364" s="65">
        <f>'Special Corporate+ Rates'!C28</f>
        <v>0</v>
      </c>
      <c r="D364" s="65">
        <f>'Special Corporate+ Rates'!D28</f>
        <v>0</v>
      </c>
      <c r="E364" s="65">
        <f>'Special Corporate+ Rates'!E28</f>
        <v>0</v>
      </c>
      <c r="F364" s="65">
        <f>'Special Corporate+ Rates'!F28</f>
        <v>0</v>
      </c>
      <c r="G364" s="65">
        <f>'Special Corporate+ Rates'!G28</f>
        <v>0</v>
      </c>
      <c r="H364" s="65">
        <f>'Special Corporate+ Rates'!H28</f>
        <v>0</v>
      </c>
      <c r="I364" s="65">
        <f>'Special Corporate+ Rates'!I28</f>
        <v>0</v>
      </c>
      <c r="J364" s="65">
        <f>'Special Corporate+ Rates'!J28</f>
        <v>0</v>
      </c>
      <c r="K364" s="65">
        <f>'Special Corporate+ Rates'!K28</f>
        <v>0</v>
      </c>
      <c r="L364" s="65">
        <f>'Special Corporate+ Rates'!L28</f>
        <v>0</v>
      </c>
      <c r="M364" s="65">
        <f>'Special Corporate+ Rates'!M28</f>
        <v>0</v>
      </c>
      <c r="N364" s="65">
        <f>'Special Corporate+ Rates'!N28</f>
        <v>0</v>
      </c>
      <c r="O364" s="65">
        <f>'Special Corporate+ Rates'!O28</f>
        <v>0</v>
      </c>
      <c r="P364" s="65">
        <f>'Special Corporate+ Rates'!P28</f>
        <v>0</v>
      </c>
      <c r="Q364" s="65">
        <f>'Special Corporate+ Rates'!Q28</f>
        <v>0</v>
      </c>
      <c r="R364" s="65">
        <f>'Special Corporate+ Rates'!R28</f>
        <v>0</v>
      </c>
      <c r="S364" s="65">
        <f>'Special Corporate+ Rates'!S28</f>
        <v>0</v>
      </c>
      <c r="T364" s="65">
        <f>'Special Corporate+ Rates'!T28</f>
        <v>0</v>
      </c>
      <c r="U364" s="65">
        <f>'Special Corporate+ Rates'!U28</f>
        <v>0</v>
      </c>
      <c r="V364" s="65">
        <f>'Special Corporate+ Rates'!V28</f>
        <v>0</v>
      </c>
      <c r="W364" s="65">
        <f>'Special Corporate+ Rates'!W28</f>
        <v>0</v>
      </c>
      <c r="X364" s="65">
        <f>'Special Corporate+ Rates'!X28</f>
        <v>0</v>
      </c>
      <c r="Y364" s="65">
        <f>'Special Corporate+ Rates'!Y28</f>
        <v>0</v>
      </c>
      <c r="Z364" s="65">
        <f>'Special Corporate+ Rates'!Z28</f>
        <v>0</v>
      </c>
      <c r="AA364" s="65">
        <f>'Special Corporate+ Rates'!AA28</f>
        <v>0</v>
      </c>
      <c r="AB364" s="65">
        <f>'Special Corporate+ Rates'!AB28</f>
        <v>0</v>
      </c>
      <c r="AC364" s="65">
        <f>'Special Corporate+ Rates'!AC28</f>
        <v>0</v>
      </c>
      <c r="AD364" s="65">
        <f>'Special Corporate+ Rates'!AD28</f>
        <v>0</v>
      </c>
      <c r="AE364" s="65">
        <f>'Special Corporate+ Rates'!AE28</f>
        <v>0</v>
      </c>
      <c r="AF364" s="65">
        <f>'Special Corporate+ Rates'!AF28</f>
        <v>0</v>
      </c>
      <c r="AG364" s="65">
        <f>'Special Corporate+ Rates'!AG28</f>
        <v>0</v>
      </c>
      <c r="AH364" s="65">
        <f>'Special Corporate+ Rates'!AH28</f>
        <v>0</v>
      </c>
      <c r="AI364" s="65">
        <f>'Special Corporate+ Rates'!AI28</f>
        <v>0</v>
      </c>
      <c r="AJ364" s="65">
        <f>'Special Corporate+ Rates'!AJ28</f>
        <v>0</v>
      </c>
      <c r="AK364" s="65">
        <f>'Special Corporate+ Rates'!AK28</f>
        <v>0</v>
      </c>
      <c r="AL364" s="65">
        <f>'Special Corporate+ Rates'!AL28</f>
        <v>0</v>
      </c>
      <c r="AM364" s="65">
        <f>'Special Corporate+ Rates'!AM28</f>
        <v>0</v>
      </c>
      <c r="AN364" s="65">
        <f>'Special Corporate+ Rates'!AN28</f>
        <v>0</v>
      </c>
      <c r="AO364" s="65">
        <f>'Special Corporate+ Rates'!AO28</f>
        <v>0</v>
      </c>
      <c r="AP364" s="65">
        <f>'Special Corporate+ Rates'!AP28</f>
        <v>0</v>
      </c>
      <c r="AQ364" s="65">
        <f>'Special Corporate+ Rates'!AQ28</f>
        <v>0</v>
      </c>
      <c r="AR364" s="65">
        <f>'Special Corporate+ Rates'!AR28</f>
        <v>0</v>
      </c>
      <c r="AS364" s="65">
        <f>'Special Corporate+ Rates'!AS28</f>
        <v>0</v>
      </c>
      <c r="AT364" s="65">
        <f>'Special Corporate+ Rates'!AT28</f>
        <v>0</v>
      </c>
      <c r="AU364" s="65">
        <f>'Special Corporate+ Rates'!AU28</f>
        <v>0</v>
      </c>
      <c r="AV364" s="65">
        <f>'Special Corporate+ Rates'!AV28</f>
        <v>0</v>
      </c>
      <c r="AW364" s="65">
        <f>'Special Corporate+ Rates'!AW28</f>
        <v>0</v>
      </c>
      <c r="AX364" s="65">
        <f>'Special Corporate+ Rates'!AX28</f>
        <v>0</v>
      </c>
      <c r="AY364" s="65">
        <f>'Special Corporate+ Rates'!AY28</f>
        <v>0</v>
      </c>
      <c r="AZ364" s="65">
        <f>'Special Corporate+ Rates'!AZ28</f>
        <v>0</v>
      </c>
      <c r="BA364" s="65">
        <f>'Special Corporate+ Rates'!BA28</f>
        <v>0</v>
      </c>
      <c r="BB364" s="65">
        <f>'Special Corporate+ Rates'!BB28</f>
        <v>0</v>
      </c>
      <c r="BC364" s="65">
        <f>'Special Corporate+ Rates'!BC28</f>
        <v>0</v>
      </c>
      <c r="BD364" s="65">
        <f>'Special Corporate+ Rates'!BD28</f>
        <v>0</v>
      </c>
      <c r="BE364" s="65">
        <f>'Special Corporate+ Rates'!BE28</f>
        <v>0</v>
      </c>
      <c r="BF364" s="65">
        <f>'Special Corporate+ Rates'!BF28</f>
        <v>0</v>
      </c>
      <c r="BG364" s="65">
        <f>'Special Corporate+ Rates'!BG28</f>
        <v>0</v>
      </c>
      <c r="BH364" s="65">
        <f>'Special Corporate+ Rates'!BH28</f>
        <v>0</v>
      </c>
      <c r="BI364" s="65">
        <f>'Special Corporate+ Rates'!BI28</f>
        <v>0</v>
      </c>
      <c r="BJ364" s="65">
        <f>'Special Corporate+ Rates'!BJ28</f>
        <v>0</v>
      </c>
      <c r="BK364" s="65">
        <f>'Special Corporate+ Rates'!BK28</f>
        <v>0</v>
      </c>
      <c r="BL364" s="65">
        <f>'Special Corporate+ Rates'!BL28</f>
        <v>0</v>
      </c>
      <c r="BM364" s="65">
        <f>'Special Corporate+ Rates'!BM28</f>
        <v>0</v>
      </c>
      <c r="BN364" s="65">
        <f>'Special Corporate+ Rates'!BN28</f>
        <v>0</v>
      </c>
      <c r="BO364" s="65">
        <f>'Special Corporate+ Rates'!BO28</f>
        <v>0</v>
      </c>
      <c r="BP364" s="65">
        <f>'Special Corporate+ Rates'!BP28</f>
        <v>0</v>
      </c>
      <c r="BQ364" s="65">
        <f>'Special Corporate+ Rates'!BQ28</f>
        <v>0</v>
      </c>
      <c r="BR364" s="65">
        <f>'Special Corporate+ Rates'!BR28</f>
        <v>0</v>
      </c>
      <c r="BS364" s="65">
        <f>'Special Corporate+ Rates'!BS28</f>
        <v>0</v>
      </c>
      <c r="BT364" s="65">
        <f>'Special Corporate+ Rates'!BT28</f>
        <v>0</v>
      </c>
      <c r="BU364" s="65">
        <f>'Special Corporate+ Rates'!BU28</f>
        <v>0</v>
      </c>
      <c r="BV364" s="65">
        <f>'Special Corporate+ Rates'!BV28</f>
        <v>0</v>
      </c>
      <c r="BW364" s="65">
        <f>'Special Corporate+ Rates'!BW28</f>
        <v>0</v>
      </c>
      <c r="BX364" s="65">
        <f>'Special Corporate+ Rates'!BX28</f>
        <v>0</v>
      </c>
      <c r="BY364" s="65">
        <f>'Special Corporate+ Rates'!BY28</f>
        <v>0</v>
      </c>
      <c r="BZ364" s="65">
        <f>'Special Corporate+ Rates'!BZ28</f>
        <v>0</v>
      </c>
      <c r="CA364" s="65">
        <f>'Special Corporate+ Rates'!CA28</f>
        <v>0</v>
      </c>
      <c r="CB364" s="65">
        <f>'Special Corporate+ Rates'!CB28</f>
        <v>0</v>
      </c>
      <c r="CC364" s="65">
        <f>'Special Corporate+ Rates'!CC28</f>
        <v>0</v>
      </c>
      <c r="CD364" s="65">
        <f>'Special Corporate+ Rates'!CD28</f>
        <v>0</v>
      </c>
      <c r="CE364" s="65">
        <f>'Special Corporate+ Rates'!CE28</f>
        <v>0</v>
      </c>
      <c r="CF364" s="65">
        <f>'Special Corporate+ Rates'!CF28</f>
        <v>0</v>
      </c>
      <c r="CG364" s="65">
        <f>'Special Corporate+ Rates'!CG28</f>
        <v>0</v>
      </c>
      <c r="CH364" s="65">
        <f>'Special Corporate+ Rates'!CH28</f>
        <v>0</v>
      </c>
      <c r="CI364" s="65">
        <f>'Special Corporate+ Rates'!CI28</f>
        <v>0</v>
      </c>
      <c r="CJ364" s="65">
        <f>'Special Corporate+ Rates'!CJ28</f>
        <v>0</v>
      </c>
      <c r="CK364" s="65">
        <f>'Special Corporate+ Rates'!CK28</f>
        <v>0</v>
      </c>
      <c r="CL364" s="65">
        <f>'Special Corporate+ Rates'!CL28</f>
        <v>0</v>
      </c>
      <c r="CM364" s="65">
        <f>'Special Corporate+ Rates'!CM28</f>
        <v>0</v>
      </c>
      <c r="CN364" s="65">
        <f>'Special Corporate+ Rates'!CN28</f>
        <v>0</v>
      </c>
      <c r="CO364" s="65">
        <f>'Special Corporate+ Rates'!CO28</f>
        <v>0</v>
      </c>
      <c r="CP364" s="65">
        <f>'Special Corporate+ Rates'!CP28</f>
        <v>0</v>
      </c>
      <c r="CQ364" s="65">
        <f>'Special Corporate+ Rates'!CQ28</f>
        <v>0</v>
      </c>
      <c r="CR364" s="65">
        <f>'Special Corporate+ Rates'!CR28</f>
        <v>0</v>
      </c>
      <c r="CS364" s="65">
        <f>'Special Corporate+ Rates'!CS28</f>
        <v>0</v>
      </c>
      <c r="CT364" s="65">
        <f>'Special Corporate+ Rates'!CT28</f>
        <v>0</v>
      </c>
      <c r="CU364" s="65">
        <f>'Special Corporate+ Rates'!CU28</f>
        <v>0</v>
      </c>
      <c r="CV364" s="65">
        <f>'Special Corporate+ Rates'!CV28</f>
        <v>0</v>
      </c>
      <c r="CW364" s="65">
        <f>'Special Corporate+ Rates'!CW28</f>
        <v>0</v>
      </c>
      <c r="CX364" s="65">
        <f>'Special Corporate+ Rates'!CX28</f>
        <v>0</v>
      </c>
      <c r="CY364" s="65">
        <f>'Special Corporate+ Rates'!CY28</f>
        <v>0</v>
      </c>
      <c r="CZ364" s="65">
        <f>'Special Corporate+ Rates'!CZ28</f>
        <v>0</v>
      </c>
      <c r="DA364" s="65">
        <f>'Special Corporate+ Rates'!DA28</f>
        <v>0</v>
      </c>
      <c r="DB364" s="65">
        <f>'Special Corporate+ Rates'!DB28</f>
        <v>0</v>
      </c>
      <c r="DC364" s="65">
        <f>'Special Corporate+ Rates'!DC28</f>
        <v>0</v>
      </c>
      <c r="DD364" s="65">
        <f>'Special Corporate+ Rates'!DD28</f>
        <v>0</v>
      </c>
      <c r="DE364" s="65">
        <f>'Special Corporate+ Rates'!DE28</f>
        <v>0</v>
      </c>
      <c r="DF364" s="65">
        <f>'Special Corporate+ Rates'!DF28</f>
        <v>0</v>
      </c>
      <c r="DG364" s="65">
        <f>'Special Corporate+ Rates'!DG28</f>
        <v>0</v>
      </c>
      <c r="DH364" s="65">
        <f>'Special Corporate+ Rates'!DH28</f>
        <v>0</v>
      </c>
      <c r="DI364" s="65">
        <f>'Special Corporate+ Rates'!DI28</f>
        <v>0</v>
      </c>
      <c r="DJ364" s="65">
        <f>'Special Corporate+ Rates'!DJ28</f>
        <v>0</v>
      </c>
      <c r="DK364" s="65">
        <f>'Special Corporate+ Rates'!DK28</f>
        <v>0</v>
      </c>
      <c r="DL364" s="65">
        <f>'Special Corporate+ Rates'!DL28</f>
        <v>0</v>
      </c>
      <c r="DM364" s="65">
        <f>'Special Corporate+ Rates'!DM28</f>
        <v>0</v>
      </c>
      <c r="DN364" s="65">
        <f>'Special Corporate+ Rates'!DN28</f>
        <v>0</v>
      </c>
      <c r="DO364" s="65">
        <f>'Special Corporate+ Rates'!DO28</f>
        <v>0</v>
      </c>
      <c r="DP364" s="65">
        <f>'Special Corporate+ Rates'!DP28</f>
        <v>0</v>
      </c>
      <c r="DQ364" s="65">
        <f>'Special Corporate+ Rates'!DQ28</f>
        <v>0</v>
      </c>
      <c r="DR364" s="65">
        <f>'Special Corporate+ Rates'!DR28</f>
        <v>0</v>
      </c>
      <c r="DS364" s="65">
        <f>'Special Corporate+ Rates'!DS28</f>
        <v>0</v>
      </c>
      <c r="DT364" s="65">
        <f>'Special Corporate+ Rates'!DT28</f>
        <v>0</v>
      </c>
      <c r="DU364" s="65">
        <f>'Special Corporate+ Rates'!DU28</f>
        <v>0</v>
      </c>
      <c r="DV364" s="65">
        <f>'Special Corporate+ Rates'!DV28</f>
        <v>0</v>
      </c>
      <c r="DW364" s="65">
        <f>'Special Corporate+ Rates'!DW28</f>
        <v>0</v>
      </c>
      <c r="DX364" s="65">
        <f>'Special Corporate+ Rates'!DX28</f>
        <v>0</v>
      </c>
      <c r="DY364" s="68"/>
    </row>
    <row r="365" spans="1:129" x14ac:dyDescent="0.2">
      <c r="A365" s="152"/>
      <c r="B365" s="65">
        <f>'Special Corporate+ Rates'!B29</f>
        <v>0</v>
      </c>
      <c r="C365" s="65">
        <f>'Special Corporate+ Rates'!C29</f>
        <v>0</v>
      </c>
      <c r="D365" s="65">
        <f>'Special Corporate+ Rates'!D29</f>
        <v>0</v>
      </c>
      <c r="E365" s="65">
        <f>'Special Corporate+ Rates'!E29</f>
        <v>0</v>
      </c>
      <c r="F365" s="65">
        <f>'Special Corporate+ Rates'!F29</f>
        <v>0</v>
      </c>
      <c r="G365" s="65">
        <f>'Special Corporate+ Rates'!G29</f>
        <v>0</v>
      </c>
      <c r="H365" s="65">
        <f>'Special Corporate+ Rates'!H29</f>
        <v>0</v>
      </c>
      <c r="I365" s="65">
        <f>'Special Corporate+ Rates'!I29</f>
        <v>0</v>
      </c>
      <c r="J365" s="65">
        <f>'Special Corporate+ Rates'!J29</f>
        <v>0</v>
      </c>
      <c r="K365" s="65">
        <f>'Special Corporate+ Rates'!K29</f>
        <v>0</v>
      </c>
      <c r="L365" s="65">
        <f>'Special Corporate+ Rates'!L29</f>
        <v>0</v>
      </c>
      <c r="M365" s="65">
        <f>'Special Corporate+ Rates'!M29</f>
        <v>0</v>
      </c>
      <c r="N365" s="65">
        <f>'Special Corporate+ Rates'!N29</f>
        <v>0</v>
      </c>
      <c r="O365" s="65">
        <f>'Special Corporate+ Rates'!O29</f>
        <v>0</v>
      </c>
      <c r="P365" s="65">
        <f>'Special Corporate+ Rates'!P29</f>
        <v>0</v>
      </c>
      <c r="Q365" s="65">
        <f>'Special Corporate+ Rates'!Q29</f>
        <v>0</v>
      </c>
      <c r="R365" s="65">
        <f>'Special Corporate+ Rates'!R29</f>
        <v>0</v>
      </c>
      <c r="S365" s="65">
        <f>'Special Corporate+ Rates'!S29</f>
        <v>0</v>
      </c>
      <c r="T365" s="65">
        <f>'Special Corporate+ Rates'!T29</f>
        <v>0</v>
      </c>
      <c r="U365" s="65">
        <f>'Special Corporate+ Rates'!U29</f>
        <v>0</v>
      </c>
      <c r="V365" s="65">
        <f>'Special Corporate+ Rates'!V29</f>
        <v>0</v>
      </c>
      <c r="W365" s="65">
        <f>'Special Corporate+ Rates'!W29</f>
        <v>0</v>
      </c>
      <c r="X365" s="65">
        <f>'Special Corporate+ Rates'!X29</f>
        <v>0</v>
      </c>
      <c r="Y365" s="65">
        <f>'Special Corporate+ Rates'!Y29</f>
        <v>0</v>
      </c>
      <c r="Z365" s="65">
        <f>'Special Corporate+ Rates'!Z29</f>
        <v>0</v>
      </c>
      <c r="AA365" s="65">
        <f>'Special Corporate+ Rates'!AA29</f>
        <v>0</v>
      </c>
      <c r="AB365" s="65">
        <f>'Special Corporate+ Rates'!AB29</f>
        <v>0</v>
      </c>
      <c r="AC365" s="65">
        <f>'Special Corporate+ Rates'!AC29</f>
        <v>0</v>
      </c>
      <c r="AD365" s="65">
        <f>'Special Corporate+ Rates'!AD29</f>
        <v>0</v>
      </c>
      <c r="AE365" s="65">
        <f>'Special Corporate+ Rates'!AE29</f>
        <v>0</v>
      </c>
      <c r="AF365" s="65">
        <f>'Special Corporate+ Rates'!AF29</f>
        <v>0</v>
      </c>
      <c r="AG365" s="65">
        <f>'Special Corporate+ Rates'!AG29</f>
        <v>0</v>
      </c>
      <c r="AH365" s="65">
        <f>'Special Corporate+ Rates'!AH29</f>
        <v>0</v>
      </c>
      <c r="AI365" s="65">
        <f>'Special Corporate+ Rates'!AI29</f>
        <v>0</v>
      </c>
      <c r="AJ365" s="65">
        <f>'Special Corporate+ Rates'!AJ29</f>
        <v>0</v>
      </c>
      <c r="AK365" s="65">
        <f>'Special Corporate+ Rates'!AK29</f>
        <v>0</v>
      </c>
      <c r="AL365" s="65">
        <f>'Special Corporate+ Rates'!AL29</f>
        <v>0</v>
      </c>
      <c r="AM365" s="65">
        <f>'Special Corporate+ Rates'!AM29</f>
        <v>0</v>
      </c>
      <c r="AN365" s="65">
        <f>'Special Corporate+ Rates'!AN29</f>
        <v>0</v>
      </c>
      <c r="AO365" s="65">
        <f>'Special Corporate+ Rates'!AO29</f>
        <v>0</v>
      </c>
      <c r="AP365" s="65">
        <f>'Special Corporate+ Rates'!AP29</f>
        <v>0</v>
      </c>
      <c r="AQ365" s="65">
        <f>'Special Corporate+ Rates'!AQ29</f>
        <v>0</v>
      </c>
      <c r="AR365" s="65">
        <f>'Special Corporate+ Rates'!AR29</f>
        <v>0</v>
      </c>
      <c r="AS365" s="65">
        <f>'Special Corporate+ Rates'!AS29</f>
        <v>0</v>
      </c>
      <c r="AT365" s="65">
        <f>'Special Corporate+ Rates'!AT29</f>
        <v>0</v>
      </c>
      <c r="AU365" s="65">
        <f>'Special Corporate+ Rates'!AU29</f>
        <v>0</v>
      </c>
      <c r="AV365" s="65">
        <f>'Special Corporate+ Rates'!AV29</f>
        <v>0</v>
      </c>
      <c r="AW365" s="65">
        <f>'Special Corporate+ Rates'!AW29</f>
        <v>0</v>
      </c>
      <c r="AX365" s="65">
        <f>'Special Corporate+ Rates'!AX29</f>
        <v>0</v>
      </c>
      <c r="AY365" s="65">
        <f>'Special Corporate+ Rates'!AY29</f>
        <v>0</v>
      </c>
      <c r="AZ365" s="65">
        <f>'Special Corporate+ Rates'!AZ29</f>
        <v>0</v>
      </c>
      <c r="BA365" s="65">
        <f>'Special Corporate+ Rates'!BA29</f>
        <v>0</v>
      </c>
      <c r="BB365" s="65">
        <f>'Special Corporate+ Rates'!BB29</f>
        <v>0</v>
      </c>
      <c r="BC365" s="65">
        <f>'Special Corporate+ Rates'!BC29</f>
        <v>0</v>
      </c>
      <c r="BD365" s="65">
        <f>'Special Corporate+ Rates'!BD29</f>
        <v>0</v>
      </c>
      <c r="BE365" s="65">
        <f>'Special Corporate+ Rates'!BE29</f>
        <v>0</v>
      </c>
      <c r="BF365" s="65">
        <f>'Special Corporate+ Rates'!BF29</f>
        <v>0</v>
      </c>
      <c r="BG365" s="65">
        <f>'Special Corporate+ Rates'!BG29</f>
        <v>0</v>
      </c>
      <c r="BH365" s="65">
        <f>'Special Corporate+ Rates'!BH29</f>
        <v>0</v>
      </c>
      <c r="BI365" s="65">
        <f>'Special Corporate+ Rates'!BI29</f>
        <v>0</v>
      </c>
      <c r="BJ365" s="65">
        <f>'Special Corporate+ Rates'!BJ29</f>
        <v>0</v>
      </c>
      <c r="BK365" s="65">
        <f>'Special Corporate+ Rates'!BK29</f>
        <v>0</v>
      </c>
      <c r="BL365" s="65">
        <f>'Special Corporate+ Rates'!BL29</f>
        <v>0</v>
      </c>
      <c r="BM365" s="65">
        <f>'Special Corporate+ Rates'!BM29</f>
        <v>0</v>
      </c>
      <c r="BN365" s="65">
        <f>'Special Corporate+ Rates'!BN29</f>
        <v>0</v>
      </c>
      <c r="BO365" s="65">
        <f>'Special Corporate+ Rates'!BO29</f>
        <v>0</v>
      </c>
      <c r="BP365" s="65">
        <f>'Special Corporate+ Rates'!BP29</f>
        <v>0</v>
      </c>
      <c r="BQ365" s="65">
        <f>'Special Corporate+ Rates'!BQ29</f>
        <v>0</v>
      </c>
      <c r="BR365" s="65">
        <f>'Special Corporate+ Rates'!BR29</f>
        <v>0</v>
      </c>
      <c r="BS365" s="65">
        <f>'Special Corporate+ Rates'!BS29</f>
        <v>0</v>
      </c>
      <c r="BT365" s="65">
        <f>'Special Corporate+ Rates'!BT29</f>
        <v>0</v>
      </c>
      <c r="BU365" s="65">
        <f>'Special Corporate+ Rates'!BU29</f>
        <v>0</v>
      </c>
      <c r="BV365" s="65">
        <f>'Special Corporate+ Rates'!BV29</f>
        <v>0</v>
      </c>
      <c r="BW365" s="65">
        <f>'Special Corporate+ Rates'!BW29</f>
        <v>0</v>
      </c>
      <c r="BX365" s="65">
        <f>'Special Corporate+ Rates'!BX29</f>
        <v>0</v>
      </c>
      <c r="BY365" s="65">
        <f>'Special Corporate+ Rates'!BY29</f>
        <v>0</v>
      </c>
      <c r="BZ365" s="65">
        <f>'Special Corporate+ Rates'!BZ29</f>
        <v>0</v>
      </c>
      <c r="CA365" s="65">
        <f>'Special Corporate+ Rates'!CA29</f>
        <v>0</v>
      </c>
      <c r="CB365" s="65">
        <f>'Special Corporate+ Rates'!CB29</f>
        <v>0</v>
      </c>
      <c r="CC365" s="65">
        <f>'Special Corporate+ Rates'!CC29</f>
        <v>0</v>
      </c>
      <c r="CD365" s="65">
        <f>'Special Corporate+ Rates'!CD29</f>
        <v>0</v>
      </c>
      <c r="CE365" s="65">
        <f>'Special Corporate+ Rates'!CE29</f>
        <v>0</v>
      </c>
      <c r="CF365" s="65">
        <f>'Special Corporate+ Rates'!CF29</f>
        <v>0</v>
      </c>
      <c r="CG365" s="65">
        <f>'Special Corporate+ Rates'!CG29</f>
        <v>0</v>
      </c>
      <c r="CH365" s="65">
        <f>'Special Corporate+ Rates'!CH29</f>
        <v>0</v>
      </c>
      <c r="CI365" s="65">
        <f>'Special Corporate+ Rates'!CI29</f>
        <v>0</v>
      </c>
      <c r="CJ365" s="65">
        <f>'Special Corporate+ Rates'!CJ29</f>
        <v>0</v>
      </c>
      <c r="CK365" s="65">
        <f>'Special Corporate+ Rates'!CK29</f>
        <v>0</v>
      </c>
      <c r="CL365" s="65">
        <f>'Special Corporate+ Rates'!CL29</f>
        <v>0</v>
      </c>
      <c r="CM365" s="65">
        <f>'Special Corporate+ Rates'!CM29</f>
        <v>0</v>
      </c>
      <c r="CN365" s="65">
        <f>'Special Corporate+ Rates'!CN29</f>
        <v>0</v>
      </c>
      <c r="CO365" s="65">
        <f>'Special Corporate+ Rates'!CO29</f>
        <v>0</v>
      </c>
      <c r="CP365" s="65">
        <f>'Special Corporate+ Rates'!CP29</f>
        <v>0</v>
      </c>
      <c r="CQ365" s="65">
        <f>'Special Corporate+ Rates'!CQ29</f>
        <v>0</v>
      </c>
      <c r="CR365" s="65">
        <f>'Special Corporate+ Rates'!CR29</f>
        <v>0</v>
      </c>
      <c r="CS365" s="65">
        <f>'Special Corporate+ Rates'!CS29</f>
        <v>0</v>
      </c>
      <c r="CT365" s="65">
        <f>'Special Corporate+ Rates'!CT29</f>
        <v>0</v>
      </c>
      <c r="CU365" s="65">
        <f>'Special Corporate+ Rates'!CU29</f>
        <v>0</v>
      </c>
      <c r="CV365" s="65">
        <f>'Special Corporate+ Rates'!CV29</f>
        <v>0</v>
      </c>
      <c r="CW365" s="65">
        <f>'Special Corporate+ Rates'!CW29</f>
        <v>0</v>
      </c>
      <c r="CX365" s="65">
        <f>'Special Corporate+ Rates'!CX29</f>
        <v>0</v>
      </c>
      <c r="CY365" s="65">
        <f>'Special Corporate+ Rates'!CY29</f>
        <v>0</v>
      </c>
      <c r="CZ365" s="65">
        <f>'Special Corporate+ Rates'!CZ29</f>
        <v>0</v>
      </c>
      <c r="DA365" s="65">
        <f>'Special Corporate+ Rates'!DA29</f>
        <v>0</v>
      </c>
      <c r="DB365" s="65">
        <f>'Special Corporate+ Rates'!DB29</f>
        <v>0</v>
      </c>
      <c r="DC365" s="65">
        <f>'Special Corporate+ Rates'!DC29</f>
        <v>0</v>
      </c>
      <c r="DD365" s="65">
        <f>'Special Corporate+ Rates'!DD29</f>
        <v>0</v>
      </c>
      <c r="DE365" s="65">
        <f>'Special Corporate+ Rates'!DE29</f>
        <v>0</v>
      </c>
      <c r="DF365" s="65">
        <f>'Special Corporate+ Rates'!DF29</f>
        <v>0</v>
      </c>
      <c r="DG365" s="65">
        <f>'Special Corporate+ Rates'!DG29</f>
        <v>0</v>
      </c>
      <c r="DH365" s="65">
        <f>'Special Corporate+ Rates'!DH29</f>
        <v>0</v>
      </c>
      <c r="DI365" s="65">
        <f>'Special Corporate+ Rates'!DI29</f>
        <v>0</v>
      </c>
      <c r="DJ365" s="65">
        <f>'Special Corporate+ Rates'!DJ29</f>
        <v>0</v>
      </c>
      <c r="DK365" s="65">
        <f>'Special Corporate+ Rates'!DK29</f>
        <v>0</v>
      </c>
      <c r="DL365" s="65">
        <f>'Special Corporate+ Rates'!DL29</f>
        <v>0</v>
      </c>
      <c r="DM365" s="65">
        <f>'Special Corporate+ Rates'!DM29</f>
        <v>0</v>
      </c>
      <c r="DN365" s="65">
        <f>'Special Corporate+ Rates'!DN29</f>
        <v>0</v>
      </c>
      <c r="DO365" s="65">
        <f>'Special Corporate+ Rates'!DO29</f>
        <v>0</v>
      </c>
      <c r="DP365" s="65">
        <f>'Special Corporate+ Rates'!DP29</f>
        <v>0</v>
      </c>
      <c r="DQ365" s="65">
        <f>'Special Corporate+ Rates'!DQ29</f>
        <v>0</v>
      </c>
      <c r="DR365" s="65">
        <f>'Special Corporate+ Rates'!DR29</f>
        <v>0</v>
      </c>
      <c r="DS365" s="65">
        <f>'Special Corporate+ Rates'!DS29</f>
        <v>0</v>
      </c>
      <c r="DT365" s="65">
        <f>'Special Corporate+ Rates'!DT29</f>
        <v>0</v>
      </c>
      <c r="DU365" s="65">
        <f>'Special Corporate+ Rates'!DU29</f>
        <v>0</v>
      </c>
      <c r="DV365" s="65">
        <f>'Special Corporate+ Rates'!DV29</f>
        <v>0</v>
      </c>
      <c r="DW365" s="65">
        <f>'Special Corporate+ Rates'!DW29</f>
        <v>0</v>
      </c>
      <c r="DX365" s="65">
        <f>'Special Corporate+ Rates'!DX29</f>
        <v>0</v>
      </c>
      <c r="DY365" s="68"/>
    </row>
    <row r="366" spans="1:129" x14ac:dyDescent="0.2">
      <c r="A366" s="152"/>
      <c r="B366" s="65" t="str">
        <f>'Special Corporate+ Rates'!B30</f>
        <v>Account Name</v>
      </c>
      <c r="C366" s="65">
        <f>'Special Corporate+ Rates'!C30</f>
        <v>0</v>
      </c>
      <c r="D366" s="65" t="str">
        <f>'Special Corporate+ Rates'!D30</f>
        <v>Enter the name of the Account here</v>
      </c>
      <c r="E366" s="65">
        <f>'Special Corporate+ Rates'!E30</f>
        <v>0</v>
      </c>
      <c r="F366" s="65">
        <f>'Special Corporate+ Rates'!F30</f>
        <v>0</v>
      </c>
      <c r="G366" s="65">
        <f>'Special Corporate+ Rates'!G30</f>
        <v>0</v>
      </c>
      <c r="H366" s="65">
        <f>'Special Corporate+ Rates'!H30</f>
        <v>0</v>
      </c>
      <c r="I366" s="65" t="str">
        <f>'Special Corporate+ Rates'!I30</f>
        <v>Enter the name of the Account here</v>
      </c>
      <c r="J366" s="65">
        <f>'Special Corporate+ Rates'!J30</f>
        <v>0</v>
      </c>
      <c r="K366" s="65">
        <f>'Special Corporate+ Rates'!K30</f>
        <v>0</v>
      </c>
      <c r="L366" s="65">
        <f>'Special Corporate+ Rates'!L30</f>
        <v>0</v>
      </c>
      <c r="M366" s="65">
        <f>'Special Corporate+ Rates'!M30</f>
        <v>0</v>
      </c>
      <c r="N366" s="65" t="str">
        <f>'Special Corporate+ Rates'!N30</f>
        <v>Enter the name of the Account here</v>
      </c>
      <c r="O366" s="65">
        <f>'Special Corporate+ Rates'!O30</f>
        <v>0</v>
      </c>
      <c r="P366" s="65">
        <f>'Special Corporate+ Rates'!P30</f>
        <v>0</v>
      </c>
      <c r="Q366" s="65">
        <f>'Special Corporate+ Rates'!Q30</f>
        <v>0</v>
      </c>
      <c r="R366" s="65">
        <f>'Special Corporate+ Rates'!R30</f>
        <v>0</v>
      </c>
      <c r="S366" s="65" t="str">
        <f>'Special Corporate+ Rates'!S30</f>
        <v>Enter the name of the Account here</v>
      </c>
      <c r="T366" s="65">
        <f>'Special Corporate+ Rates'!T30</f>
        <v>0</v>
      </c>
      <c r="U366" s="65">
        <f>'Special Corporate+ Rates'!U30</f>
        <v>0</v>
      </c>
      <c r="V366" s="65">
        <f>'Special Corporate+ Rates'!V30</f>
        <v>0</v>
      </c>
      <c r="W366" s="65">
        <f>'Special Corporate+ Rates'!W30</f>
        <v>0</v>
      </c>
      <c r="X366" s="65" t="str">
        <f>'Special Corporate+ Rates'!X30</f>
        <v>Enter the name of the Account here</v>
      </c>
      <c r="Y366" s="65">
        <f>'Special Corporate+ Rates'!Y30</f>
        <v>0</v>
      </c>
      <c r="Z366" s="65">
        <f>'Special Corporate+ Rates'!Z30</f>
        <v>0</v>
      </c>
      <c r="AA366" s="65">
        <f>'Special Corporate+ Rates'!AA30</f>
        <v>0</v>
      </c>
      <c r="AB366" s="65">
        <f>'Special Corporate+ Rates'!AB30</f>
        <v>0</v>
      </c>
      <c r="AC366" s="65" t="str">
        <f>'Special Corporate+ Rates'!AC30</f>
        <v>Enter the name of the Account here</v>
      </c>
      <c r="AD366" s="65">
        <f>'Special Corporate+ Rates'!AD30</f>
        <v>0</v>
      </c>
      <c r="AE366" s="65">
        <f>'Special Corporate+ Rates'!AE30</f>
        <v>0</v>
      </c>
      <c r="AF366" s="65">
        <f>'Special Corporate+ Rates'!AF30</f>
        <v>0</v>
      </c>
      <c r="AG366" s="65">
        <f>'Special Corporate+ Rates'!AG30</f>
        <v>0</v>
      </c>
      <c r="AH366" s="65" t="str">
        <f>'Special Corporate+ Rates'!AH30</f>
        <v>Enter the name of the Account here</v>
      </c>
      <c r="AI366" s="65">
        <f>'Special Corporate+ Rates'!AI30</f>
        <v>0</v>
      </c>
      <c r="AJ366" s="65">
        <f>'Special Corporate+ Rates'!AJ30</f>
        <v>0</v>
      </c>
      <c r="AK366" s="65">
        <f>'Special Corporate+ Rates'!AK30</f>
        <v>0</v>
      </c>
      <c r="AL366" s="65">
        <f>'Special Corporate+ Rates'!AL30</f>
        <v>0</v>
      </c>
      <c r="AM366" s="65" t="str">
        <f>'Special Corporate+ Rates'!AM30</f>
        <v>Enter the name of the Account here</v>
      </c>
      <c r="AN366" s="65">
        <f>'Special Corporate+ Rates'!AN30</f>
        <v>0</v>
      </c>
      <c r="AO366" s="65">
        <f>'Special Corporate+ Rates'!AO30</f>
        <v>0</v>
      </c>
      <c r="AP366" s="65">
        <f>'Special Corporate+ Rates'!AP30</f>
        <v>0</v>
      </c>
      <c r="AQ366" s="65">
        <f>'Special Corporate+ Rates'!AQ30</f>
        <v>0</v>
      </c>
      <c r="AR366" s="65" t="str">
        <f>'Special Corporate+ Rates'!AR30</f>
        <v>Enter the name of the Account here</v>
      </c>
      <c r="AS366" s="65">
        <f>'Special Corporate+ Rates'!AS30</f>
        <v>0</v>
      </c>
      <c r="AT366" s="65">
        <f>'Special Corporate+ Rates'!AT30</f>
        <v>0</v>
      </c>
      <c r="AU366" s="65">
        <f>'Special Corporate+ Rates'!AU30</f>
        <v>0</v>
      </c>
      <c r="AV366" s="65">
        <f>'Special Corporate+ Rates'!AV30</f>
        <v>0</v>
      </c>
      <c r="AW366" s="65" t="str">
        <f>'Special Corporate+ Rates'!AW30</f>
        <v>Enter the name of the Account here</v>
      </c>
      <c r="AX366" s="65">
        <f>'Special Corporate+ Rates'!AX30</f>
        <v>0</v>
      </c>
      <c r="AY366" s="65">
        <f>'Special Corporate+ Rates'!AY30</f>
        <v>0</v>
      </c>
      <c r="AZ366" s="65">
        <f>'Special Corporate+ Rates'!AZ30</f>
        <v>0</v>
      </c>
      <c r="BA366" s="65">
        <f>'Special Corporate+ Rates'!BA30</f>
        <v>0</v>
      </c>
      <c r="BB366" s="65" t="str">
        <f>'Special Corporate+ Rates'!BB30</f>
        <v>Enter the name of the Account here</v>
      </c>
      <c r="BC366" s="65">
        <f>'Special Corporate+ Rates'!BC30</f>
        <v>0</v>
      </c>
      <c r="BD366" s="65">
        <f>'Special Corporate+ Rates'!BD30</f>
        <v>0</v>
      </c>
      <c r="BE366" s="65">
        <f>'Special Corporate+ Rates'!BE30</f>
        <v>0</v>
      </c>
      <c r="BF366" s="65">
        <f>'Special Corporate+ Rates'!BF30</f>
        <v>0</v>
      </c>
      <c r="BG366" s="65" t="str">
        <f>'Special Corporate+ Rates'!BG30</f>
        <v>Enter the name of the Account here</v>
      </c>
      <c r="BH366" s="65">
        <f>'Special Corporate+ Rates'!BH30</f>
        <v>0</v>
      </c>
      <c r="BI366" s="65">
        <f>'Special Corporate+ Rates'!BI30</f>
        <v>0</v>
      </c>
      <c r="BJ366" s="65">
        <f>'Special Corporate+ Rates'!BJ30</f>
        <v>0</v>
      </c>
      <c r="BK366" s="65">
        <f>'Special Corporate+ Rates'!BK30</f>
        <v>0</v>
      </c>
      <c r="BL366" s="65" t="str">
        <f>'Special Corporate+ Rates'!BL30</f>
        <v>Enter the name of the Account here</v>
      </c>
      <c r="BM366" s="65">
        <f>'Special Corporate+ Rates'!BM30</f>
        <v>0</v>
      </c>
      <c r="BN366" s="65">
        <f>'Special Corporate+ Rates'!BN30</f>
        <v>0</v>
      </c>
      <c r="BO366" s="65">
        <f>'Special Corporate+ Rates'!BO30</f>
        <v>0</v>
      </c>
      <c r="BP366" s="65">
        <f>'Special Corporate+ Rates'!BP30</f>
        <v>0</v>
      </c>
      <c r="BQ366" s="65" t="str">
        <f>'Special Corporate+ Rates'!BQ30</f>
        <v>Enter the name of the Account here</v>
      </c>
      <c r="BR366" s="65">
        <f>'Special Corporate+ Rates'!BR30</f>
        <v>0</v>
      </c>
      <c r="BS366" s="65">
        <f>'Special Corporate+ Rates'!BS30</f>
        <v>0</v>
      </c>
      <c r="BT366" s="65">
        <f>'Special Corporate+ Rates'!BT30</f>
        <v>0</v>
      </c>
      <c r="BU366" s="65">
        <f>'Special Corporate+ Rates'!BU30</f>
        <v>0</v>
      </c>
      <c r="BV366" s="65" t="str">
        <f>'Special Corporate+ Rates'!BV30</f>
        <v>Enter the name of the Account here</v>
      </c>
      <c r="BW366" s="65">
        <f>'Special Corporate+ Rates'!BW30</f>
        <v>0</v>
      </c>
      <c r="BX366" s="65">
        <f>'Special Corporate+ Rates'!BX30</f>
        <v>0</v>
      </c>
      <c r="BY366" s="65">
        <f>'Special Corporate+ Rates'!BY30</f>
        <v>0</v>
      </c>
      <c r="BZ366" s="65">
        <f>'Special Corporate+ Rates'!BZ30</f>
        <v>0</v>
      </c>
      <c r="CA366" s="65" t="str">
        <f>'Special Corporate+ Rates'!CA30</f>
        <v>Enter the name of the Account here</v>
      </c>
      <c r="CB366" s="65">
        <f>'Special Corporate+ Rates'!CB30</f>
        <v>0</v>
      </c>
      <c r="CC366" s="65">
        <f>'Special Corporate+ Rates'!CC30</f>
        <v>0</v>
      </c>
      <c r="CD366" s="65">
        <f>'Special Corporate+ Rates'!CD30</f>
        <v>0</v>
      </c>
      <c r="CE366" s="65">
        <f>'Special Corporate+ Rates'!CE30</f>
        <v>0</v>
      </c>
      <c r="CF366" s="65" t="str">
        <f>'Special Corporate+ Rates'!CF30</f>
        <v>Enter the name of the Account here</v>
      </c>
      <c r="CG366" s="65">
        <f>'Special Corporate+ Rates'!CG30</f>
        <v>0</v>
      </c>
      <c r="CH366" s="65">
        <f>'Special Corporate+ Rates'!CH30</f>
        <v>0</v>
      </c>
      <c r="CI366" s="65">
        <f>'Special Corporate+ Rates'!CI30</f>
        <v>0</v>
      </c>
      <c r="CJ366" s="65">
        <f>'Special Corporate+ Rates'!CJ30</f>
        <v>0</v>
      </c>
      <c r="CK366" s="65" t="str">
        <f>'Special Corporate+ Rates'!CK30</f>
        <v>Enter the name of the Account here</v>
      </c>
      <c r="CL366" s="65">
        <f>'Special Corporate+ Rates'!CL30</f>
        <v>0</v>
      </c>
      <c r="CM366" s="65">
        <f>'Special Corporate+ Rates'!CM30</f>
        <v>0</v>
      </c>
      <c r="CN366" s="65">
        <f>'Special Corporate+ Rates'!CN30</f>
        <v>0</v>
      </c>
      <c r="CO366" s="65">
        <f>'Special Corporate+ Rates'!CO30</f>
        <v>0</v>
      </c>
      <c r="CP366" s="65" t="str">
        <f>'Special Corporate+ Rates'!CP30</f>
        <v>Enter the name of the Account here</v>
      </c>
      <c r="CQ366" s="65">
        <f>'Special Corporate+ Rates'!CQ30</f>
        <v>0</v>
      </c>
      <c r="CR366" s="65">
        <f>'Special Corporate+ Rates'!CR30</f>
        <v>0</v>
      </c>
      <c r="CS366" s="65">
        <f>'Special Corporate+ Rates'!CS30</f>
        <v>0</v>
      </c>
      <c r="CT366" s="65">
        <f>'Special Corporate+ Rates'!CT30</f>
        <v>0</v>
      </c>
      <c r="CU366" s="65" t="str">
        <f>'Special Corporate+ Rates'!CU30</f>
        <v>Enter the name of the Account here</v>
      </c>
      <c r="CV366" s="65">
        <f>'Special Corporate+ Rates'!CV30</f>
        <v>0</v>
      </c>
      <c r="CW366" s="65">
        <f>'Special Corporate+ Rates'!CW30</f>
        <v>0</v>
      </c>
      <c r="CX366" s="65">
        <f>'Special Corporate+ Rates'!CX30</f>
        <v>0</v>
      </c>
      <c r="CY366" s="65">
        <f>'Special Corporate+ Rates'!CY30</f>
        <v>0</v>
      </c>
      <c r="CZ366" s="65" t="str">
        <f>'Special Corporate+ Rates'!CZ30</f>
        <v>Enter the name of the Account here</v>
      </c>
      <c r="DA366" s="65">
        <f>'Special Corporate+ Rates'!DA30</f>
        <v>0</v>
      </c>
      <c r="DB366" s="65">
        <f>'Special Corporate+ Rates'!DB30</f>
        <v>0</v>
      </c>
      <c r="DC366" s="65">
        <f>'Special Corporate+ Rates'!DC30</f>
        <v>0</v>
      </c>
      <c r="DD366" s="65">
        <f>'Special Corporate+ Rates'!DD30</f>
        <v>0</v>
      </c>
      <c r="DE366" s="65" t="str">
        <f>'Special Corporate+ Rates'!DE30</f>
        <v>Enter the name of the Account here</v>
      </c>
      <c r="DF366" s="65">
        <f>'Special Corporate+ Rates'!DF30</f>
        <v>0</v>
      </c>
      <c r="DG366" s="65">
        <f>'Special Corporate+ Rates'!DG30</f>
        <v>0</v>
      </c>
      <c r="DH366" s="65">
        <f>'Special Corporate+ Rates'!DH30</f>
        <v>0</v>
      </c>
      <c r="DI366" s="65">
        <f>'Special Corporate+ Rates'!DI30</f>
        <v>0</v>
      </c>
      <c r="DJ366" s="65" t="str">
        <f>'Special Corporate+ Rates'!DJ30</f>
        <v>Enter the name of the Account here</v>
      </c>
      <c r="DK366" s="65">
        <f>'Special Corporate+ Rates'!DK30</f>
        <v>0</v>
      </c>
      <c r="DL366" s="65">
        <f>'Special Corporate+ Rates'!DL30</f>
        <v>0</v>
      </c>
      <c r="DM366" s="65">
        <f>'Special Corporate+ Rates'!DM30</f>
        <v>0</v>
      </c>
      <c r="DN366" s="65">
        <f>'Special Corporate+ Rates'!DN30</f>
        <v>0</v>
      </c>
      <c r="DO366" s="65" t="str">
        <f>'Special Corporate+ Rates'!DO30</f>
        <v>Enter the name of the Account here</v>
      </c>
      <c r="DP366" s="65">
        <f>'Special Corporate+ Rates'!DP30</f>
        <v>0</v>
      </c>
      <c r="DQ366" s="65">
        <f>'Special Corporate+ Rates'!DQ30</f>
        <v>0</v>
      </c>
      <c r="DR366" s="65">
        <f>'Special Corporate+ Rates'!DR30</f>
        <v>0</v>
      </c>
      <c r="DS366" s="65">
        <f>'Special Corporate+ Rates'!DS30</f>
        <v>0</v>
      </c>
      <c r="DT366" s="65" t="str">
        <f>'Special Corporate+ Rates'!DT30</f>
        <v>Enter the name of the Account here</v>
      </c>
      <c r="DU366" s="65">
        <f>'Special Corporate+ Rates'!DU30</f>
        <v>0</v>
      </c>
      <c r="DV366" s="65">
        <f>'Special Corporate+ Rates'!DV30</f>
        <v>0</v>
      </c>
      <c r="DW366" s="65">
        <f>'Special Corporate+ Rates'!DW30</f>
        <v>0</v>
      </c>
      <c r="DX366" s="65">
        <f>'Special Corporate+ Rates'!DX30</f>
        <v>0</v>
      </c>
      <c r="DY366" s="68"/>
    </row>
    <row r="367" spans="1:129" x14ac:dyDescent="0.2">
      <c r="A367" s="152"/>
      <c r="B367" s="65" t="str">
        <f>'Special Corporate+ Rates'!B31</f>
        <v>Availability</v>
      </c>
      <c r="C367" s="65">
        <f>'Special Corporate+ Rates'!C31</f>
        <v>0</v>
      </c>
      <c r="D367" s="65">
        <f>'Special Corporate+ Rates'!D31</f>
        <v>0</v>
      </c>
      <c r="E367" s="65">
        <f>'Special Corporate+ Rates'!E31</f>
        <v>0</v>
      </c>
      <c r="F367" s="65">
        <f>'Special Corporate+ Rates'!F31</f>
        <v>0</v>
      </c>
      <c r="G367" s="65">
        <f>'Special Corporate+ Rates'!G31</f>
        <v>0</v>
      </c>
      <c r="H367" s="65">
        <f>'Special Corporate+ Rates'!H31</f>
        <v>0</v>
      </c>
      <c r="I367" s="65">
        <f>'Special Corporate+ Rates'!I31</f>
        <v>0</v>
      </c>
      <c r="J367" s="65">
        <f>'Special Corporate+ Rates'!J31</f>
        <v>0</v>
      </c>
      <c r="K367" s="65">
        <f>'Special Corporate+ Rates'!K31</f>
        <v>0</v>
      </c>
      <c r="L367" s="65">
        <f>'Special Corporate+ Rates'!L31</f>
        <v>0</v>
      </c>
      <c r="M367" s="65">
        <f>'Special Corporate+ Rates'!M31</f>
        <v>0</v>
      </c>
      <c r="N367" s="65">
        <f>'Special Corporate+ Rates'!N31</f>
        <v>0</v>
      </c>
      <c r="O367" s="65">
        <f>'Special Corporate+ Rates'!O31</f>
        <v>0</v>
      </c>
      <c r="P367" s="65">
        <f>'Special Corporate+ Rates'!P31</f>
        <v>0</v>
      </c>
      <c r="Q367" s="65">
        <f>'Special Corporate+ Rates'!Q31</f>
        <v>0</v>
      </c>
      <c r="R367" s="65">
        <f>'Special Corporate+ Rates'!R31</f>
        <v>0</v>
      </c>
      <c r="S367" s="65">
        <f>'Special Corporate+ Rates'!S31</f>
        <v>0</v>
      </c>
      <c r="T367" s="65">
        <f>'Special Corporate+ Rates'!T31</f>
        <v>0</v>
      </c>
      <c r="U367" s="65">
        <f>'Special Corporate+ Rates'!U31</f>
        <v>0</v>
      </c>
      <c r="V367" s="65">
        <f>'Special Corporate+ Rates'!V31</f>
        <v>0</v>
      </c>
      <c r="W367" s="65">
        <f>'Special Corporate+ Rates'!W31</f>
        <v>0</v>
      </c>
      <c r="X367" s="65">
        <f>'Special Corporate+ Rates'!X31</f>
        <v>0</v>
      </c>
      <c r="Y367" s="65">
        <f>'Special Corporate+ Rates'!Y31</f>
        <v>0</v>
      </c>
      <c r="Z367" s="65">
        <f>'Special Corporate+ Rates'!Z31</f>
        <v>0</v>
      </c>
      <c r="AA367" s="65">
        <f>'Special Corporate+ Rates'!AA31</f>
        <v>0</v>
      </c>
      <c r="AB367" s="65">
        <f>'Special Corporate+ Rates'!AB31</f>
        <v>0</v>
      </c>
      <c r="AC367" s="65">
        <f>'Special Corporate+ Rates'!AC31</f>
        <v>0</v>
      </c>
      <c r="AD367" s="65">
        <f>'Special Corporate+ Rates'!AD31</f>
        <v>0</v>
      </c>
      <c r="AE367" s="65">
        <f>'Special Corporate+ Rates'!AE31</f>
        <v>0</v>
      </c>
      <c r="AF367" s="65">
        <f>'Special Corporate+ Rates'!AF31</f>
        <v>0</v>
      </c>
      <c r="AG367" s="65">
        <f>'Special Corporate+ Rates'!AG31</f>
        <v>0</v>
      </c>
      <c r="AH367" s="65">
        <f>'Special Corporate+ Rates'!AH31</f>
        <v>0</v>
      </c>
      <c r="AI367" s="65">
        <f>'Special Corporate+ Rates'!AI31</f>
        <v>0</v>
      </c>
      <c r="AJ367" s="65">
        <f>'Special Corporate+ Rates'!AJ31</f>
        <v>0</v>
      </c>
      <c r="AK367" s="65">
        <f>'Special Corporate+ Rates'!AK31</f>
        <v>0</v>
      </c>
      <c r="AL367" s="65">
        <f>'Special Corporate+ Rates'!AL31</f>
        <v>0</v>
      </c>
      <c r="AM367" s="65">
        <f>'Special Corporate+ Rates'!AM31</f>
        <v>0</v>
      </c>
      <c r="AN367" s="65">
        <f>'Special Corporate+ Rates'!AN31</f>
        <v>0</v>
      </c>
      <c r="AO367" s="65">
        <f>'Special Corporate+ Rates'!AO31</f>
        <v>0</v>
      </c>
      <c r="AP367" s="65">
        <f>'Special Corporate+ Rates'!AP31</f>
        <v>0</v>
      </c>
      <c r="AQ367" s="65">
        <f>'Special Corporate+ Rates'!AQ31</f>
        <v>0</v>
      </c>
      <c r="AR367" s="65">
        <f>'Special Corporate+ Rates'!AR31</f>
        <v>0</v>
      </c>
      <c r="AS367" s="65">
        <f>'Special Corporate+ Rates'!AS31</f>
        <v>0</v>
      </c>
      <c r="AT367" s="65">
        <f>'Special Corporate+ Rates'!AT31</f>
        <v>0</v>
      </c>
      <c r="AU367" s="65">
        <f>'Special Corporate+ Rates'!AU31</f>
        <v>0</v>
      </c>
      <c r="AV367" s="65">
        <f>'Special Corporate+ Rates'!AV31</f>
        <v>0</v>
      </c>
      <c r="AW367" s="65">
        <f>'Special Corporate+ Rates'!AW31</f>
        <v>0</v>
      </c>
      <c r="AX367" s="65">
        <f>'Special Corporate+ Rates'!AX31</f>
        <v>0</v>
      </c>
      <c r="AY367" s="65">
        <f>'Special Corporate+ Rates'!AY31</f>
        <v>0</v>
      </c>
      <c r="AZ367" s="65">
        <f>'Special Corporate+ Rates'!AZ31</f>
        <v>0</v>
      </c>
      <c r="BA367" s="65">
        <f>'Special Corporate+ Rates'!BA31</f>
        <v>0</v>
      </c>
      <c r="BB367" s="65">
        <f>'Special Corporate+ Rates'!BB31</f>
        <v>0</v>
      </c>
      <c r="BC367" s="65">
        <f>'Special Corporate+ Rates'!BC31</f>
        <v>0</v>
      </c>
      <c r="BD367" s="65">
        <f>'Special Corporate+ Rates'!BD31</f>
        <v>0</v>
      </c>
      <c r="BE367" s="65">
        <f>'Special Corporate+ Rates'!BE31</f>
        <v>0</v>
      </c>
      <c r="BF367" s="65">
        <f>'Special Corporate+ Rates'!BF31</f>
        <v>0</v>
      </c>
      <c r="BG367" s="65">
        <f>'Special Corporate+ Rates'!BG31</f>
        <v>0</v>
      </c>
      <c r="BH367" s="65">
        <f>'Special Corporate+ Rates'!BH31</f>
        <v>0</v>
      </c>
      <c r="BI367" s="65">
        <f>'Special Corporate+ Rates'!BI31</f>
        <v>0</v>
      </c>
      <c r="BJ367" s="65">
        <f>'Special Corporate+ Rates'!BJ31</f>
        <v>0</v>
      </c>
      <c r="BK367" s="65">
        <f>'Special Corporate+ Rates'!BK31</f>
        <v>0</v>
      </c>
      <c r="BL367" s="65">
        <f>'Special Corporate+ Rates'!BL31</f>
        <v>0</v>
      </c>
      <c r="BM367" s="65">
        <f>'Special Corporate+ Rates'!BM31</f>
        <v>0</v>
      </c>
      <c r="BN367" s="65">
        <f>'Special Corporate+ Rates'!BN31</f>
        <v>0</v>
      </c>
      <c r="BO367" s="65">
        <f>'Special Corporate+ Rates'!BO31</f>
        <v>0</v>
      </c>
      <c r="BP367" s="65">
        <f>'Special Corporate+ Rates'!BP31</f>
        <v>0</v>
      </c>
      <c r="BQ367" s="65">
        <f>'Special Corporate+ Rates'!BQ31</f>
        <v>0</v>
      </c>
      <c r="BR367" s="65">
        <f>'Special Corporate+ Rates'!BR31</f>
        <v>0</v>
      </c>
      <c r="BS367" s="65">
        <f>'Special Corporate+ Rates'!BS31</f>
        <v>0</v>
      </c>
      <c r="BT367" s="65">
        <f>'Special Corporate+ Rates'!BT31</f>
        <v>0</v>
      </c>
      <c r="BU367" s="65">
        <f>'Special Corporate+ Rates'!BU31</f>
        <v>0</v>
      </c>
      <c r="BV367" s="65">
        <f>'Special Corporate+ Rates'!BV31</f>
        <v>0</v>
      </c>
      <c r="BW367" s="65">
        <f>'Special Corporate+ Rates'!BW31</f>
        <v>0</v>
      </c>
      <c r="BX367" s="65">
        <f>'Special Corporate+ Rates'!BX31</f>
        <v>0</v>
      </c>
      <c r="BY367" s="65">
        <f>'Special Corporate+ Rates'!BY31</f>
        <v>0</v>
      </c>
      <c r="BZ367" s="65">
        <f>'Special Corporate+ Rates'!BZ31</f>
        <v>0</v>
      </c>
      <c r="CA367" s="65">
        <f>'Special Corporate+ Rates'!CA31</f>
        <v>0</v>
      </c>
      <c r="CB367" s="65">
        <f>'Special Corporate+ Rates'!CB31</f>
        <v>0</v>
      </c>
      <c r="CC367" s="65">
        <f>'Special Corporate+ Rates'!CC31</f>
        <v>0</v>
      </c>
      <c r="CD367" s="65">
        <f>'Special Corporate+ Rates'!CD31</f>
        <v>0</v>
      </c>
      <c r="CE367" s="65">
        <f>'Special Corporate+ Rates'!CE31</f>
        <v>0</v>
      </c>
      <c r="CF367" s="65">
        <f>'Special Corporate+ Rates'!CF31</f>
        <v>0</v>
      </c>
      <c r="CG367" s="65">
        <f>'Special Corporate+ Rates'!CG31</f>
        <v>0</v>
      </c>
      <c r="CH367" s="65">
        <f>'Special Corporate+ Rates'!CH31</f>
        <v>0</v>
      </c>
      <c r="CI367" s="65">
        <f>'Special Corporate+ Rates'!CI31</f>
        <v>0</v>
      </c>
      <c r="CJ367" s="65">
        <f>'Special Corporate+ Rates'!CJ31</f>
        <v>0</v>
      </c>
      <c r="CK367" s="65">
        <f>'Special Corporate+ Rates'!CK31</f>
        <v>0</v>
      </c>
      <c r="CL367" s="65">
        <f>'Special Corporate+ Rates'!CL31</f>
        <v>0</v>
      </c>
      <c r="CM367" s="65">
        <f>'Special Corporate+ Rates'!CM31</f>
        <v>0</v>
      </c>
      <c r="CN367" s="65">
        <f>'Special Corporate+ Rates'!CN31</f>
        <v>0</v>
      </c>
      <c r="CO367" s="65">
        <f>'Special Corporate+ Rates'!CO31</f>
        <v>0</v>
      </c>
      <c r="CP367" s="65">
        <f>'Special Corporate+ Rates'!CP31</f>
        <v>0</v>
      </c>
      <c r="CQ367" s="65">
        <f>'Special Corporate+ Rates'!CQ31</f>
        <v>0</v>
      </c>
      <c r="CR367" s="65">
        <f>'Special Corporate+ Rates'!CR31</f>
        <v>0</v>
      </c>
      <c r="CS367" s="65">
        <f>'Special Corporate+ Rates'!CS31</f>
        <v>0</v>
      </c>
      <c r="CT367" s="65">
        <f>'Special Corporate+ Rates'!CT31</f>
        <v>0</v>
      </c>
      <c r="CU367" s="65">
        <f>'Special Corporate+ Rates'!CU31</f>
        <v>0</v>
      </c>
      <c r="CV367" s="65">
        <f>'Special Corporate+ Rates'!CV31</f>
        <v>0</v>
      </c>
      <c r="CW367" s="65">
        <f>'Special Corporate+ Rates'!CW31</f>
        <v>0</v>
      </c>
      <c r="CX367" s="65">
        <f>'Special Corporate+ Rates'!CX31</f>
        <v>0</v>
      </c>
      <c r="CY367" s="65">
        <f>'Special Corporate+ Rates'!CY31</f>
        <v>0</v>
      </c>
      <c r="CZ367" s="65">
        <f>'Special Corporate+ Rates'!CZ31</f>
        <v>0</v>
      </c>
      <c r="DA367" s="65">
        <f>'Special Corporate+ Rates'!DA31</f>
        <v>0</v>
      </c>
      <c r="DB367" s="65">
        <f>'Special Corporate+ Rates'!DB31</f>
        <v>0</v>
      </c>
      <c r="DC367" s="65">
        <f>'Special Corporate+ Rates'!DC31</f>
        <v>0</v>
      </c>
      <c r="DD367" s="65">
        <f>'Special Corporate+ Rates'!DD31</f>
        <v>0</v>
      </c>
      <c r="DE367" s="65">
        <f>'Special Corporate+ Rates'!DE31</f>
        <v>0</v>
      </c>
      <c r="DF367" s="65">
        <f>'Special Corporate+ Rates'!DF31</f>
        <v>0</v>
      </c>
      <c r="DG367" s="65">
        <f>'Special Corporate+ Rates'!DG31</f>
        <v>0</v>
      </c>
      <c r="DH367" s="65">
        <f>'Special Corporate+ Rates'!DH31</f>
        <v>0</v>
      </c>
      <c r="DI367" s="65">
        <f>'Special Corporate+ Rates'!DI31</f>
        <v>0</v>
      </c>
      <c r="DJ367" s="65">
        <f>'Special Corporate+ Rates'!DJ31</f>
        <v>0</v>
      </c>
      <c r="DK367" s="65">
        <f>'Special Corporate+ Rates'!DK31</f>
        <v>0</v>
      </c>
      <c r="DL367" s="65">
        <f>'Special Corporate+ Rates'!DL31</f>
        <v>0</v>
      </c>
      <c r="DM367" s="65">
        <f>'Special Corporate+ Rates'!DM31</f>
        <v>0</v>
      </c>
      <c r="DN367" s="65">
        <f>'Special Corporate+ Rates'!DN31</f>
        <v>0</v>
      </c>
      <c r="DO367" s="65">
        <f>'Special Corporate+ Rates'!DO31</f>
        <v>0</v>
      </c>
      <c r="DP367" s="65">
        <f>'Special Corporate+ Rates'!DP31</f>
        <v>0</v>
      </c>
      <c r="DQ367" s="65">
        <f>'Special Corporate+ Rates'!DQ31</f>
        <v>0</v>
      </c>
      <c r="DR367" s="65">
        <f>'Special Corporate+ Rates'!DR31</f>
        <v>0</v>
      </c>
      <c r="DS367" s="65">
        <f>'Special Corporate+ Rates'!DS31</f>
        <v>0</v>
      </c>
      <c r="DT367" s="65">
        <f>'Special Corporate+ Rates'!DT31</f>
        <v>0</v>
      </c>
      <c r="DU367" s="65">
        <f>'Special Corporate+ Rates'!DU31</f>
        <v>0</v>
      </c>
      <c r="DV367" s="65">
        <f>'Special Corporate+ Rates'!DV31</f>
        <v>0</v>
      </c>
      <c r="DW367" s="65">
        <f>'Special Corporate+ Rates'!DW31</f>
        <v>0</v>
      </c>
      <c r="DX367" s="65">
        <f>'Special Corporate+ Rates'!DX31</f>
        <v>0</v>
      </c>
      <c r="DY367" s="68"/>
    </row>
    <row r="368" spans="1:129" x14ac:dyDescent="0.2">
      <c r="A368" s="152"/>
      <c r="B368" s="65" t="str">
        <f>'Special Corporate+ Rates'!B32</f>
        <v>Commissionable</v>
      </c>
      <c r="C368" s="65">
        <f>'Special Corporate+ Rates'!C32</f>
        <v>0</v>
      </c>
      <c r="D368" s="65" t="str">
        <f>'Special Corporate+ Rates'!D32</f>
        <v>NO</v>
      </c>
      <c r="E368" s="65">
        <f>'Special Corporate+ Rates'!E32</f>
        <v>0</v>
      </c>
      <c r="F368" s="65">
        <f>'Special Corporate+ Rates'!F32</f>
        <v>0</v>
      </c>
      <c r="G368" s="65">
        <f>'Special Corporate+ Rates'!G32</f>
        <v>0</v>
      </c>
      <c r="H368" s="65">
        <f>'Special Corporate+ Rates'!H32</f>
        <v>0</v>
      </c>
      <c r="I368" s="65" t="str">
        <f>'Special Corporate+ Rates'!I32</f>
        <v>NO</v>
      </c>
      <c r="J368" s="65">
        <f>'Special Corporate+ Rates'!J32</f>
        <v>0</v>
      </c>
      <c r="K368" s="65">
        <f>'Special Corporate+ Rates'!K32</f>
        <v>0</v>
      </c>
      <c r="L368" s="65">
        <f>'Special Corporate+ Rates'!L32</f>
        <v>0</v>
      </c>
      <c r="M368" s="65">
        <f>'Special Corporate+ Rates'!M32</f>
        <v>0</v>
      </c>
      <c r="N368" s="65" t="str">
        <f>'Special Corporate+ Rates'!N32</f>
        <v>NO</v>
      </c>
      <c r="O368" s="65">
        <f>'Special Corporate+ Rates'!O32</f>
        <v>0</v>
      </c>
      <c r="P368" s="65">
        <f>'Special Corporate+ Rates'!P32</f>
        <v>0</v>
      </c>
      <c r="Q368" s="65">
        <f>'Special Corporate+ Rates'!Q32</f>
        <v>0</v>
      </c>
      <c r="R368" s="65">
        <f>'Special Corporate+ Rates'!R32</f>
        <v>0</v>
      </c>
      <c r="S368" s="65" t="str">
        <f>'Special Corporate+ Rates'!S32</f>
        <v>NO</v>
      </c>
      <c r="T368" s="65">
        <f>'Special Corporate+ Rates'!T32</f>
        <v>0</v>
      </c>
      <c r="U368" s="65">
        <f>'Special Corporate+ Rates'!U32</f>
        <v>0</v>
      </c>
      <c r="V368" s="65">
        <f>'Special Corporate+ Rates'!V32</f>
        <v>0</v>
      </c>
      <c r="W368" s="65">
        <f>'Special Corporate+ Rates'!W32</f>
        <v>0</v>
      </c>
      <c r="X368" s="65" t="str">
        <f>'Special Corporate+ Rates'!X32</f>
        <v>NO</v>
      </c>
      <c r="Y368" s="65">
        <f>'Special Corporate+ Rates'!Y32</f>
        <v>0</v>
      </c>
      <c r="Z368" s="65">
        <f>'Special Corporate+ Rates'!Z32</f>
        <v>0</v>
      </c>
      <c r="AA368" s="65">
        <f>'Special Corporate+ Rates'!AA32</f>
        <v>0</v>
      </c>
      <c r="AB368" s="65">
        <f>'Special Corporate+ Rates'!AB32</f>
        <v>0</v>
      </c>
      <c r="AC368" s="65" t="str">
        <f>'Special Corporate+ Rates'!AC32</f>
        <v>NO</v>
      </c>
      <c r="AD368" s="65">
        <f>'Special Corporate+ Rates'!AD32</f>
        <v>0</v>
      </c>
      <c r="AE368" s="65">
        <f>'Special Corporate+ Rates'!AE32</f>
        <v>0</v>
      </c>
      <c r="AF368" s="65">
        <f>'Special Corporate+ Rates'!AF32</f>
        <v>0</v>
      </c>
      <c r="AG368" s="65">
        <f>'Special Corporate+ Rates'!AG32</f>
        <v>0</v>
      </c>
      <c r="AH368" s="65" t="str">
        <f>'Special Corporate+ Rates'!AH32</f>
        <v>NO</v>
      </c>
      <c r="AI368" s="65">
        <f>'Special Corporate+ Rates'!AI32</f>
        <v>0</v>
      </c>
      <c r="AJ368" s="65">
        <f>'Special Corporate+ Rates'!AJ32</f>
        <v>0</v>
      </c>
      <c r="AK368" s="65">
        <f>'Special Corporate+ Rates'!AK32</f>
        <v>0</v>
      </c>
      <c r="AL368" s="65">
        <f>'Special Corporate+ Rates'!AL32</f>
        <v>0</v>
      </c>
      <c r="AM368" s="65" t="str">
        <f>'Special Corporate+ Rates'!AM32</f>
        <v>NO</v>
      </c>
      <c r="AN368" s="65">
        <f>'Special Corporate+ Rates'!AN32</f>
        <v>0</v>
      </c>
      <c r="AO368" s="65">
        <f>'Special Corporate+ Rates'!AO32</f>
        <v>0</v>
      </c>
      <c r="AP368" s="65">
        <f>'Special Corporate+ Rates'!AP32</f>
        <v>0</v>
      </c>
      <c r="AQ368" s="65">
        <f>'Special Corporate+ Rates'!AQ32</f>
        <v>0</v>
      </c>
      <c r="AR368" s="65" t="str">
        <f>'Special Corporate+ Rates'!AR32</f>
        <v>NO</v>
      </c>
      <c r="AS368" s="65">
        <f>'Special Corporate+ Rates'!AS32</f>
        <v>0</v>
      </c>
      <c r="AT368" s="65">
        <f>'Special Corporate+ Rates'!AT32</f>
        <v>0</v>
      </c>
      <c r="AU368" s="65">
        <f>'Special Corporate+ Rates'!AU32</f>
        <v>0</v>
      </c>
      <c r="AV368" s="65">
        <f>'Special Corporate+ Rates'!AV32</f>
        <v>0</v>
      </c>
      <c r="AW368" s="65" t="str">
        <f>'Special Corporate+ Rates'!AW32</f>
        <v>NO</v>
      </c>
      <c r="AX368" s="65">
        <f>'Special Corporate+ Rates'!AX32</f>
        <v>0</v>
      </c>
      <c r="AY368" s="65">
        <f>'Special Corporate+ Rates'!AY32</f>
        <v>0</v>
      </c>
      <c r="AZ368" s="65">
        <f>'Special Corporate+ Rates'!AZ32</f>
        <v>0</v>
      </c>
      <c r="BA368" s="65">
        <f>'Special Corporate+ Rates'!BA32</f>
        <v>0</v>
      </c>
      <c r="BB368" s="65" t="str">
        <f>'Special Corporate+ Rates'!BB32</f>
        <v>NO</v>
      </c>
      <c r="BC368" s="65">
        <f>'Special Corporate+ Rates'!BC32</f>
        <v>0</v>
      </c>
      <c r="BD368" s="65">
        <f>'Special Corporate+ Rates'!BD32</f>
        <v>0</v>
      </c>
      <c r="BE368" s="65">
        <f>'Special Corporate+ Rates'!BE32</f>
        <v>0</v>
      </c>
      <c r="BF368" s="65">
        <f>'Special Corporate+ Rates'!BF32</f>
        <v>0</v>
      </c>
      <c r="BG368" s="65" t="str">
        <f>'Special Corporate+ Rates'!BG32</f>
        <v>NO</v>
      </c>
      <c r="BH368" s="65">
        <f>'Special Corporate+ Rates'!BH32</f>
        <v>0</v>
      </c>
      <c r="BI368" s="65">
        <f>'Special Corporate+ Rates'!BI32</f>
        <v>0</v>
      </c>
      <c r="BJ368" s="65">
        <f>'Special Corporate+ Rates'!BJ32</f>
        <v>0</v>
      </c>
      <c r="BK368" s="65">
        <f>'Special Corporate+ Rates'!BK32</f>
        <v>0</v>
      </c>
      <c r="BL368" s="65" t="str">
        <f>'Special Corporate+ Rates'!BL32</f>
        <v>NO</v>
      </c>
      <c r="BM368" s="65">
        <f>'Special Corporate+ Rates'!BM32</f>
        <v>0</v>
      </c>
      <c r="BN368" s="65">
        <f>'Special Corporate+ Rates'!BN32</f>
        <v>0</v>
      </c>
      <c r="BO368" s="65">
        <f>'Special Corporate+ Rates'!BO32</f>
        <v>0</v>
      </c>
      <c r="BP368" s="65">
        <f>'Special Corporate+ Rates'!BP32</f>
        <v>0</v>
      </c>
      <c r="BQ368" s="65" t="str">
        <f>'Special Corporate+ Rates'!BQ32</f>
        <v>NO</v>
      </c>
      <c r="BR368" s="65">
        <f>'Special Corporate+ Rates'!BR32</f>
        <v>0</v>
      </c>
      <c r="BS368" s="65">
        <f>'Special Corporate+ Rates'!BS32</f>
        <v>0</v>
      </c>
      <c r="BT368" s="65">
        <f>'Special Corporate+ Rates'!BT32</f>
        <v>0</v>
      </c>
      <c r="BU368" s="65">
        <f>'Special Corporate+ Rates'!BU32</f>
        <v>0</v>
      </c>
      <c r="BV368" s="65" t="str">
        <f>'Special Corporate+ Rates'!BV32</f>
        <v>NO</v>
      </c>
      <c r="BW368" s="65">
        <f>'Special Corporate+ Rates'!BW32</f>
        <v>0</v>
      </c>
      <c r="BX368" s="65">
        <f>'Special Corporate+ Rates'!BX32</f>
        <v>0</v>
      </c>
      <c r="BY368" s="65">
        <f>'Special Corporate+ Rates'!BY32</f>
        <v>0</v>
      </c>
      <c r="BZ368" s="65">
        <f>'Special Corporate+ Rates'!BZ32</f>
        <v>0</v>
      </c>
      <c r="CA368" s="65" t="str">
        <f>'Special Corporate+ Rates'!CA32</f>
        <v>NO</v>
      </c>
      <c r="CB368" s="65">
        <f>'Special Corporate+ Rates'!CB32</f>
        <v>0</v>
      </c>
      <c r="CC368" s="65">
        <f>'Special Corporate+ Rates'!CC32</f>
        <v>0</v>
      </c>
      <c r="CD368" s="65">
        <f>'Special Corporate+ Rates'!CD32</f>
        <v>0</v>
      </c>
      <c r="CE368" s="65">
        <f>'Special Corporate+ Rates'!CE32</f>
        <v>0</v>
      </c>
      <c r="CF368" s="65" t="str">
        <f>'Special Corporate+ Rates'!CF32</f>
        <v>NO</v>
      </c>
      <c r="CG368" s="65">
        <f>'Special Corporate+ Rates'!CG32</f>
        <v>0</v>
      </c>
      <c r="CH368" s="65">
        <f>'Special Corporate+ Rates'!CH32</f>
        <v>0</v>
      </c>
      <c r="CI368" s="65">
        <f>'Special Corporate+ Rates'!CI32</f>
        <v>0</v>
      </c>
      <c r="CJ368" s="65">
        <f>'Special Corporate+ Rates'!CJ32</f>
        <v>0</v>
      </c>
      <c r="CK368" s="65" t="str">
        <f>'Special Corporate+ Rates'!CK32</f>
        <v>NO</v>
      </c>
      <c r="CL368" s="65">
        <f>'Special Corporate+ Rates'!CL32</f>
        <v>0</v>
      </c>
      <c r="CM368" s="65">
        <f>'Special Corporate+ Rates'!CM32</f>
        <v>0</v>
      </c>
      <c r="CN368" s="65">
        <f>'Special Corporate+ Rates'!CN32</f>
        <v>0</v>
      </c>
      <c r="CO368" s="65">
        <f>'Special Corporate+ Rates'!CO32</f>
        <v>0</v>
      </c>
      <c r="CP368" s="65" t="str">
        <f>'Special Corporate+ Rates'!CP32</f>
        <v>NO</v>
      </c>
      <c r="CQ368" s="65">
        <f>'Special Corporate+ Rates'!CQ32</f>
        <v>0</v>
      </c>
      <c r="CR368" s="65">
        <f>'Special Corporate+ Rates'!CR32</f>
        <v>0</v>
      </c>
      <c r="CS368" s="65">
        <f>'Special Corporate+ Rates'!CS32</f>
        <v>0</v>
      </c>
      <c r="CT368" s="65">
        <f>'Special Corporate+ Rates'!CT32</f>
        <v>0</v>
      </c>
      <c r="CU368" s="65" t="str">
        <f>'Special Corporate+ Rates'!CU32</f>
        <v>NO</v>
      </c>
      <c r="CV368" s="65">
        <f>'Special Corporate+ Rates'!CV32</f>
        <v>0</v>
      </c>
      <c r="CW368" s="65">
        <f>'Special Corporate+ Rates'!CW32</f>
        <v>0</v>
      </c>
      <c r="CX368" s="65">
        <f>'Special Corporate+ Rates'!CX32</f>
        <v>0</v>
      </c>
      <c r="CY368" s="65">
        <f>'Special Corporate+ Rates'!CY32</f>
        <v>0</v>
      </c>
      <c r="CZ368" s="65" t="str">
        <f>'Special Corporate+ Rates'!CZ32</f>
        <v>NO</v>
      </c>
      <c r="DA368" s="65">
        <f>'Special Corporate+ Rates'!DA32</f>
        <v>0</v>
      </c>
      <c r="DB368" s="65">
        <f>'Special Corporate+ Rates'!DB32</f>
        <v>0</v>
      </c>
      <c r="DC368" s="65">
        <f>'Special Corporate+ Rates'!DC32</f>
        <v>0</v>
      </c>
      <c r="DD368" s="65">
        <f>'Special Corporate+ Rates'!DD32</f>
        <v>0</v>
      </c>
      <c r="DE368" s="65" t="str">
        <f>'Special Corporate+ Rates'!DE32</f>
        <v>NO</v>
      </c>
      <c r="DF368" s="65">
        <f>'Special Corporate+ Rates'!DF32</f>
        <v>0</v>
      </c>
      <c r="DG368" s="65">
        <f>'Special Corporate+ Rates'!DG32</f>
        <v>0</v>
      </c>
      <c r="DH368" s="65">
        <f>'Special Corporate+ Rates'!DH32</f>
        <v>0</v>
      </c>
      <c r="DI368" s="65">
        <f>'Special Corporate+ Rates'!DI32</f>
        <v>0</v>
      </c>
      <c r="DJ368" s="65" t="str">
        <f>'Special Corporate+ Rates'!DJ32</f>
        <v>NO</v>
      </c>
      <c r="DK368" s="65">
        <f>'Special Corporate+ Rates'!DK32</f>
        <v>0</v>
      </c>
      <c r="DL368" s="65">
        <f>'Special Corporate+ Rates'!DL32</f>
        <v>0</v>
      </c>
      <c r="DM368" s="65">
        <f>'Special Corporate+ Rates'!DM32</f>
        <v>0</v>
      </c>
      <c r="DN368" s="65">
        <f>'Special Corporate+ Rates'!DN32</f>
        <v>0</v>
      </c>
      <c r="DO368" s="65" t="str">
        <f>'Special Corporate+ Rates'!DO32</f>
        <v>NO</v>
      </c>
      <c r="DP368" s="65">
        <f>'Special Corporate+ Rates'!DP32</f>
        <v>0</v>
      </c>
      <c r="DQ368" s="65">
        <f>'Special Corporate+ Rates'!DQ32</f>
        <v>0</v>
      </c>
      <c r="DR368" s="65">
        <f>'Special Corporate+ Rates'!DR32</f>
        <v>0</v>
      </c>
      <c r="DS368" s="65">
        <f>'Special Corporate+ Rates'!DS32</f>
        <v>0</v>
      </c>
      <c r="DT368" s="65" t="str">
        <f>'Special Corporate+ Rates'!DT32</f>
        <v>NO</v>
      </c>
      <c r="DU368" s="65">
        <f>'Special Corporate+ Rates'!DU32</f>
        <v>0</v>
      </c>
      <c r="DV368" s="65">
        <f>'Special Corporate+ Rates'!DV32</f>
        <v>0</v>
      </c>
      <c r="DW368" s="65">
        <f>'Special Corporate+ Rates'!DW32</f>
        <v>0</v>
      </c>
      <c r="DX368" s="65">
        <f>'Special Corporate+ Rates'!DX32</f>
        <v>0</v>
      </c>
      <c r="DY368" s="68"/>
    </row>
    <row r="369" spans="1:129" x14ac:dyDescent="0.2">
      <c r="A369" s="152"/>
      <c r="B369" s="65" t="str">
        <f>'Special Corporate+ Rates'!B33</f>
        <v>Website (required)</v>
      </c>
      <c r="C369" s="65">
        <f>'Special Corporate+ Rates'!C33</f>
        <v>0</v>
      </c>
      <c r="D369" s="65">
        <f>'Special Corporate+ Rates'!D33</f>
        <v>0</v>
      </c>
      <c r="E369" s="65">
        <f>'Special Corporate+ Rates'!E33</f>
        <v>0</v>
      </c>
      <c r="F369" s="65">
        <f>'Special Corporate+ Rates'!F33</f>
        <v>0</v>
      </c>
      <c r="G369" s="65">
        <f>'Special Corporate+ Rates'!G33</f>
        <v>0</v>
      </c>
      <c r="H369" s="65">
        <f>'Special Corporate+ Rates'!H33</f>
        <v>0</v>
      </c>
      <c r="I369" s="65">
        <f>'Special Corporate+ Rates'!I33</f>
        <v>0</v>
      </c>
      <c r="J369" s="65">
        <f>'Special Corporate+ Rates'!J33</f>
        <v>0</v>
      </c>
      <c r="K369" s="65">
        <f>'Special Corporate+ Rates'!K33</f>
        <v>0</v>
      </c>
      <c r="L369" s="65">
        <f>'Special Corporate+ Rates'!L33</f>
        <v>0</v>
      </c>
      <c r="M369" s="65">
        <f>'Special Corporate+ Rates'!M33</f>
        <v>0</v>
      </c>
      <c r="N369" s="65">
        <f>'Special Corporate+ Rates'!N33</f>
        <v>0</v>
      </c>
      <c r="O369" s="65">
        <f>'Special Corporate+ Rates'!O33</f>
        <v>0</v>
      </c>
      <c r="P369" s="65">
        <f>'Special Corporate+ Rates'!P33</f>
        <v>0</v>
      </c>
      <c r="Q369" s="65">
        <f>'Special Corporate+ Rates'!Q33</f>
        <v>0</v>
      </c>
      <c r="R369" s="65">
        <f>'Special Corporate+ Rates'!R33</f>
        <v>0</v>
      </c>
      <c r="S369" s="65">
        <f>'Special Corporate+ Rates'!S33</f>
        <v>0</v>
      </c>
      <c r="T369" s="65">
        <f>'Special Corporate+ Rates'!T33</f>
        <v>0</v>
      </c>
      <c r="U369" s="65">
        <f>'Special Corporate+ Rates'!U33</f>
        <v>0</v>
      </c>
      <c r="V369" s="65">
        <f>'Special Corporate+ Rates'!V33</f>
        <v>0</v>
      </c>
      <c r="W369" s="65">
        <f>'Special Corporate+ Rates'!W33</f>
        <v>0</v>
      </c>
      <c r="X369" s="65">
        <f>'Special Corporate+ Rates'!X33</f>
        <v>0</v>
      </c>
      <c r="Y369" s="65">
        <f>'Special Corporate+ Rates'!Y33</f>
        <v>0</v>
      </c>
      <c r="Z369" s="65">
        <f>'Special Corporate+ Rates'!Z33</f>
        <v>0</v>
      </c>
      <c r="AA369" s="65">
        <f>'Special Corporate+ Rates'!AA33</f>
        <v>0</v>
      </c>
      <c r="AB369" s="65">
        <f>'Special Corporate+ Rates'!AB33</f>
        <v>0</v>
      </c>
      <c r="AC369" s="65">
        <f>'Special Corporate+ Rates'!AC33</f>
        <v>0</v>
      </c>
      <c r="AD369" s="65">
        <f>'Special Corporate+ Rates'!AD33</f>
        <v>0</v>
      </c>
      <c r="AE369" s="65">
        <f>'Special Corporate+ Rates'!AE33</f>
        <v>0</v>
      </c>
      <c r="AF369" s="65">
        <f>'Special Corporate+ Rates'!AF33</f>
        <v>0</v>
      </c>
      <c r="AG369" s="65">
        <f>'Special Corporate+ Rates'!AG33</f>
        <v>0</v>
      </c>
      <c r="AH369" s="65">
        <f>'Special Corporate+ Rates'!AH33</f>
        <v>0</v>
      </c>
      <c r="AI369" s="65">
        <f>'Special Corporate+ Rates'!AI33</f>
        <v>0</v>
      </c>
      <c r="AJ369" s="65">
        <f>'Special Corporate+ Rates'!AJ33</f>
        <v>0</v>
      </c>
      <c r="AK369" s="65">
        <f>'Special Corporate+ Rates'!AK33</f>
        <v>0</v>
      </c>
      <c r="AL369" s="65">
        <f>'Special Corporate+ Rates'!AL33</f>
        <v>0</v>
      </c>
      <c r="AM369" s="65">
        <f>'Special Corporate+ Rates'!AM33</f>
        <v>0</v>
      </c>
      <c r="AN369" s="65">
        <f>'Special Corporate+ Rates'!AN33</f>
        <v>0</v>
      </c>
      <c r="AO369" s="65">
        <f>'Special Corporate+ Rates'!AO33</f>
        <v>0</v>
      </c>
      <c r="AP369" s="65">
        <f>'Special Corporate+ Rates'!AP33</f>
        <v>0</v>
      </c>
      <c r="AQ369" s="65">
        <f>'Special Corporate+ Rates'!AQ33</f>
        <v>0</v>
      </c>
      <c r="AR369" s="65">
        <f>'Special Corporate+ Rates'!AR33</f>
        <v>0</v>
      </c>
      <c r="AS369" s="65">
        <f>'Special Corporate+ Rates'!AS33</f>
        <v>0</v>
      </c>
      <c r="AT369" s="65">
        <f>'Special Corporate+ Rates'!AT33</f>
        <v>0</v>
      </c>
      <c r="AU369" s="65">
        <f>'Special Corporate+ Rates'!AU33</f>
        <v>0</v>
      </c>
      <c r="AV369" s="65">
        <f>'Special Corporate+ Rates'!AV33</f>
        <v>0</v>
      </c>
      <c r="AW369" s="65">
        <f>'Special Corporate+ Rates'!AW33</f>
        <v>0</v>
      </c>
      <c r="AX369" s="65">
        <f>'Special Corporate+ Rates'!AX33</f>
        <v>0</v>
      </c>
      <c r="AY369" s="65">
        <f>'Special Corporate+ Rates'!AY33</f>
        <v>0</v>
      </c>
      <c r="AZ369" s="65">
        <f>'Special Corporate+ Rates'!AZ33</f>
        <v>0</v>
      </c>
      <c r="BA369" s="65">
        <f>'Special Corporate+ Rates'!BA33</f>
        <v>0</v>
      </c>
      <c r="BB369" s="65">
        <f>'Special Corporate+ Rates'!BB33</f>
        <v>0</v>
      </c>
      <c r="BC369" s="65">
        <f>'Special Corporate+ Rates'!BC33</f>
        <v>0</v>
      </c>
      <c r="BD369" s="65">
        <f>'Special Corporate+ Rates'!BD33</f>
        <v>0</v>
      </c>
      <c r="BE369" s="65">
        <f>'Special Corporate+ Rates'!BE33</f>
        <v>0</v>
      </c>
      <c r="BF369" s="65">
        <f>'Special Corporate+ Rates'!BF33</f>
        <v>0</v>
      </c>
      <c r="BG369" s="65">
        <f>'Special Corporate+ Rates'!BG33</f>
        <v>0</v>
      </c>
      <c r="BH369" s="65">
        <f>'Special Corporate+ Rates'!BH33</f>
        <v>0</v>
      </c>
      <c r="BI369" s="65">
        <f>'Special Corporate+ Rates'!BI33</f>
        <v>0</v>
      </c>
      <c r="BJ369" s="65">
        <f>'Special Corporate+ Rates'!BJ33</f>
        <v>0</v>
      </c>
      <c r="BK369" s="65">
        <f>'Special Corporate+ Rates'!BK33</f>
        <v>0</v>
      </c>
      <c r="BL369" s="65">
        <f>'Special Corporate+ Rates'!BL33</f>
        <v>0</v>
      </c>
      <c r="BM369" s="65">
        <f>'Special Corporate+ Rates'!BM33</f>
        <v>0</v>
      </c>
      <c r="BN369" s="65">
        <f>'Special Corporate+ Rates'!BN33</f>
        <v>0</v>
      </c>
      <c r="BO369" s="65">
        <f>'Special Corporate+ Rates'!BO33</f>
        <v>0</v>
      </c>
      <c r="BP369" s="65">
        <f>'Special Corporate+ Rates'!BP33</f>
        <v>0</v>
      </c>
      <c r="BQ369" s="65">
        <f>'Special Corporate+ Rates'!BQ33</f>
        <v>0</v>
      </c>
      <c r="BR369" s="65">
        <f>'Special Corporate+ Rates'!BR33</f>
        <v>0</v>
      </c>
      <c r="BS369" s="65">
        <f>'Special Corporate+ Rates'!BS33</f>
        <v>0</v>
      </c>
      <c r="BT369" s="65">
        <f>'Special Corporate+ Rates'!BT33</f>
        <v>0</v>
      </c>
      <c r="BU369" s="65">
        <f>'Special Corporate+ Rates'!BU33</f>
        <v>0</v>
      </c>
      <c r="BV369" s="65">
        <f>'Special Corporate+ Rates'!BV33</f>
        <v>0</v>
      </c>
      <c r="BW369" s="65">
        <f>'Special Corporate+ Rates'!BW33</f>
        <v>0</v>
      </c>
      <c r="BX369" s="65">
        <f>'Special Corporate+ Rates'!BX33</f>
        <v>0</v>
      </c>
      <c r="BY369" s="65">
        <f>'Special Corporate+ Rates'!BY33</f>
        <v>0</v>
      </c>
      <c r="BZ369" s="65">
        <f>'Special Corporate+ Rates'!BZ33</f>
        <v>0</v>
      </c>
      <c r="CA369" s="65">
        <f>'Special Corporate+ Rates'!CA33</f>
        <v>0</v>
      </c>
      <c r="CB369" s="65">
        <f>'Special Corporate+ Rates'!CB33</f>
        <v>0</v>
      </c>
      <c r="CC369" s="65">
        <f>'Special Corporate+ Rates'!CC33</f>
        <v>0</v>
      </c>
      <c r="CD369" s="65">
        <f>'Special Corporate+ Rates'!CD33</f>
        <v>0</v>
      </c>
      <c r="CE369" s="65">
        <f>'Special Corporate+ Rates'!CE33</f>
        <v>0</v>
      </c>
      <c r="CF369" s="65">
        <f>'Special Corporate+ Rates'!CF33</f>
        <v>0</v>
      </c>
      <c r="CG369" s="65">
        <f>'Special Corporate+ Rates'!CG33</f>
        <v>0</v>
      </c>
      <c r="CH369" s="65">
        <f>'Special Corporate+ Rates'!CH33</f>
        <v>0</v>
      </c>
      <c r="CI369" s="65">
        <f>'Special Corporate+ Rates'!CI33</f>
        <v>0</v>
      </c>
      <c r="CJ369" s="65">
        <f>'Special Corporate+ Rates'!CJ33</f>
        <v>0</v>
      </c>
      <c r="CK369" s="65">
        <f>'Special Corporate+ Rates'!CK33</f>
        <v>0</v>
      </c>
      <c r="CL369" s="65">
        <f>'Special Corporate+ Rates'!CL33</f>
        <v>0</v>
      </c>
      <c r="CM369" s="65">
        <f>'Special Corporate+ Rates'!CM33</f>
        <v>0</v>
      </c>
      <c r="CN369" s="65">
        <f>'Special Corporate+ Rates'!CN33</f>
        <v>0</v>
      </c>
      <c r="CO369" s="65">
        <f>'Special Corporate+ Rates'!CO33</f>
        <v>0</v>
      </c>
      <c r="CP369" s="65">
        <f>'Special Corporate+ Rates'!CP33</f>
        <v>0</v>
      </c>
      <c r="CQ369" s="65">
        <f>'Special Corporate+ Rates'!CQ33</f>
        <v>0</v>
      </c>
      <c r="CR369" s="65">
        <f>'Special Corporate+ Rates'!CR33</f>
        <v>0</v>
      </c>
      <c r="CS369" s="65">
        <f>'Special Corporate+ Rates'!CS33</f>
        <v>0</v>
      </c>
      <c r="CT369" s="65">
        <f>'Special Corporate+ Rates'!CT33</f>
        <v>0</v>
      </c>
      <c r="CU369" s="65">
        <f>'Special Corporate+ Rates'!CU33</f>
        <v>0</v>
      </c>
      <c r="CV369" s="65">
        <f>'Special Corporate+ Rates'!CV33</f>
        <v>0</v>
      </c>
      <c r="CW369" s="65">
        <f>'Special Corporate+ Rates'!CW33</f>
        <v>0</v>
      </c>
      <c r="CX369" s="65">
        <f>'Special Corporate+ Rates'!CX33</f>
        <v>0</v>
      </c>
      <c r="CY369" s="65">
        <f>'Special Corporate+ Rates'!CY33</f>
        <v>0</v>
      </c>
      <c r="CZ369" s="65">
        <f>'Special Corporate+ Rates'!CZ33</f>
        <v>0</v>
      </c>
      <c r="DA369" s="65">
        <f>'Special Corporate+ Rates'!DA33</f>
        <v>0</v>
      </c>
      <c r="DB369" s="65">
        <f>'Special Corporate+ Rates'!DB33</f>
        <v>0</v>
      </c>
      <c r="DC369" s="65">
        <f>'Special Corporate+ Rates'!DC33</f>
        <v>0</v>
      </c>
      <c r="DD369" s="65">
        <f>'Special Corporate+ Rates'!DD33</f>
        <v>0</v>
      </c>
      <c r="DE369" s="65">
        <f>'Special Corporate+ Rates'!DE33</f>
        <v>0</v>
      </c>
      <c r="DF369" s="65">
        <f>'Special Corporate+ Rates'!DF33</f>
        <v>0</v>
      </c>
      <c r="DG369" s="65">
        <f>'Special Corporate+ Rates'!DG33</f>
        <v>0</v>
      </c>
      <c r="DH369" s="65">
        <f>'Special Corporate+ Rates'!DH33</f>
        <v>0</v>
      </c>
      <c r="DI369" s="65">
        <f>'Special Corporate+ Rates'!DI33</f>
        <v>0</v>
      </c>
      <c r="DJ369" s="65">
        <f>'Special Corporate+ Rates'!DJ33</f>
        <v>0</v>
      </c>
      <c r="DK369" s="65">
        <f>'Special Corporate+ Rates'!DK33</f>
        <v>0</v>
      </c>
      <c r="DL369" s="65">
        <f>'Special Corporate+ Rates'!DL33</f>
        <v>0</v>
      </c>
      <c r="DM369" s="65">
        <f>'Special Corporate+ Rates'!DM33</f>
        <v>0</v>
      </c>
      <c r="DN369" s="65">
        <f>'Special Corporate+ Rates'!DN33</f>
        <v>0</v>
      </c>
      <c r="DO369" s="65">
        <f>'Special Corporate+ Rates'!DO33</f>
        <v>0</v>
      </c>
      <c r="DP369" s="65">
        <f>'Special Corporate+ Rates'!DP33</f>
        <v>0</v>
      </c>
      <c r="DQ369" s="65">
        <f>'Special Corporate+ Rates'!DQ33</f>
        <v>0</v>
      </c>
      <c r="DR369" s="65">
        <f>'Special Corporate+ Rates'!DR33</f>
        <v>0</v>
      </c>
      <c r="DS369" s="65">
        <f>'Special Corporate+ Rates'!DS33</f>
        <v>0</v>
      </c>
      <c r="DT369" s="65">
        <f>'Special Corporate+ Rates'!DT33</f>
        <v>0</v>
      </c>
      <c r="DU369" s="65">
        <f>'Special Corporate+ Rates'!DU33</f>
        <v>0</v>
      </c>
      <c r="DV369" s="65">
        <f>'Special Corporate+ Rates'!DV33</f>
        <v>0</v>
      </c>
      <c r="DW369" s="65">
        <f>'Special Corporate+ Rates'!DW33</f>
        <v>0</v>
      </c>
      <c r="DX369" s="65">
        <f>'Special Corporate+ Rates'!DX33</f>
        <v>0</v>
      </c>
      <c r="DY369" s="68"/>
    </row>
    <row r="370" spans="1:129" x14ac:dyDescent="0.2">
      <c r="A370" s="152"/>
      <c r="B370" s="65" t="str">
        <f>'Special Corporate+ Rates'!B34</f>
        <v>Rate Seasons / Room pools</v>
      </c>
      <c r="C370" s="65">
        <f>'Special Corporate+ Rates'!C34</f>
        <v>0</v>
      </c>
      <c r="D370" s="65" t="str">
        <f>'Special Corporate+ Rates'!D34</f>
        <v>Season 1 "Default"</v>
      </c>
      <c r="E370" s="65" t="str">
        <f>'Special Corporate+ Rates'!E34</f>
        <v>Season 2</v>
      </c>
      <c r="F370" s="65" t="str">
        <f>'Special Corporate+ Rates'!F34</f>
        <v>Season 3</v>
      </c>
      <c r="G370" s="65" t="str">
        <f>'Special Corporate+ Rates'!G34</f>
        <v>Season 4</v>
      </c>
      <c r="H370" s="65" t="str">
        <f>'Special Corporate+ Rates'!H34</f>
        <v>Season 5</v>
      </c>
      <c r="I370" s="65" t="str">
        <f>'Special Corporate+ Rates'!I34</f>
        <v>Season 1 "Default"</v>
      </c>
      <c r="J370" s="65" t="str">
        <f>'Special Corporate+ Rates'!J34</f>
        <v>Season 2</v>
      </c>
      <c r="K370" s="65" t="str">
        <f>'Special Corporate+ Rates'!K34</f>
        <v>Season 3</v>
      </c>
      <c r="L370" s="65" t="str">
        <f>'Special Corporate+ Rates'!L34</f>
        <v>Season 4</v>
      </c>
      <c r="M370" s="65" t="str">
        <f>'Special Corporate+ Rates'!M34</f>
        <v>Season 5</v>
      </c>
      <c r="N370" s="65" t="str">
        <f>'Special Corporate+ Rates'!N34</f>
        <v>Season 1 "Default"</v>
      </c>
      <c r="O370" s="65" t="str">
        <f>'Special Corporate+ Rates'!O34</f>
        <v>Season 2</v>
      </c>
      <c r="P370" s="65" t="str">
        <f>'Special Corporate+ Rates'!P34</f>
        <v>Season 3</v>
      </c>
      <c r="Q370" s="65" t="str">
        <f>'Special Corporate+ Rates'!Q34</f>
        <v>Season 4</v>
      </c>
      <c r="R370" s="65" t="str">
        <f>'Special Corporate+ Rates'!R34</f>
        <v>Season 5</v>
      </c>
      <c r="S370" s="65" t="str">
        <f>'Special Corporate+ Rates'!S34</f>
        <v>Season 1 "Default"</v>
      </c>
      <c r="T370" s="65" t="str">
        <f>'Special Corporate+ Rates'!T34</f>
        <v>Season 2</v>
      </c>
      <c r="U370" s="65" t="str">
        <f>'Special Corporate+ Rates'!U34</f>
        <v>Season 3</v>
      </c>
      <c r="V370" s="65" t="str">
        <f>'Special Corporate+ Rates'!V34</f>
        <v>Season 4</v>
      </c>
      <c r="W370" s="65" t="str">
        <f>'Special Corporate+ Rates'!W34</f>
        <v>Season 5</v>
      </c>
      <c r="X370" s="65" t="str">
        <f>'Special Corporate+ Rates'!X34</f>
        <v>Season 1 "Default"</v>
      </c>
      <c r="Y370" s="65" t="str">
        <f>'Special Corporate+ Rates'!Y34</f>
        <v>Season 2</v>
      </c>
      <c r="Z370" s="65" t="str">
        <f>'Special Corporate+ Rates'!Z34</f>
        <v>Season 3</v>
      </c>
      <c r="AA370" s="65" t="str">
        <f>'Special Corporate+ Rates'!AA34</f>
        <v>Season 4</v>
      </c>
      <c r="AB370" s="65" t="str">
        <f>'Special Corporate+ Rates'!AB34</f>
        <v>Season 5</v>
      </c>
      <c r="AC370" s="65" t="str">
        <f>'Special Corporate+ Rates'!AC34</f>
        <v>Season 1 "Default"</v>
      </c>
      <c r="AD370" s="65" t="str">
        <f>'Special Corporate+ Rates'!AD34</f>
        <v>Season 2</v>
      </c>
      <c r="AE370" s="65" t="str">
        <f>'Special Corporate+ Rates'!AE34</f>
        <v>Season 3</v>
      </c>
      <c r="AF370" s="65" t="str">
        <f>'Special Corporate+ Rates'!AF34</f>
        <v>Season 4</v>
      </c>
      <c r="AG370" s="65" t="str">
        <f>'Special Corporate+ Rates'!AG34</f>
        <v>Season 5</v>
      </c>
      <c r="AH370" s="65" t="str">
        <f>'Special Corporate+ Rates'!AH34</f>
        <v>Season 1 "Default"</v>
      </c>
      <c r="AI370" s="65" t="str">
        <f>'Special Corporate+ Rates'!AI34</f>
        <v>Season 2</v>
      </c>
      <c r="AJ370" s="65" t="str">
        <f>'Special Corporate+ Rates'!AJ34</f>
        <v>Season 3</v>
      </c>
      <c r="AK370" s="65" t="str">
        <f>'Special Corporate+ Rates'!AK34</f>
        <v>Season 4</v>
      </c>
      <c r="AL370" s="65" t="str">
        <f>'Special Corporate+ Rates'!AL34</f>
        <v>Season 5</v>
      </c>
      <c r="AM370" s="65" t="str">
        <f>'Special Corporate+ Rates'!AM34</f>
        <v>Season 1 "Default"</v>
      </c>
      <c r="AN370" s="65" t="str">
        <f>'Special Corporate+ Rates'!AN34</f>
        <v>Season 2</v>
      </c>
      <c r="AO370" s="65" t="str">
        <f>'Special Corporate+ Rates'!AO34</f>
        <v>Season 3</v>
      </c>
      <c r="AP370" s="65" t="str">
        <f>'Special Corporate+ Rates'!AP34</f>
        <v>Season 4</v>
      </c>
      <c r="AQ370" s="65" t="str">
        <f>'Special Corporate+ Rates'!AQ34</f>
        <v>Season 5</v>
      </c>
      <c r="AR370" s="65" t="str">
        <f>'Special Corporate+ Rates'!AR34</f>
        <v>Season 1 "Default"</v>
      </c>
      <c r="AS370" s="65" t="str">
        <f>'Special Corporate+ Rates'!AS34</f>
        <v>Season 2</v>
      </c>
      <c r="AT370" s="65" t="str">
        <f>'Special Corporate+ Rates'!AT34</f>
        <v>Season 3</v>
      </c>
      <c r="AU370" s="65" t="str">
        <f>'Special Corporate+ Rates'!AU34</f>
        <v>Season 4</v>
      </c>
      <c r="AV370" s="65" t="str">
        <f>'Special Corporate+ Rates'!AV34</f>
        <v>Season 5</v>
      </c>
      <c r="AW370" s="65" t="str">
        <f>'Special Corporate+ Rates'!AW34</f>
        <v>Season 1 "Default"</v>
      </c>
      <c r="AX370" s="65" t="str">
        <f>'Special Corporate+ Rates'!AX34</f>
        <v>Season 2</v>
      </c>
      <c r="AY370" s="65" t="str">
        <f>'Special Corporate+ Rates'!AY34</f>
        <v>Season 3</v>
      </c>
      <c r="AZ370" s="65" t="str">
        <f>'Special Corporate+ Rates'!AZ34</f>
        <v>Season 4</v>
      </c>
      <c r="BA370" s="65" t="str">
        <f>'Special Corporate+ Rates'!BA34</f>
        <v>Season 5</v>
      </c>
      <c r="BB370" s="65" t="str">
        <f>'Special Corporate+ Rates'!BB34</f>
        <v>Season 1 "Default"</v>
      </c>
      <c r="BC370" s="65" t="str">
        <f>'Special Corporate+ Rates'!BC34</f>
        <v>Season 2</v>
      </c>
      <c r="BD370" s="65" t="str">
        <f>'Special Corporate+ Rates'!BD34</f>
        <v>Season 3</v>
      </c>
      <c r="BE370" s="65" t="str">
        <f>'Special Corporate+ Rates'!BE34</f>
        <v>Season 4</v>
      </c>
      <c r="BF370" s="65" t="str">
        <f>'Special Corporate+ Rates'!BF34</f>
        <v>Season 5</v>
      </c>
      <c r="BG370" s="65" t="str">
        <f>'Special Corporate+ Rates'!BG34</f>
        <v>Season 1 "Default"</v>
      </c>
      <c r="BH370" s="65" t="str">
        <f>'Special Corporate+ Rates'!BH34</f>
        <v>Season 2</v>
      </c>
      <c r="BI370" s="65" t="str">
        <f>'Special Corporate+ Rates'!BI34</f>
        <v>Season 3</v>
      </c>
      <c r="BJ370" s="65" t="str">
        <f>'Special Corporate+ Rates'!BJ34</f>
        <v>Season 4</v>
      </c>
      <c r="BK370" s="65" t="str">
        <f>'Special Corporate+ Rates'!BK34</f>
        <v>Season 5</v>
      </c>
      <c r="BL370" s="65" t="str">
        <f>'Special Corporate+ Rates'!BL34</f>
        <v>Season 1 "Default"</v>
      </c>
      <c r="BM370" s="65" t="str">
        <f>'Special Corporate+ Rates'!BM34</f>
        <v>Season 2</v>
      </c>
      <c r="BN370" s="65" t="str">
        <f>'Special Corporate+ Rates'!BN34</f>
        <v>Season 3</v>
      </c>
      <c r="BO370" s="65" t="str">
        <f>'Special Corporate+ Rates'!BO34</f>
        <v>Season 4</v>
      </c>
      <c r="BP370" s="65" t="str">
        <f>'Special Corporate+ Rates'!BP34</f>
        <v>Season 5</v>
      </c>
      <c r="BQ370" s="65" t="str">
        <f>'Special Corporate+ Rates'!BQ34</f>
        <v>Season 1 "Default"</v>
      </c>
      <c r="BR370" s="65" t="str">
        <f>'Special Corporate+ Rates'!BR34</f>
        <v>Season 2</v>
      </c>
      <c r="BS370" s="65" t="str">
        <f>'Special Corporate+ Rates'!BS34</f>
        <v>Season 3</v>
      </c>
      <c r="BT370" s="65" t="str">
        <f>'Special Corporate+ Rates'!BT34</f>
        <v>Season 4</v>
      </c>
      <c r="BU370" s="65" t="str">
        <f>'Special Corporate+ Rates'!BU34</f>
        <v>Season 5</v>
      </c>
      <c r="BV370" s="65" t="str">
        <f>'Special Corporate+ Rates'!BV34</f>
        <v>Season 1 "Default"</v>
      </c>
      <c r="BW370" s="65" t="str">
        <f>'Special Corporate+ Rates'!BW34</f>
        <v>Season 2</v>
      </c>
      <c r="BX370" s="65" t="str">
        <f>'Special Corporate+ Rates'!BX34</f>
        <v>Season 3</v>
      </c>
      <c r="BY370" s="65" t="str">
        <f>'Special Corporate+ Rates'!BY34</f>
        <v>Season 4</v>
      </c>
      <c r="BZ370" s="65" t="str">
        <f>'Special Corporate+ Rates'!BZ34</f>
        <v>Season 5</v>
      </c>
      <c r="CA370" s="65" t="str">
        <f>'Special Corporate+ Rates'!CA34</f>
        <v>Season 1 "Default"</v>
      </c>
      <c r="CB370" s="65" t="str">
        <f>'Special Corporate+ Rates'!CB34</f>
        <v>Season 2</v>
      </c>
      <c r="CC370" s="65" t="str">
        <f>'Special Corporate+ Rates'!CC34</f>
        <v>Season 3</v>
      </c>
      <c r="CD370" s="65" t="str">
        <f>'Special Corporate+ Rates'!CD34</f>
        <v>Season 4</v>
      </c>
      <c r="CE370" s="65" t="str">
        <f>'Special Corporate+ Rates'!CE34</f>
        <v>Season 5</v>
      </c>
      <c r="CF370" s="65" t="str">
        <f>'Special Corporate+ Rates'!CF34</f>
        <v>Season 1 "Default"</v>
      </c>
      <c r="CG370" s="65" t="str">
        <f>'Special Corporate+ Rates'!CG34</f>
        <v>Season 2</v>
      </c>
      <c r="CH370" s="65" t="str">
        <f>'Special Corporate+ Rates'!CH34</f>
        <v>Season 3</v>
      </c>
      <c r="CI370" s="65" t="str">
        <f>'Special Corporate+ Rates'!CI34</f>
        <v>Season 4</v>
      </c>
      <c r="CJ370" s="65" t="str">
        <f>'Special Corporate+ Rates'!CJ34</f>
        <v>Season 5</v>
      </c>
      <c r="CK370" s="65" t="str">
        <f>'Special Corporate+ Rates'!CK34</f>
        <v>Season 1 "Default"</v>
      </c>
      <c r="CL370" s="65" t="str">
        <f>'Special Corporate+ Rates'!CL34</f>
        <v>Season 2</v>
      </c>
      <c r="CM370" s="65" t="str">
        <f>'Special Corporate+ Rates'!CM34</f>
        <v>Season 3</v>
      </c>
      <c r="CN370" s="65" t="str">
        <f>'Special Corporate+ Rates'!CN34</f>
        <v>Season 4</v>
      </c>
      <c r="CO370" s="65" t="str">
        <f>'Special Corporate+ Rates'!CO34</f>
        <v>Season 5</v>
      </c>
      <c r="CP370" s="65" t="str">
        <f>'Special Corporate+ Rates'!CP34</f>
        <v>Season 1 "Default"</v>
      </c>
      <c r="CQ370" s="65" t="str">
        <f>'Special Corporate+ Rates'!CQ34</f>
        <v>Season 2</v>
      </c>
      <c r="CR370" s="65" t="str">
        <f>'Special Corporate+ Rates'!CR34</f>
        <v>Season 3</v>
      </c>
      <c r="CS370" s="65" t="str">
        <f>'Special Corporate+ Rates'!CS34</f>
        <v>Season 4</v>
      </c>
      <c r="CT370" s="65" t="str">
        <f>'Special Corporate+ Rates'!CT34</f>
        <v>Season 5</v>
      </c>
      <c r="CU370" s="65" t="str">
        <f>'Special Corporate+ Rates'!CU34</f>
        <v>Season 1 "Default"</v>
      </c>
      <c r="CV370" s="65" t="str">
        <f>'Special Corporate+ Rates'!CV34</f>
        <v>Season 2</v>
      </c>
      <c r="CW370" s="65" t="str">
        <f>'Special Corporate+ Rates'!CW34</f>
        <v>Season 3</v>
      </c>
      <c r="CX370" s="65" t="str">
        <f>'Special Corporate+ Rates'!CX34</f>
        <v>Season 4</v>
      </c>
      <c r="CY370" s="65" t="str">
        <f>'Special Corporate+ Rates'!CY34</f>
        <v>Season 5</v>
      </c>
      <c r="CZ370" s="65" t="str">
        <f>'Special Corporate+ Rates'!CZ34</f>
        <v>Season 1 "Default"</v>
      </c>
      <c r="DA370" s="65" t="str">
        <f>'Special Corporate+ Rates'!DA34</f>
        <v>Season 2</v>
      </c>
      <c r="DB370" s="65" t="str">
        <f>'Special Corporate+ Rates'!DB34</f>
        <v>Season 3</v>
      </c>
      <c r="DC370" s="65" t="str">
        <f>'Special Corporate+ Rates'!DC34</f>
        <v>Season 4</v>
      </c>
      <c r="DD370" s="65" t="str">
        <f>'Special Corporate+ Rates'!DD34</f>
        <v>Season 5</v>
      </c>
      <c r="DE370" s="65" t="str">
        <f>'Special Corporate+ Rates'!DE34</f>
        <v>Season 1 "Default"</v>
      </c>
      <c r="DF370" s="65" t="str">
        <f>'Special Corporate+ Rates'!DF34</f>
        <v>Season 2</v>
      </c>
      <c r="DG370" s="65" t="str">
        <f>'Special Corporate+ Rates'!DG34</f>
        <v>Season 3</v>
      </c>
      <c r="DH370" s="65" t="str">
        <f>'Special Corporate+ Rates'!DH34</f>
        <v>Season 4</v>
      </c>
      <c r="DI370" s="65" t="str">
        <f>'Special Corporate+ Rates'!DI34</f>
        <v>Season 5</v>
      </c>
      <c r="DJ370" s="65" t="str">
        <f>'Special Corporate+ Rates'!DJ34</f>
        <v>Season 1 "Default"</v>
      </c>
      <c r="DK370" s="65" t="str">
        <f>'Special Corporate+ Rates'!DK34</f>
        <v>Season 2</v>
      </c>
      <c r="DL370" s="65" t="str">
        <f>'Special Corporate+ Rates'!DL34</f>
        <v>Season 3</v>
      </c>
      <c r="DM370" s="65" t="str">
        <f>'Special Corporate+ Rates'!DM34</f>
        <v>Season 4</v>
      </c>
      <c r="DN370" s="65" t="str">
        <f>'Special Corporate+ Rates'!DN34</f>
        <v>Season 5</v>
      </c>
      <c r="DO370" s="65" t="str">
        <f>'Special Corporate+ Rates'!DO34</f>
        <v>Season 1 "Default"</v>
      </c>
      <c r="DP370" s="65" t="str">
        <f>'Special Corporate+ Rates'!DP34</f>
        <v>Season 2</v>
      </c>
      <c r="DQ370" s="65" t="str">
        <f>'Special Corporate+ Rates'!DQ34</f>
        <v>Season 3</v>
      </c>
      <c r="DR370" s="65" t="str">
        <f>'Special Corporate+ Rates'!DR34</f>
        <v>Season 4</v>
      </c>
      <c r="DS370" s="65" t="str">
        <f>'Special Corporate+ Rates'!DS34</f>
        <v>Season 5</v>
      </c>
      <c r="DT370" s="65" t="str">
        <f>'Special Corporate+ Rates'!DT34</f>
        <v>Season 1 "Default"</v>
      </c>
      <c r="DU370" s="65" t="str">
        <f>'Special Corporate+ Rates'!DU34</f>
        <v>Season 2</v>
      </c>
      <c r="DV370" s="65" t="str">
        <f>'Special Corporate+ Rates'!DV34</f>
        <v>Season 3</v>
      </c>
      <c r="DW370" s="65" t="str">
        <f>'Special Corporate+ Rates'!DW34</f>
        <v>Season 4</v>
      </c>
      <c r="DX370" s="65" t="str">
        <f>'Special Corporate+ Rates'!DX34</f>
        <v>Season 5</v>
      </c>
      <c r="DY370" s="68"/>
    </row>
    <row r="371" spans="1:129" x14ac:dyDescent="0.2">
      <c r="A371" s="152"/>
      <c r="B371" s="65" t="str">
        <f>'Special Corporate+ Rates'!B35</f>
        <v>KING</v>
      </c>
      <c r="C371" s="65">
        <f>'Special Corporate+ Rates'!C35</f>
        <v>0</v>
      </c>
      <c r="D371" s="65">
        <f>'Special Corporate+ Rates'!D35</f>
        <v>0</v>
      </c>
      <c r="E371" s="65">
        <f>'Special Corporate+ Rates'!E35</f>
        <v>0</v>
      </c>
      <c r="F371" s="65">
        <f>'Special Corporate+ Rates'!F35</f>
        <v>0</v>
      </c>
      <c r="G371" s="65">
        <f>'Special Corporate+ Rates'!G35</f>
        <v>0</v>
      </c>
      <c r="H371" s="65">
        <f>'Special Corporate+ Rates'!H35</f>
        <v>0</v>
      </c>
      <c r="I371" s="65">
        <f>'Special Corporate+ Rates'!I35</f>
        <v>0</v>
      </c>
      <c r="J371" s="65">
        <f>'Special Corporate+ Rates'!J35</f>
        <v>0</v>
      </c>
      <c r="K371" s="65">
        <f>'Special Corporate+ Rates'!K35</f>
        <v>0</v>
      </c>
      <c r="L371" s="65">
        <f>'Special Corporate+ Rates'!L35</f>
        <v>0</v>
      </c>
      <c r="M371" s="65">
        <f>'Special Corporate+ Rates'!M35</f>
        <v>0</v>
      </c>
      <c r="N371" s="65">
        <f>'Special Corporate+ Rates'!N35</f>
        <v>0</v>
      </c>
      <c r="O371" s="65">
        <f>'Special Corporate+ Rates'!O35</f>
        <v>0</v>
      </c>
      <c r="P371" s="65">
        <f>'Special Corporate+ Rates'!P35</f>
        <v>0</v>
      </c>
      <c r="Q371" s="65">
        <f>'Special Corporate+ Rates'!Q35</f>
        <v>0</v>
      </c>
      <c r="R371" s="65">
        <f>'Special Corporate+ Rates'!R35</f>
        <v>0</v>
      </c>
      <c r="S371" s="65">
        <f>'Special Corporate+ Rates'!S35</f>
        <v>0</v>
      </c>
      <c r="T371" s="65">
        <f>'Special Corporate+ Rates'!T35</f>
        <v>0</v>
      </c>
      <c r="U371" s="65">
        <f>'Special Corporate+ Rates'!U35</f>
        <v>0</v>
      </c>
      <c r="V371" s="65">
        <f>'Special Corporate+ Rates'!V35</f>
        <v>0</v>
      </c>
      <c r="W371" s="65">
        <f>'Special Corporate+ Rates'!W35</f>
        <v>0</v>
      </c>
      <c r="X371" s="65">
        <f>'Special Corporate+ Rates'!X35</f>
        <v>0</v>
      </c>
      <c r="Y371" s="65">
        <f>'Special Corporate+ Rates'!Y35</f>
        <v>0</v>
      </c>
      <c r="Z371" s="65">
        <f>'Special Corporate+ Rates'!Z35</f>
        <v>0</v>
      </c>
      <c r="AA371" s="65">
        <f>'Special Corporate+ Rates'!AA35</f>
        <v>0</v>
      </c>
      <c r="AB371" s="65">
        <f>'Special Corporate+ Rates'!AB35</f>
        <v>0</v>
      </c>
      <c r="AC371" s="65">
        <f>'Special Corporate+ Rates'!AC35</f>
        <v>0</v>
      </c>
      <c r="AD371" s="65">
        <f>'Special Corporate+ Rates'!AD35</f>
        <v>0</v>
      </c>
      <c r="AE371" s="65">
        <f>'Special Corporate+ Rates'!AE35</f>
        <v>0</v>
      </c>
      <c r="AF371" s="65">
        <f>'Special Corporate+ Rates'!AF35</f>
        <v>0</v>
      </c>
      <c r="AG371" s="65">
        <f>'Special Corporate+ Rates'!AG35</f>
        <v>0</v>
      </c>
      <c r="AH371" s="65">
        <f>'Special Corporate+ Rates'!AH35</f>
        <v>0</v>
      </c>
      <c r="AI371" s="65">
        <f>'Special Corporate+ Rates'!AI35</f>
        <v>0</v>
      </c>
      <c r="AJ371" s="65">
        <f>'Special Corporate+ Rates'!AJ35</f>
        <v>0</v>
      </c>
      <c r="AK371" s="65">
        <f>'Special Corporate+ Rates'!AK35</f>
        <v>0</v>
      </c>
      <c r="AL371" s="65">
        <f>'Special Corporate+ Rates'!AL35</f>
        <v>0</v>
      </c>
      <c r="AM371" s="65">
        <f>'Special Corporate+ Rates'!AM35</f>
        <v>0</v>
      </c>
      <c r="AN371" s="65">
        <f>'Special Corporate+ Rates'!AN35</f>
        <v>0</v>
      </c>
      <c r="AO371" s="65">
        <f>'Special Corporate+ Rates'!AO35</f>
        <v>0</v>
      </c>
      <c r="AP371" s="65">
        <f>'Special Corporate+ Rates'!AP35</f>
        <v>0</v>
      </c>
      <c r="AQ371" s="65">
        <f>'Special Corporate+ Rates'!AQ35</f>
        <v>0</v>
      </c>
      <c r="AR371" s="65">
        <f>'Special Corporate+ Rates'!AR35</f>
        <v>0</v>
      </c>
      <c r="AS371" s="65">
        <f>'Special Corporate+ Rates'!AS35</f>
        <v>0</v>
      </c>
      <c r="AT371" s="65">
        <f>'Special Corporate+ Rates'!AT35</f>
        <v>0</v>
      </c>
      <c r="AU371" s="65">
        <f>'Special Corporate+ Rates'!AU35</f>
        <v>0</v>
      </c>
      <c r="AV371" s="65">
        <f>'Special Corporate+ Rates'!AV35</f>
        <v>0</v>
      </c>
      <c r="AW371" s="65">
        <f>'Special Corporate+ Rates'!AW35</f>
        <v>0</v>
      </c>
      <c r="AX371" s="65">
        <f>'Special Corporate+ Rates'!AX35</f>
        <v>0</v>
      </c>
      <c r="AY371" s="65">
        <f>'Special Corporate+ Rates'!AY35</f>
        <v>0</v>
      </c>
      <c r="AZ371" s="65">
        <f>'Special Corporate+ Rates'!AZ35</f>
        <v>0</v>
      </c>
      <c r="BA371" s="65">
        <f>'Special Corporate+ Rates'!BA35</f>
        <v>0</v>
      </c>
      <c r="BB371" s="65">
        <f>'Special Corporate+ Rates'!BB35</f>
        <v>0</v>
      </c>
      <c r="BC371" s="65">
        <f>'Special Corporate+ Rates'!BC35</f>
        <v>0</v>
      </c>
      <c r="BD371" s="65">
        <f>'Special Corporate+ Rates'!BD35</f>
        <v>0</v>
      </c>
      <c r="BE371" s="65">
        <f>'Special Corporate+ Rates'!BE35</f>
        <v>0</v>
      </c>
      <c r="BF371" s="65">
        <f>'Special Corporate+ Rates'!BF35</f>
        <v>0</v>
      </c>
      <c r="BG371" s="65">
        <f>'Special Corporate+ Rates'!BG35</f>
        <v>0</v>
      </c>
      <c r="BH371" s="65">
        <f>'Special Corporate+ Rates'!BH35</f>
        <v>0</v>
      </c>
      <c r="BI371" s="65">
        <f>'Special Corporate+ Rates'!BI35</f>
        <v>0</v>
      </c>
      <c r="BJ371" s="65">
        <f>'Special Corporate+ Rates'!BJ35</f>
        <v>0</v>
      </c>
      <c r="BK371" s="65">
        <f>'Special Corporate+ Rates'!BK35</f>
        <v>0</v>
      </c>
      <c r="BL371" s="65">
        <f>'Special Corporate+ Rates'!BL35</f>
        <v>0</v>
      </c>
      <c r="BM371" s="65">
        <f>'Special Corporate+ Rates'!BM35</f>
        <v>0</v>
      </c>
      <c r="BN371" s="65">
        <f>'Special Corporate+ Rates'!BN35</f>
        <v>0</v>
      </c>
      <c r="BO371" s="65">
        <f>'Special Corporate+ Rates'!BO35</f>
        <v>0</v>
      </c>
      <c r="BP371" s="65">
        <f>'Special Corporate+ Rates'!BP35</f>
        <v>0</v>
      </c>
      <c r="BQ371" s="65">
        <f>'Special Corporate+ Rates'!BQ35</f>
        <v>0</v>
      </c>
      <c r="BR371" s="65">
        <f>'Special Corporate+ Rates'!BR35</f>
        <v>0</v>
      </c>
      <c r="BS371" s="65">
        <f>'Special Corporate+ Rates'!BS35</f>
        <v>0</v>
      </c>
      <c r="BT371" s="65">
        <f>'Special Corporate+ Rates'!BT35</f>
        <v>0</v>
      </c>
      <c r="BU371" s="65">
        <f>'Special Corporate+ Rates'!BU35</f>
        <v>0</v>
      </c>
      <c r="BV371" s="65">
        <f>'Special Corporate+ Rates'!BV35</f>
        <v>0</v>
      </c>
      <c r="BW371" s="65">
        <f>'Special Corporate+ Rates'!BW35</f>
        <v>0</v>
      </c>
      <c r="BX371" s="65">
        <f>'Special Corporate+ Rates'!BX35</f>
        <v>0</v>
      </c>
      <c r="BY371" s="65">
        <f>'Special Corporate+ Rates'!BY35</f>
        <v>0</v>
      </c>
      <c r="BZ371" s="65">
        <f>'Special Corporate+ Rates'!BZ35</f>
        <v>0</v>
      </c>
      <c r="CA371" s="65">
        <f>'Special Corporate+ Rates'!CA35</f>
        <v>0</v>
      </c>
      <c r="CB371" s="65">
        <f>'Special Corporate+ Rates'!CB35</f>
        <v>0</v>
      </c>
      <c r="CC371" s="65">
        <f>'Special Corporate+ Rates'!CC35</f>
        <v>0</v>
      </c>
      <c r="CD371" s="65">
        <f>'Special Corporate+ Rates'!CD35</f>
        <v>0</v>
      </c>
      <c r="CE371" s="65">
        <f>'Special Corporate+ Rates'!CE35</f>
        <v>0</v>
      </c>
      <c r="CF371" s="65">
        <f>'Special Corporate+ Rates'!CF35</f>
        <v>0</v>
      </c>
      <c r="CG371" s="65">
        <f>'Special Corporate+ Rates'!CG35</f>
        <v>0</v>
      </c>
      <c r="CH371" s="65">
        <f>'Special Corporate+ Rates'!CH35</f>
        <v>0</v>
      </c>
      <c r="CI371" s="65">
        <f>'Special Corporate+ Rates'!CI35</f>
        <v>0</v>
      </c>
      <c r="CJ371" s="65">
        <f>'Special Corporate+ Rates'!CJ35</f>
        <v>0</v>
      </c>
      <c r="CK371" s="65">
        <f>'Special Corporate+ Rates'!CK35</f>
        <v>0</v>
      </c>
      <c r="CL371" s="65">
        <f>'Special Corporate+ Rates'!CL35</f>
        <v>0</v>
      </c>
      <c r="CM371" s="65">
        <f>'Special Corporate+ Rates'!CM35</f>
        <v>0</v>
      </c>
      <c r="CN371" s="65">
        <f>'Special Corporate+ Rates'!CN35</f>
        <v>0</v>
      </c>
      <c r="CO371" s="65">
        <f>'Special Corporate+ Rates'!CO35</f>
        <v>0</v>
      </c>
      <c r="CP371" s="65">
        <f>'Special Corporate+ Rates'!CP35</f>
        <v>0</v>
      </c>
      <c r="CQ371" s="65">
        <f>'Special Corporate+ Rates'!CQ35</f>
        <v>0</v>
      </c>
      <c r="CR371" s="65">
        <f>'Special Corporate+ Rates'!CR35</f>
        <v>0</v>
      </c>
      <c r="CS371" s="65">
        <f>'Special Corporate+ Rates'!CS35</f>
        <v>0</v>
      </c>
      <c r="CT371" s="65">
        <f>'Special Corporate+ Rates'!CT35</f>
        <v>0</v>
      </c>
      <c r="CU371" s="65">
        <f>'Special Corporate+ Rates'!CU35</f>
        <v>0</v>
      </c>
      <c r="CV371" s="65">
        <f>'Special Corporate+ Rates'!CV35</f>
        <v>0</v>
      </c>
      <c r="CW371" s="65">
        <f>'Special Corporate+ Rates'!CW35</f>
        <v>0</v>
      </c>
      <c r="CX371" s="65">
        <f>'Special Corporate+ Rates'!CX35</f>
        <v>0</v>
      </c>
      <c r="CY371" s="65">
        <f>'Special Corporate+ Rates'!CY35</f>
        <v>0</v>
      </c>
      <c r="CZ371" s="65">
        <f>'Special Corporate+ Rates'!CZ35</f>
        <v>0</v>
      </c>
      <c r="DA371" s="65">
        <f>'Special Corporate+ Rates'!DA35</f>
        <v>0</v>
      </c>
      <c r="DB371" s="65">
        <f>'Special Corporate+ Rates'!DB35</f>
        <v>0</v>
      </c>
      <c r="DC371" s="65">
        <f>'Special Corporate+ Rates'!DC35</f>
        <v>0</v>
      </c>
      <c r="DD371" s="65">
        <f>'Special Corporate+ Rates'!DD35</f>
        <v>0</v>
      </c>
      <c r="DE371" s="65">
        <f>'Special Corporate+ Rates'!DE35</f>
        <v>0</v>
      </c>
      <c r="DF371" s="65">
        <f>'Special Corporate+ Rates'!DF35</f>
        <v>0</v>
      </c>
      <c r="DG371" s="65">
        <f>'Special Corporate+ Rates'!DG35</f>
        <v>0</v>
      </c>
      <c r="DH371" s="65">
        <f>'Special Corporate+ Rates'!DH35</f>
        <v>0</v>
      </c>
      <c r="DI371" s="65">
        <f>'Special Corporate+ Rates'!DI35</f>
        <v>0</v>
      </c>
      <c r="DJ371" s="65">
        <f>'Special Corporate+ Rates'!DJ35</f>
        <v>0</v>
      </c>
      <c r="DK371" s="65">
        <f>'Special Corporate+ Rates'!DK35</f>
        <v>0</v>
      </c>
      <c r="DL371" s="65">
        <f>'Special Corporate+ Rates'!DL35</f>
        <v>0</v>
      </c>
      <c r="DM371" s="65">
        <f>'Special Corporate+ Rates'!DM35</f>
        <v>0</v>
      </c>
      <c r="DN371" s="65">
        <f>'Special Corporate+ Rates'!DN35</f>
        <v>0</v>
      </c>
      <c r="DO371" s="65">
        <f>'Special Corporate+ Rates'!DO35</f>
        <v>0</v>
      </c>
      <c r="DP371" s="65">
        <f>'Special Corporate+ Rates'!DP35</f>
        <v>0</v>
      </c>
      <c r="DQ371" s="65">
        <f>'Special Corporate+ Rates'!DQ35</f>
        <v>0</v>
      </c>
      <c r="DR371" s="65">
        <f>'Special Corporate+ Rates'!DR35</f>
        <v>0</v>
      </c>
      <c r="DS371" s="65">
        <f>'Special Corporate+ Rates'!DS35</f>
        <v>0</v>
      </c>
      <c r="DT371" s="65">
        <f>'Special Corporate+ Rates'!DT35</f>
        <v>0</v>
      </c>
      <c r="DU371" s="65">
        <f>'Special Corporate+ Rates'!DU35</f>
        <v>0</v>
      </c>
      <c r="DV371" s="65">
        <f>'Special Corporate+ Rates'!DV35</f>
        <v>0</v>
      </c>
      <c r="DW371" s="65">
        <f>'Special Corporate+ Rates'!DW35</f>
        <v>0</v>
      </c>
      <c r="DX371" s="65">
        <f>'Special Corporate+ Rates'!DX35</f>
        <v>0</v>
      </c>
      <c r="DY371" s="68"/>
    </row>
    <row r="372" spans="1:129" x14ac:dyDescent="0.2">
      <c r="A372" s="152"/>
      <c r="B372" s="65" t="str">
        <f>'Special Corporate+ Rates'!B36</f>
        <v>DBDB</v>
      </c>
      <c r="C372" s="65">
        <f>'Special Corporate+ Rates'!C36</f>
        <v>0</v>
      </c>
      <c r="D372" s="65">
        <f>'Special Corporate+ Rates'!D36</f>
        <v>0</v>
      </c>
      <c r="E372" s="65">
        <f>'Special Corporate+ Rates'!E36</f>
        <v>0</v>
      </c>
      <c r="F372" s="65">
        <f>'Special Corporate+ Rates'!F36</f>
        <v>0</v>
      </c>
      <c r="G372" s="65">
        <f>'Special Corporate+ Rates'!G36</f>
        <v>0</v>
      </c>
      <c r="H372" s="65">
        <f>'Special Corporate+ Rates'!H36</f>
        <v>0</v>
      </c>
      <c r="I372" s="65">
        <f>'Special Corporate+ Rates'!I36</f>
        <v>0</v>
      </c>
      <c r="J372" s="65">
        <f>'Special Corporate+ Rates'!J36</f>
        <v>0</v>
      </c>
      <c r="K372" s="65">
        <f>'Special Corporate+ Rates'!K36</f>
        <v>0</v>
      </c>
      <c r="L372" s="65">
        <f>'Special Corporate+ Rates'!L36</f>
        <v>0</v>
      </c>
      <c r="M372" s="65">
        <f>'Special Corporate+ Rates'!M36</f>
        <v>0</v>
      </c>
      <c r="N372" s="65">
        <f>'Special Corporate+ Rates'!N36</f>
        <v>0</v>
      </c>
      <c r="O372" s="65">
        <f>'Special Corporate+ Rates'!O36</f>
        <v>0</v>
      </c>
      <c r="P372" s="65">
        <f>'Special Corporate+ Rates'!P36</f>
        <v>0</v>
      </c>
      <c r="Q372" s="65">
        <f>'Special Corporate+ Rates'!Q36</f>
        <v>0</v>
      </c>
      <c r="R372" s="65">
        <f>'Special Corporate+ Rates'!R36</f>
        <v>0</v>
      </c>
      <c r="S372" s="65">
        <f>'Special Corporate+ Rates'!S36</f>
        <v>0</v>
      </c>
      <c r="T372" s="65">
        <f>'Special Corporate+ Rates'!T36</f>
        <v>0</v>
      </c>
      <c r="U372" s="65">
        <f>'Special Corporate+ Rates'!U36</f>
        <v>0</v>
      </c>
      <c r="V372" s="65">
        <f>'Special Corporate+ Rates'!V36</f>
        <v>0</v>
      </c>
      <c r="W372" s="65">
        <f>'Special Corporate+ Rates'!W36</f>
        <v>0</v>
      </c>
      <c r="X372" s="65">
        <f>'Special Corporate+ Rates'!X36</f>
        <v>0</v>
      </c>
      <c r="Y372" s="65">
        <f>'Special Corporate+ Rates'!Y36</f>
        <v>0</v>
      </c>
      <c r="Z372" s="65">
        <f>'Special Corporate+ Rates'!Z36</f>
        <v>0</v>
      </c>
      <c r="AA372" s="65">
        <f>'Special Corporate+ Rates'!AA36</f>
        <v>0</v>
      </c>
      <c r="AB372" s="65">
        <f>'Special Corporate+ Rates'!AB36</f>
        <v>0</v>
      </c>
      <c r="AC372" s="65">
        <f>'Special Corporate+ Rates'!AC36</f>
        <v>0</v>
      </c>
      <c r="AD372" s="65">
        <f>'Special Corporate+ Rates'!AD36</f>
        <v>0</v>
      </c>
      <c r="AE372" s="65">
        <f>'Special Corporate+ Rates'!AE36</f>
        <v>0</v>
      </c>
      <c r="AF372" s="65">
        <f>'Special Corporate+ Rates'!AF36</f>
        <v>0</v>
      </c>
      <c r="AG372" s="65">
        <f>'Special Corporate+ Rates'!AG36</f>
        <v>0</v>
      </c>
      <c r="AH372" s="65">
        <f>'Special Corporate+ Rates'!AH36</f>
        <v>0</v>
      </c>
      <c r="AI372" s="65">
        <f>'Special Corporate+ Rates'!AI36</f>
        <v>0</v>
      </c>
      <c r="AJ372" s="65">
        <f>'Special Corporate+ Rates'!AJ36</f>
        <v>0</v>
      </c>
      <c r="AK372" s="65">
        <f>'Special Corporate+ Rates'!AK36</f>
        <v>0</v>
      </c>
      <c r="AL372" s="65">
        <f>'Special Corporate+ Rates'!AL36</f>
        <v>0</v>
      </c>
      <c r="AM372" s="65">
        <f>'Special Corporate+ Rates'!AM36</f>
        <v>0</v>
      </c>
      <c r="AN372" s="65">
        <f>'Special Corporate+ Rates'!AN36</f>
        <v>0</v>
      </c>
      <c r="AO372" s="65">
        <f>'Special Corporate+ Rates'!AO36</f>
        <v>0</v>
      </c>
      <c r="AP372" s="65">
        <f>'Special Corporate+ Rates'!AP36</f>
        <v>0</v>
      </c>
      <c r="AQ372" s="65">
        <f>'Special Corporate+ Rates'!AQ36</f>
        <v>0</v>
      </c>
      <c r="AR372" s="65">
        <f>'Special Corporate+ Rates'!AR36</f>
        <v>0</v>
      </c>
      <c r="AS372" s="65">
        <f>'Special Corporate+ Rates'!AS36</f>
        <v>0</v>
      </c>
      <c r="AT372" s="65">
        <f>'Special Corporate+ Rates'!AT36</f>
        <v>0</v>
      </c>
      <c r="AU372" s="65">
        <f>'Special Corporate+ Rates'!AU36</f>
        <v>0</v>
      </c>
      <c r="AV372" s="65">
        <f>'Special Corporate+ Rates'!AV36</f>
        <v>0</v>
      </c>
      <c r="AW372" s="65">
        <f>'Special Corporate+ Rates'!AW36</f>
        <v>0</v>
      </c>
      <c r="AX372" s="65">
        <f>'Special Corporate+ Rates'!AX36</f>
        <v>0</v>
      </c>
      <c r="AY372" s="65">
        <f>'Special Corporate+ Rates'!AY36</f>
        <v>0</v>
      </c>
      <c r="AZ372" s="65">
        <f>'Special Corporate+ Rates'!AZ36</f>
        <v>0</v>
      </c>
      <c r="BA372" s="65">
        <f>'Special Corporate+ Rates'!BA36</f>
        <v>0</v>
      </c>
      <c r="BB372" s="65">
        <f>'Special Corporate+ Rates'!BB36</f>
        <v>0</v>
      </c>
      <c r="BC372" s="65">
        <f>'Special Corporate+ Rates'!BC36</f>
        <v>0</v>
      </c>
      <c r="BD372" s="65">
        <f>'Special Corporate+ Rates'!BD36</f>
        <v>0</v>
      </c>
      <c r="BE372" s="65">
        <f>'Special Corporate+ Rates'!BE36</f>
        <v>0</v>
      </c>
      <c r="BF372" s="65">
        <f>'Special Corporate+ Rates'!BF36</f>
        <v>0</v>
      </c>
      <c r="BG372" s="65">
        <f>'Special Corporate+ Rates'!BG36</f>
        <v>0</v>
      </c>
      <c r="BH372" s="65">
        <f>'Special Corporate+ Rates'!BH36</f>
        <v>0</v>
      </c>
      <c r="BI372" s="65">
        <f>'Special Corporate+ Rates'!BI36</f>
        <v>0</v>
      </c>
      <c r="BJ372" s="65">
        <f>'Special Corporate+ Rates'!BJ36</f>
        <v>0</v>
      </c>
      <c r="BK372" s="65">
        <f>'Special Corporate+ Rates'!BK36</f>
        <v>0</v>
      </c>
      <c r="BL372" s="65">
        <f>'Special Corporate+ Rates'!BL36</f>
        <v>0</v>
      </c>
      <c r="BM372" s="65">
        <f>'Special Corporate+ Rates'!BM36</f>
        <v>0</v>
      </c>
      <c r="BN372" s="65">
        <f>'Special Corporate+ Rates'!BN36</f>
        <v>0</v>
      </c>
      <c r="BO372" s="65">
        <f>'Special Corporate+ Rates'!BO36</f>
        <v>0</v>
      </c>
      <c r="BP372" s="65">
        <f>'Special Corporate+ Rates'!BP36</f>
        <v>0</v>
      </c>
      <c r="BQ372" s="65">
        <f>'Special Corporate+ Rates'!BQ36</f>
        <v>0</v>
      </c>
      <c r="BR372" s="65">
        <f>'Special Corporate+ Rates'!BR36</f>
        <v>0</v>
      </c>
      <c r="BS372" s="65">
        <f>'Special Corporate+ Rates'!BS36</f>
        <v>0</v>
      </c>
      <c r="BT372" s="65">
        <f>'Special Corporate+ Rates'!BT36</f>
        <v>0</v>
      </c>
      <c r="BU372" s="65">
        <f>'Special Corporate+ Rates'!BU36</f>
        <v>0</v>
      </c>
      <c r="BV372" s="65">
        <f>'Special Corporate+ Rates'!BV36</f>
        <v>0</v>
      </c>
      <c r="BW372" s="65">
        <f>'Special Corporate+ Rates'!BW36</f>
        <v>0</v>
      </c>
      <c r="BX372" s="65">
        <f>'Special Corporate+ Rates'!BX36</f>
        <v>0</v>
      </c>
      <c r="BY372" s="65">
        <f>'Special Corporate+ Rates'!BY36</f>
        <v>0</v>
      </c>
      <c r="BZ372" s="65">
        <f>'Special Corporate+ Rates'!BZ36</f>
        <v>0</v>
      </c>
      <c r="CA372" s="65">
        <f>'Special Corporate+ Rates'!CA36</f>
        <v>0</v>
      </c>
      <c r="CB372" s="65">
        <f>'Special Corporate+ Rates'!CB36</f>
        <v>0</v>
      </c>
      <c r="CC372" s="65">
        <f>'Special Corporate+ Rates'!CC36</f>
        <v>0</v>
      </c>
      <c r="CD372" s="65">
        <f>'Special Corporate+ Rates'!CD36</f>
        <v>0</v>
      </c>
      <c r="CE372" s="65">
        <f>'Special Corporate+ Rates'!CE36</f>
        <v>0</v>
      </c>
      <c r="CF372" s="65">
        <f>'Special Corporate+ Rates'!CF36</f>
        <v>0</v>
      </c>
      <c r="CG372" s="65">
        <f>'Special Corporate+ Rates'!CG36</f>
        <v>0</v>
      </c>
      <c r="CH372" s="65">
        <f>'Special Corporate+ Rates'!CH36</f>
        <v>0</v>
      </c>
      <c r="CI372" s="65">
        <f>'Special Corporate+ Rates'!CI36</f>
        <v>0</v>
      </c>
      <c r="CJ372" s="65">
        <f>'Special Corporate+ Rates'!CJ36</f>
        <v>0</v>
      </c>
      <c r="CK372" s="65">
        <f>'Special Corporate+ Rates'!CK36</f>
        <v>0</v>
      </c>
      <c r="CL372" s="65">
        <f>'Special Corporate+ Rates'!CL36</f>
        <v>0</v>
      </c>
      <c r="CM372" s="65">
        <f>'Special Corporate+ Rates'!CM36</f>
        <v>0</v>
      </c>
      <c r="CN372" s="65">
        <f>'Special Corporate+ Rates'!CN36</f>
        <v>0</v>
      </c>
      <c r="CO372" s="65">
        <f>'Special Corporate+ Rates'!CO36</f>
        <v>0</v>
      </c>
      <c r="CP372" s="65">
        <f>'Special Corporate+ Rates'!CP36</f>
        <v>0</v>
      </c>
      <c r="CQ372" s="65">
        <f>'Special Corporate+ Rates'!CQ36</f>
        <v>0</v>
      </c>
      <c r="CR372" s="65">
        <f>'Special Corporate+ Rates'!CR36</f>
        <v>0</v>
      </c>
      <c r="CS372" s="65">
        <f>'Special Corporate+ Rates'!CS36</f>
        <v>0</v>
      </c>
      <c r="CT372" s="65">
        <f>'Special Corporate+ Rates'!CT36</f>
        <v>0</v>
      </c>
      <c r="CU372" s="65">
        <f>'Special Corporate+ Rates'!CU36</f>
        <v>0</v>
      </c>
      <c r="CV372" s="65">
        <f>'Special Corporate+ Rates'!CV36</f>
        <v>0</v>
      </c>
      <c r="CW372" s="65">
        <f>'Special Corporate+ Rates'!CW36</f>
        <v>0</v>
      </c>
      <c r="CX372" s="65">
        <f>'Special Corporate+ Rates'!CX36</f>
        <v>0</v>
      </c>
      <c r="CY372" s="65">
        <f>'Special Corporate+ Rates'!CY36</f>
        <v>0</v>
      </c>
      <c r="CZ372" s="65">
        <f>'Special Corporate+ Rates'!CZ36</f>
        <v>0</v>
      </c>
      <c r="DA372" s="65">
        <f>'Special Corporate+ Rates'!DA36</f>
        <v>0</v>
      </c>
      <c r="DB372" s="65">
        <f>'Special Corporate+ Rates'!DB36</f>
        <v>0</v>
      </c>
      <c r="DC372" s="65">
        <f>'Special Corporate+ Rates'!DC36</f>
        <v>0</v>
      </c>
      <c r="DD372" s="65">
        <f>'Special Corporate+ Rates'!DD36</f>
        <v>0</v>
      </c>
      <c r="DE372" s="65">
        <f>'Special Corporate+ Rates'!DE36</f>
        <v>0</v>
      </c>
      <c r="DF372" s="65">
        <f>'Special Corporate+ Rates'!DF36</f>
        <v>0</v>
      </c>
      <c r="DG372" s="65">
        <f>'Special Corporate+ Rates'!DG36</f>
        <v>0</v>
      </c>
      <c r="DH372" s="65">
        <f>'Special Corporate+ Rates'!DH36</f>
        <v>0</v>
      </c>
      <c r="DI372" s="65">
        <f>'Special Corporate+ Rates'!DI36</f>
        <v>0</v>
      </c>
      <c r="DJ372" s="65">
        <f>'Special Corporate+ Rates'!DJ36</f>
        <v>0</v>
      </c>
      <c r="DK372" s="65">
        <f>'Special Corporate+ Rates'!DK36</f>
        <v>0</v>
      </c>
      <c r="DL372" s="65">
        <f>'Special Corporate+ Rates'!DL36</f>
        <v>0</v>
      </c>
      <c r="DM372" s="65">
        <f>'Special Corporate+ Rates'!DM36</f>
        <v>0</v>
      </c>
      <c r="DN372" s="65">
        <f>'Special Corporate+ Rates'!DN36</f>
        <v>0</v>
      </c>
      <c r="DO372" s="65">
        <f>'Special Corporate+ Rates'!DO36</f>
        <v>0</v>
      </c>
      <c r="DP372" s="65">
        <f>'Special Corporate+ Rates'!DP36</f>
        <v>0</v>
      </c>
      <c r="DQ372" s="65">
        <f>'Special Corporate+ Rates'!DQ36</f>
        <v>0</v>
      </c>
      <c r="DR372" s="65">
        <f>'Special Corporate+ Rates'!DR36</f>
        <v>0</v>
      </c>
      <c r="DS372" s="65">
        <f>'Special Corporate+ Rates'!DS36</f>
        <v>0</v>
      </c>
      <c r="DT372" s="65">
        <f>'Special Corporate+ Rates'!DT36</f>
        <v>0</v>
      </c>
      <c r="DU372" s="65">
        <f>'Special Corporate+ Rates'!DU36</f>
        <v>0</v>
      </c>
      <c r="DV372" s="65">
        <f>'Special Corporate+ Rates'!DV36</f>
        <v>0</v>
      </c>
      <c r="DW372" s="65">
        <f>'Special Corporate+ Rates'!DW36</f>
        <v>0</v>
      </c>
      <c r="DX372" s="65">
        <f>'Special Corporate+ Rates'!DX36</f>
        <v>0</v>
      </c>
      <c r="DY372" s="68"/>
    </row>
    <row r="373" spans="1:129" x14ac:dyDescent="0.2">
      <c r="A373" s="152"/>
      <c r="B373" s="65" t="str">
        <f>'Special Corporate+ Rates'!B37</f>
        <v>PMRS</v>
      </c>
      <c r="C373" s="65">
        <f>'Special Corporate+ Rates'!C37</f>
        <v>0</v>
      </c>
      <c r="D373" s="65">
        <f>'Special Corporate+ Rates'!D37</f>
        <v>0</v>
      </c>
      <c r="E373" s="65">
        <f>'Special Corporate+ Rates'!E37</f>
        <v>0</v>
      </c>
      <c r="F373" s="65">
        <f>'Special Corporate+ Rates'!F37</f>
        <v>0</v>
      </c>
      <c r="G373" s="65">
        <f>'Special Corporate+ Rates'!G37</f>
        <v>0</v>
      </c>
      <c r="H373" s="65">
        <f>'Special Corporate+ Rates'!H37</f>
        <v>0</v>
      </c>
      <c r="I373" s="65">
        <f>'Special Corporate+ Rates'!I37</f>
        <v>0</v>
      </c>
      <c r="J373" s="65">
        <f>'Special Corporate+ Rates'!J37</f>
        <v>0</v>
      </c>
      <c r="K373" s="65">
        <f>'Special Corporate+ Rates'!K37</f>
        <v>0</v>
      </c>
      <c r="L373" s="65">
        <f>'Special Corporate+ Rates'!L37</f>
        <v>0</v>
      </c>
      <c r="M373" s="65">
        <f>'Special Corporate+ Rates'!M37</f>
        <v>0</v>
      </c>
      <c r="N373" s="65">
        <f>'Special Corporate+ Rates'!N37</f>
        <v>0</v>
      </c>
      <c r="O373" s="65">
        <f>'Special Corporate+ Rates'!O37</f>
        <v>0</v>
      </c>
      <c r="P373" s="65">
        <f>'Special Corporate+ Rates'!P37</f>
        <v>0</v>
      </c>
      <c r="Q373" s="65">
        <f>'Special Corporate+ Rates'!Q37</f>
        <v>0</v>
      </c>
      <c r="R373" s="65">
        <f>'Special Corporate+ Rates'!R37</f>
        <v>0</v>
      </c>
      <c r="S373" s="65">
        <f>'Special Corporate+ Rates'!S37</f>
        <v>0</v>
      </c>
      <c r="T373" s="65">
        <f>'Special Corporate+ Rates'!T37</f>
        <v>0</v>
      </c>
      <c r="U373" s="65">
        <f>'Special Corporate+ Rates'!U37</f>
        <v>0</v>
      </c>
      <c r="V373" s="65">
        <f>'Special Corporate+ Rates'!V37</f>
        <v>0</v>
      </c>
      <c r="W373" s="65">
        <f>'Special Corporate+ Rates'!W37</f>
        <v>0</v>
      </c>
      <c r="X373" s="65">
        <f>'Special Corporate+ Rates'!X37</f>
        <v>0</v>
      </c>
      <c r="Y373" s="65">
        <f>'Special Corporate+ Rates'!Y37</f>
        <v>0</v>
      </c>
      <c r="Z373" s="65">
        <f>'Special Corporate+ Rates'!Z37</f>
        <v>0</v>
      </c>
      <c r="AA373" s="65">
        <f>'Special Corporate+ Rates'!AA37</f>
        <v>0</v>
      </c>
      <c r="AB373" s="65">
        <f>'Special Corporate+ Rates'!AB37</f>
        <v>0</v>
      </c>
      <c r="AC373" s="65">
        <f>'Special Corporate+ Rates'!AC37</f>
        <v>0</v>
      </c>
      <c r="AD373" s="65">
        <f>'Special Corporate+ Rates'!AD37</f>
        <v>0</v>
      </c>
      <c r="AE373" s="65">
        <f>'Special Corporate+ Rates'!AE37</f>
        <v>0</v>
      </c>
      <c r="AF373" s="65">
        <f>'Special Corporate+ Rates'!AF37</f>
        <v>0</v>
      </c>
      <c r="AG373" s="65">
        <f>'Special Corporate+ Rates'!AG37</f>
        <v>0</v>
      </c>
      <c r="AH373" s="65">
        <f>'Special Corporate+ Rates'!AH37</f>
        <v>0</v>
      </c>
      <c r="AI373" s="65">
        <f>'Special Corporate+ Rates'!AI37</f>
        <v>0</v>
      </c>
      <c r="AJ373" s="65">
        <f>'Special Corporate+ Rates'!AJ37</f>
        <v>0</v>
      </c>
      <c r="AK373" s="65">
        <f>'Special Corporate+ Rates'!AK37</f>
        <v>0</v>
      </c>
      <c r="AL373" s="65">
        <f>'Special Corporate+ Rates'!AL37</f>
        <v>0</v>
      </c>
      <c r="AM373" s="65">
        <f>'Special Corporate+ Rates'!AM37</f>
        <v>0</v>
      </c>
      <c r="AN373" s="65">
        <f>'Special Corporate+ Rates'!AN37</f>
        <v>0</v>
      </c>
      <c r="AO373" s="65">
        <f>'Special Corporate+ Rates'!AO37</f>
        <v>0</v>
      </c>
      <c r="AP373" s="65">
        <f>'Special Corporate+ Rates'!AP37</f>
        <v>0</v>
      </c>
      <c r="AQ373" s="65">
        <f>'Special Corporate+ Rates'!AQ37</f>
        <v>0</v>
      </c>
      <c r="AR373" s="65">
        <f>'Special Corporate+ Rates'!AR37</f>
        <v>0</v>
      </c>
      <c r="AS373" s="65">
        <f>'Special Corporate+ Rates'!AS37</f>
        <v>0</v>
      </c>
      <c r="AT373" s="65">
        <f>'Special Corporate+ Rates'!AT37</f>
        <v>0</v>
      </c>
      <c r="AU373" s="65">
        <f>'Special Corporate+ Rates'!AU37</f>
        <v>0</v>
      </c>
      <c r="AV373" s="65">
        <f>'Special Corporate+ Rates'!AV37</f>
        <v>0</v>
      </c>
      <c r="AW373" s="65">
        <f>'Special Corporate+ Rates'!AW37</f>
        <v>0</v>
      </c>
      <c r="AX373" s="65">
        <f>'Special Corporate+ Rates'!AX37</f>
        <v>0</v>
      </c>
      <c r="AY373" s="65">
        <f>'Special Corporate+ Rates'!AY37</f>
        <v>0</v>
      </c>
      <c r="AZ373" s="65">
        <f>'Special Corporate+ Rates'!AZ37</f>
        <v>0</v>
      </c>
      <c r="BA373" s="65">
        <f>'Special Corporate+ Rates'!BA37</f>
        <v>0</v>
      </c>
      <c r="BB373" s="65">
        <f>'Special Corporate+ Rates'!BB37</f>
        <v>0</v>
      </c>
      <c r="BC373" s="65">
        <f>'Special Corporate+ Rates'!BC37</f>
        <v>0</v>
      </c>
      <c r="BD373" s="65">
        <f>'Special Corporate+ Rates'!BD37</f>
        <v>0</v>
      </c>
      <c r="BE373" s="65">
        <f>'Special Corporate+ Rates'!BE37</f>
        <v>0</v>
      </c>
      <c r="BF373" s="65">
        <f>'Special Corporate+ Rates'!BF37</f>
        <v>0</v>
      </c>
      <c r="BG373" s="65">
        <f>'Special Corporate+ Rates'!BG37</f>
        <v>0</v>
      </c>
      <c r="BH373" s="65">
        <f>'Special Corporate+ Rates'!BH37</f>
        <v>0</v>
      </c>
      <c r="BI373" s="65">
        <f>'Special Corporate+ Rates'!BI37</f>
        <v>0</v>
      </c>
      <c r="BJ373" s="65">
        <f>'Special Corporate+ Rates'!BJ37</f>
        <v>0</v>
      </c>
      <c r="BK373" s="65">
        <f>'Special Corporate+ Rates'!BK37</f>
        <v>0</v>
      </c>
      <c r="BL373" s="65">
        <f>'Special Corporate+ Rates'!BL37</f>
        <v>0</v>
      </c>
      <c r="BM373" s="65">
        <f>'Special Corporate+ Rates'!BM37</f>
        <v>0</v>
      </c>
      <c r="BN373" s="65">
        <f>'Special Corporate+ Rates'!BN37</f>
        <v>0</v>
      </c>
      <c r="BO373" s="65">
        <f>'Special Corporate+ Rates'!BO37</f>
        <v>0</v>
      </c>
      <c r="BP373" s="65">
        <f>'Special Corporate+ Rates'!BP37</f>
        <v>0</v>
      </c>
      <c r="BQ373" s="65">
        <f>'Special Corporate+ Rates'!BQ37</f>
        <v>0</v>
      </c>
      <c r="BR373" s="65">
        <f>'Special Corporate+ Rates'!BR37</f>
        <v>0</v>
      </c>
      <c r="BS373" s="65">
        <f>'Special Corporate+ Rates'!BS37</f>
        <v>0</v>
      </c>
      <c r="BT373" s="65">
        <f>'Special Corporate+ Rates'!BT37</f>
        <v>0</v>
      </c>
      <c r="BU373" s="65">
        <f>'Special Corporate+ Rates'!BU37</f>
        <v>0</v>
      </c>
      <c r="BV373" s="65">
        <f>'Special Corporate+ Rates'!BV37</f>
        <v>0</v>
      </c>
      <c r="BW373" s="65">
        <f>'Special Corporate+ Rates'!BW37</f>
        <v>0</v>
      </c>
      <c r="BX373" s="65">
        <f>'Special Corporate+ Rates'!BX37</f>
        <v>0</v>
      </c>
      <c r="BY373" s="65">
        <f>'Special Corporate+ Rates'!BY37</f>
        <v>0</v>
      </c>
      <c r="BZ373" s="65">
        <f>'Special Corporate+ Rates'!BZ37</f>
        <v>0</v>
      </c>
      <c r="CA373" s="65">
        <f>'Special Corporate+ Rates'!CA37</f>
        <v>0</v>
      </c>
      <c r="CB373" s="65">
        <f>'Special Corporate+ Rates'!CB37</f>
        <v>0</v>
      </c>
      <c r="CC373" s="65">
        <f>'Special Corporate+ Rates'!CC37</f>
        <v>0</v>
      </c>
      <c r="CD373" s="65">
        <f>'Special Corporate+ Rates'!CD37</f>
        <v>0</v>
      </c>
      <c r="CE373" s="65">
        <f>'Special Corporate+ Rates'!CE37</f>
        <v>0</v>
      </c>
      <c r="CF373" s="65">
        <f>'Special Corporate+ Rates'!CF37</f>
        <v>0</v>
      </c>
      <c r="CG373" s="65">
        <f>'Special Corporate+ Rates'!CG37</f>
        <v>0</v>
      </c>
      <c r="CH373" s="65">
        <f>'Special Corporate+ Rates'!CH37</f>
        <v>0</v>
      </c>
      <c r="CI373" s="65">
        <f>'Special Corporate+ Rates'!CI37</f>
        <v>0</v>
      </c>
      <c r="CJ373" s="65">
        <f>'Special Corporate+ Rates'!CJ37</f>
        <v>0</v>
      </c>
      <c r="CK373" s="65">
        <f>'Special Corporate+ Rates'!CK37</f>
        <v>0</v>
      </c>
      <c r="CL373" s="65">
        <f>'Special Corporate+ Rates'!CL37</f>
        <v>0</v>
      </c>
      <c r="CM373" s="65">
        <f>'Special Corporate+ Rates'!CM37</f>
        <v>0</v>
      </c>
      <c r="CN373" s="65">
        <f>'Special Corporate+ Rates'!CN37</f>
        <v>0</v>
      </c>
      <c r="CO373" s="65">
        <f>'Special Corporate+ Rates'!CO37</f>
        <v>0</v>
      </c>
      <c r="CP373" s="65">
        <f>'Special Corporate+ Rates'!CP37</f>
        <v>0</v>
      </c>
      <c r="CQ373" s="65">
        <f>'Special Corporate+ Rates'!CQ37</f>
        <v>0</v>
      </c>
      <c r="CR373" s="65">
        <f>'Special Corporate+ Rates'!CR37</f>
        <v>0</v>
      </c>
      <c r="CS373" s="65">
        <f>'Special Corporate+ Rates'!CS37</f>
        <v>0</v>
      </c>
      <c r="CT373" s="65">
        <f>'Special Corporate+ Rates'!CT37</f>
        <v>0</v>
      </c>
      <c r="CU373" s="65">
        <f>'Special Corporate+ Rates'!CU37</f>
        <v>0</v>
      </c>
      <c r="CV373" s="65">
        <f>'Special Corporate+ Rates'!CV37</f>
        <v>0</v>
      </c>
      <c r="CW373" s="65">
        <f>'Special Corporate+ Rates'!CW37</f>
        <v>0</v>
      </c>
      <c r="CX373" s="65">
        <f>'Special Corporate+ Rates'!CX37</f>
        <v>0</v>
      </c>
      <c r="CY373" s="65">
        <f>'Special Corporate+ Rates'!CY37</f>
        <v>0</v>
      </c>
      <c r="CZ373" s="65">
        <f>'Special Corporate+ Rates'!CZ37</f>
        <v>0</v>
      </c>
      <c r="DA373" s="65">
        <f>'Special Corporate+ Rates'!DA37</f>
        <v>0</v>
      </c>
      <c r="DB373" s="65">
        <f>'Special Corporate+ Rates'!DB37</f>
        <v>0</v>
      </c>
      <c r="DC373" s="65">
        <f>'Special Corporate+ Rates'!DC37</f>
        <v>0</v>
      </c>
      <c r="DD373" s="65">
        <f>'Special Corporate+ Rates'!DD37</f>
        <v>0</v>
      </c>
      <c r="DE373" s="65">
        <f>'Special Corporate+ Rates'!DE37</f>
        <v>0</v>
      </c>
      <c r="DF373" s="65">
        <f>'Special Corporate+ Rates'!DF37</f>
        <v>0</v>
      </c>
      <c r="DG373" s="65">
        <f>'Special Corporate+ Rates'!DG37</f>
        <v>0</v>
      </c>
      <c r="DH373" s="65">
        <f>'Special Corporate+ Rates'!DH37</f>
        <v>0</v>
      </c>
      <c r="DI373" s="65">
        <f>'Special Corporate+ Rates'!DI37</f>
        <v>0</v>
      </c>
      <c r="DJ373" s="65">
        <f>'Special Corporate+ Rates'!DJ37</f>
        <v>0</v>
      </c>
      <c r="DK373" s="65">
        <f>'Special Corporate+ Rates'!DK37</f>
        <v>0</v>
      </c>
      <c r="DL373" s="65">
        <f>'Special Corporate+ Rates'!DL37</f>
        <v>0</v>
      </c>
      <c r="DM373" s="65">
        <f>'Special Corporate+ Rates'!DM37</f>
        <v>0</v>
      </c>
      <c r="DN373" s="65">
        <f>'Special Corporate+ Rates'!DN37</f>
        <v>0</v>
      </c>
      <c r="DO373" s="65">
        <f>'Special Corporate+ Rates'!DO37</f>
        <v>0</v>
      </c>
      <c r="DP373" s="65">
        <f>'Special Corporate+ Rates'!DP37</f>
        <v>0</v>
      </c>
      <c r="DQ373" s="65">
        <f>'Special Corporate+ Rates'!DQ37</f>
        <v>0</v>
      </c>
      <c r="DR373" s="65">
        <f>'Special Corporate+ Rates'!DR37</f>
        <v>0</v>
      </c>
      <c r="DS373" s="65">
        <f>'Special Corporate+ Rates'!DS37</f>
        <v>0</v>
      </c>
      <c r="DT373" s="65">
        <f>'Special Corporate+ Rates'!DT37</f>
        <v>0</v>
      </c>
      <c r="DU373" s="65">
        <f>'Special Corporate+ Rates'!DU37</f>
        <v>0</v>
      </c>
      <c r="DV373" s="65">
        <f>'Special Corporate+ Rates'!DV37</f>
        <v>0</v>
      </c>
      <c r="DW373" s="65">
        <f>'Special Corporate+ Rates'!DW37</f>
        <v>0</v>
      </c>
      <c r="DX373" s="65">
        <f>'Special Corporate+ Rates'!DX37</f>
        <v>0</v>
      </c>
      <c r="DY373" s="68"/>
    </row>
    <row r="374" spans="1:129" x14ac:dyDescent="0.2">
      <c r="A374" s="152"/>
      <c r="B374" s="65" t="str">
        <f>'Special Corporate+ Rates'!B38</f>
        <v>PMRS</v>
      </c>
      <c r="C374" s="65">
        <f>'Special Corporate+ Rates'!C38</f>
        <v>0</v>
      </c>
      <c r="D374" s="65">
        <f>'Special Corporate+ Rates'!D38</f>
        <v>0</v>
      </c>
      <c r="E374" s="65">
        <f>'Special Corporate+ Rates'!E38</f>
        <v>0</v>
      </c>
      <c r="F374" s="65">
        <f>'Special Corporate+ Rates'!F38</f>
        <v>0</v>
      </c>
      <c r="G374" s="65">
        <f>'Special Corporate+ Rates'!G38</f>
        <v>0</v>
      </c>
      <c r="H374" s="65">
        <f>'Special Corporate+ Rates'!H38</f>
        <v>0</v>
      </c>
      <c r="I374" s="65">
        <f>'Special Corporate+ Rates'!I38</f>
        <v>0</v>
      </c>
      <c r="J374" s="65">
        <f>'Special Corporate+ Rates'!J38</f>
        <v>0</v>
      </c>
      <c r="K374" s="65">
        <f>'Special Corporate+ Rates'!K38</f>
        <v>0</v>
      </c>
      <c r="L374" s="65">
        <f>'Special Corporate+ Rates'!L38</f>
        <v>0</v>
      </c>
      <c r="M374" s="65">
        <f>'Special Corporate+ Rates'!M38</f>
        <v>0</v>
      </c>
      <c r="N374" s="65">
        <f>'Special Corporate+ Rates'!N38</f>
        <v>0</v>
      </c>
      <c r="O374" s="65">
        <f>'Special Corporate+ Rates'!O38</f>
        <v>0</v>
      </c>
      <c r="P374" s="65">
        <f>'Special Corporate+ Rates'!P38</f>
        <v>0</v>
      </c>
      <c r="Q374" s="65">
        <f>'Special Corporate+ Rates'!Q38</f>
        <v>0</v>
      </c>
      <c r="R374" s="65">
        <f>'Special Corporate+ Rates'!R38</f>
        <v>0</v>
      </c>
      <c r="S374" s="65">
        <f>'Special Corporate+ Rates'!S38</f>
        <v>0</v>
      </c>
      <c r="T374" s="65">
        <f>'Special Corporate+ Rates'!T38</f>
        <v>0</v>
      </c>
      <c r="U374" s="65">
        <f>'Special Corporate+ Rates'!U38</f>
        <v>0</v>
      </c>
      <c r="V374" s="65">
        <f>'Special Corporate+ Rates'!V38</f>
        <v>0</v>
      </c>
      <c r="W374" s="65">
        <f>'Special Corporate+ Rates'!W38</f>
        <v>0</v>
      </c>
      <c r="X374" s="65">
        <f>'Special Corporate+ Rates'!X38</f>
        <v>0</v>
      </c>
      <c r="Y374" s="65">
        <f>'Special Corporate+ Rates'!Y38</f>
        <v>0</v>
      </c>
      <c r="Z374" s="65">
        <f>'Special Corporate+ Rates'!Z38</f>
        <v>0</v>
      </c>
      <c r="AA374" s="65">
        <f>'Special Corporate+ Rates'!AA38</f>
        <v>0</v>
      </c>
      <c r="AB374" s="65">
        <f>'Special Corporate+ Rates'!AB38</f>
        <v>0</v>
      </c>
      <c r="AC374" s="65">
        <f>'Special Corporate+ Rates'!AC38</f>
        <v>0</v>
      </c>
      <c r="AD374" s="65">
        <f>'Special Corporate+ Rates'!AD38</f>
        <v>0</v>
      </c>
      <c r="AE374" s="65">
        <f>'Special Corporate+ Rates'!AE38</f>
        <v>0</v>
      </c>
      <c r="AF374" s="65">
        <f>'Special Corporate+ Rates'!AF38</f>
        <v>0</v>
      </c>
      <c r="AG374" s="65">
        <f>'Special Corporate+ Rates'!AG38</f>
        <v>0</v>
      </c>
      <c r="AH374" s="65">
        <f>'Special Corporate+ Rates'!AH38</f>
        <v>0</v>
      </c>
      <c r="AI374" s="65">
        <f>'Special Corporate+ Rates'!AI38</f>
        <v>0</v>
      </c>
      <c r="AJ374" s="65">
        <f>'Special Corporate+ Rates'!AJ38</f>
        <v>0</v>
      </c>
      <c r="AK374" s="65">
        <f>'Special Corporate+ Rates'!AK38</f>
        <v>0</v>
      </c>
      <c r="AL374" s="65">
        <f>'Special Corporate+ Rates'!AL38</f>
        <v>0</v>
      </c>
      <c r="AM374" s="65">
        <f>'Special Corporate+ Rates'!AM38</f>
        <v>0</v>
      </c>
      <c r="AN374" s="65">
        <f>'Special Corporate+ Rates'!AN38</f>
        <v>0</v>
      </c>
      <c r="AO374" s="65">
        <f>'Special Corporate+ Rates'!AO38</f>
        <v>0</v>
      </c>
      <c r="AP374" s="65">
        <f>'Special Corporate+ Rates'!AP38</f>
        <v>0</v>
      </c>
      <c r="AQ374" s="65">
        <f>'Special Corporate+ Rates'!AQ38</f>
        <v>0</v>
      </c>
      <c r="AR374" s="65">
        <f>'Special Corporate+ Rates'!AR38</f>
        <v>0</v>
      </c>
      <c r="AS374" s="65">
        <f>'Special Corporate+ Rates'!AS38</f>
        <v>0</v>
      </c>
      <c r="AT374" s="65">
        <f>'Special Corporate+ Rates'!AT38</f>
        <v>0</v>
      </c>
      <c r="AU374" s="65">
        <f>'Special Corporate+ Rates'!AU38</f>
        <v>0</v>
      </c>
      <c r="AV374" s="65">
        <f>'Special Corporate+ Rates'!AV38</f>
        <v>0</v>
      </c>
      <c r="AW374" s="65">
        <f>'Special Corporate+ Rates'!AW38</f>
        <v>0</v>
      </c>
      <c r="AX374" s="65">
        <f>'Special Corporate+ Rates'!AX38</f>
        <v>0</v>
      </c>
      <c r="AY374" s="65">
        <f>'Special Corporate+ Rates'!AY38</f>
        <v>0</v>
      </c>
      <c r="AZ374" s="65">
        <f>'Special Corporate+ Rates'!AZ38</f>
        <v>0</v>
      </c>
      <c r="BA374" s="65">
        <f>'Special Corporate+ Rates'!BA38</f>
        <v>0</v>
      </c>
      <c r="BB374" s="65">
        <f>'Special Corporate+ Rates'!BB38</f>
        <v>0</v>
      </c>
      <c r="BC374" s="65">
        <f>'Special Corporate+ Rates'!BC38</f>
        <v>0</v>
      </c>
      <c r="BD374" s="65">
        <f>'Special Corporate+ Rates'!BD38</f>
        <v>0</v>
      </c>
      <c r="BE374" s="65">
        <f>'Special Corporate+ Rates'!BE38</f>
        <v>0</v>
      </c>
      <c r="BF374" s="65">
        <f>'Special Corporate+ Rates'!BF38</f>
        <v>0</v>
      </c>
      <c r="BG374" s="65">
        <f>'Special Corporate+ Rates'!BG38</f>
        <v>0</v>
      </c>
      <c r="BH374" s="65">
        <f>'Special Corporate+ Rates'!BH38</f>
        <v>0</v>
      </c>
      <c r="BI374" s="65">
        <f>'Special Corporate+ Rates'!BI38</f>
        <v>0</v>
      </c>
      <c r="BJ374" s="65">
        <f>'Special Corporate+ Rates'!BJ38</f>
        <v>0</v>
      </c>
      <c r="BK374" s="65">
        <f>'Special Corporate+ Rates'!BK38</f>
        <v>0</v>
      </c>
      <c r="BL374" s="65">
        <f>'Special Corporate+ Rates'!BL38</f>
        <v>0</v>
      </c>
      <c r="BM374" s="65">
        <f>'Special Corporate+ Rates'!BM38</f>
        <v>0</v>
      </c>
      <c r="BN374" s="65">
        <f>'Special Corporate+ Rates'!BN38</f>
        <v>0</v>
      </c>
      <c r="BO374" s="65">
        <f>'Special Corporate+ Rates'!BO38</f>
        <v>0</v>
      </c>
      <c r="BP374" s="65">
        <f>'Special Corporate+ Rates'!BP38</f>
        <v>0</v>
      </c>
      <c r="BQ374" s="65">
        <f>'Special Corporate+ Rates'!BQ38</f>
        <v>0</v>
      </c>
      <c r="BR374" s="65">
        <f>'Special Corporate+ Rates'!BR38</f>
        <v>0</v>
      </c>
      <c r="BS374" s="65">
        <f>'Special Corporate+ Rates'!BS38</f>
        <v>0</v>
      </c>
      <c r="BT374" s="65">
        <f>'Special Corporate+ Rates'!BT38</f>
        <v>0</v>
      </c>
      <c r="BU374" s="65">
        <f>'Special Corporate+ Rates'!BU38</f>
        <v>0</v>
      </c>
      <c r="BV374" s="65">
        <f>'Special Corporate+ Rates'!BV38</f>
        <v>0</v>
      </c>
      <c r="BW374" s="65">
        <f>'Special Corporate+ Rates'!BW38</f>
        <v>0</v>
      </c>
      <c r="BX374" s="65">
        <f>'Special Corporate+ Rates'!BX38</f>
        <v>0</v>
      </c>
      <c r="BY374" s="65">
        <f>'Special Corporate+ Rates'!BY38</f>
        <v>0</v>
      </c>
      <c r="BZ374" s="65">
        <f>'Special Corporate+ Rates'!BZ38</f>
        <v>0</v>
      </c>
      <c r="CA374" s="65">
        <f>'Special Corporate+ Rates'!CA38</f>
        <v>0</v>
      </c>
      <c r="CB374" s="65">
        <f>'Special Corporate+ Rates'!CB38</f>
        <v>0</v>
      </c>
      <c r="CC374" s="65">
        <f>'Special Corporate+ Rates'!CC38</f>
        <v>0</v>
      </c>
      <c r="CD374" s="65">
        <f>'Special Corporate+ Rates'!CD38</f>
        <v>0</v>
      </c>
      <c r="CE374" s="65">
        <f>'Special Corporate+ Rates'!CE38</f>
        <v>0</v>
      </c>
      <c r="CF374" s="65">
        <f>'Special Corporate+ Rates'!CF38</f>
        <v>0</v>
      </c>
      <c r="CG374" s="65">
        <f>'Special Corporate+ Rates'!CG38</f>
        <v>0</v>
      </c>
      <c r="CH374" s="65">
        <f>'Special Corporate+ Rates'!CH38</f>
        <v>0</v>
      </c>
      <c r="CI374" s="65">
        <f>'Special Corporate+ Rates'!CI38</f>
        <v>0</v>
      </c>
      <c r="CJ374" s="65">
        <f>'Special Corporate+ Rates'!CJ38</f>
        <v>0</v>
      </c>
      <c r="CK374" s="65">
        <f>'Special Corporate+ Rates'!CK38</f>
        <v>0</v>
      </c>
      <c r="CL374" s="65">
        <f>'Special Corporate+ Rates'!CL38</f>
        <v>0</v>
      </c>
      <c r="CM374" s="65">
        <f>'Special Corporate+ Rates'!CM38</f>
        <v>0</v>
      </c>
      <c r="CN374" s="65">
        <f>'Special Corporate+ Rates'!CN38</f>
        <v>0</v>
      </c>
      <c r="CO374" s="65">
        <f>'Special Corporate+ Rates'!CO38</f>
        <v>0</v>
      </c>
      <c r="CP374" s="65">
        <f>'Special Corporate+ Rates'!CP38</f>
        <v>0</v>
      </c>
      <c r="CQ374" s="65">
        <f>'Special Corporate+ Rates'!CQ38</f>
        <v>0</v>
      </c>
      <c r="CR374" s="65">
        <f>'Special Corporate+ Rates'!CR38</f>
        <v>0</v>
      </c>
      <c r="CS374" s="65">
        <f>'Special Corporate+ Rates'!CS38</f>
        <v>0</v>
      </c>
      <c r="CT374" s="65">
        <f>'Special Corporate+ Rates'!CT38</f>
        <v>0</v>
      </c>
      <c r="CU374" s="65">
        <f>'Special Corporate+ Rates'!CU38</f>
        <v>0</v>
      </c>
      <c r="CV374" s="65">
        <f>'Special Corporate+ Rates'!CV38</f>
        <v>0</v>
      </c>
      <c r="CW374" s="65">
        <f>'Special Corporate+ Rates'!CW38</f>
        <v>0</v>
      </c>
      <c r="CX374" s="65">
        <f>'Special Corporate+ Rates'!CX38</f>
        <v>0</v>
      </c>
      <c r="CY374" s="65">
        <f>'Special Corporate+ Rates'!CY38</f>
        <v>0</v>
      </c>
      <c r="CZ374" s="65">
        <f>'Special Corporate+ Rates'!CZ38</f>
        <v>0</v>
      </c>
      <c r="DA374" s="65">
        <f>'Special Corporate+ Rates'!DA38</f>
        <v>0</v>
      </c>
      <c r="DB374" s="65">
        <f>'Special Corporate+ Rates'!DB38</f>
        <v>0</v>
      </c>
      <c r="DC374" s="65">
        <f>'Special Corporate+ Rates'!DC38</f>
        <v>0</v>
      </c>
      <c r="DD374" s="65">
        <f>'Special Corporate+ Rates'!DD38</f>
        <v>0</v>
      </c>
      <c r="DE374" s="65">
        <f>'Special Corporate+ Rates'!DE38</f>
        <v>0</v>
      </c>
      <c r="DF374" s="65">
        <f>'Special Corporate+ Rates'!DF38</f>
        <v>0</v>
      </c>
      <c r="DG374" s="65">
        <f>'Special Corporate+ Rates'!DG38</f>
        <v>0</v>
      </c>
      <c r="DH374" s="65">
        <f>'Special Corporate+ Rates'!DH38</f>
        <v>0</v>
      </c>
      <c r="DI374" s="65">
        <f>'Special Corporate+ Rates'!DI38</f>
        <v>0</v>
      </c>
      <c r="DJ374" s="65">
        <f>'Special Corporate+ Rates'!DJ38</f>
        <v>0</v>
      </c>
      <c r="DK374" s="65">
        <f>'Special Corporate+ Rates'!DK38</f>
        <v>0</v>
      </c>
      <c r="DL374" s="65">
        <f>'Special Corporate+ Rates'!DL38</f>
        <v>0</v>
      </c>
      <c r="DM374" s="65">
        <f>'Special Corporate+ Rates'!DM38</f>
        <v>0</v>
      </c>
      <c r="DN374" s="65">
        <f>'Special Corporate+ Rates'!DN38</f>
        <v>0</v>
      </c>
      <c r="DO374" s="65">
        <f>'Special Corporate+ Rates'!DO38</f>
        <v>0</v>
      </c>
      <c r="DP374" s="65">
        <f>'Special Corporate+ Rates'!DP38</f>
        <v>0</v>
      </c>
      <c r="DQ374" s="65">
        <f>'Special Corporate+ Rates'!DQ38</f>
        <v>0</v>
      </c>
      <c r="DR374" s="65">
        <f>'Special Corporate+ Rates'!DR38</f>
        <v>0</v>
      </c>
      <c r="DS374" s="65">
        <f>'Special Corporate+ Rates'!DS38</f>
        <v>0</v>
      </c>
      <c r="DT374" s="65">
        <f>'Special Corporate+ Rates'!DT38</f>
        <v>0</v>
      </c>
      <c r="DU374" s="65">
        <f>'Special Corporate+ Rates'!DU38</f>
        <v>0</v>
      </c>
      <c r="DV374" s="65">
        <f>'Special Corporate+ Rates'!DV38</f>
        <v>0</v>
      </c>
      <c r="DW374" s="65">
        <f>'Special Corporate+ Rates'!DW38</f>
        <v>0</v>
      </c>
      <c r="DX374" s="65">
        <f>'Special Corporate+ Rates'!DX38</f>
        <v>0</v>
      </c>
      <c r="DY374" s="68"/>
    </row>
    <row r="375" spans="1:129" x14ac:dyDescent="0.2">
      <c r="A375" s="152"/>
      <c r="B375" s="65">
        <f>'Special Corporate+ Rates'!B39</f>
        <v>0</v>
      </c>
      <c r="C375" s="65">
        <f>'Special Corporate+ Rates'!C39</f>
        <v>0</v>
      </c>
      <c r="D375" s="65">
        <f>'Special Corporate+ Rates'!D39</f>
        <v>0</v>
      </c>
      <c r="E375" s="65">
        <f>'Special Corporate+ Rates'!E39</f>
        <v>0</v>
      </c>
      <c r="F375" s="65">
        <f>'Special Corporate+ Rates'!F39</f>
        <v>0</v>
      </c>
      <c r="G375" s="65">
        <f>'Special Corporate+ Rates'!G39</f>
        <v>0</v>
      </c>
      <c r="H375" s="65">
        <f>'Special Corporate+ Rates'!H39</f>
        <v>0</v>
      </c>
      <c r="I375" s="65">
        <f>'Special Corporate+ Rates'!I39</f>
        <v>0</v>
      </c>
      <c r="J375" s="65">
        <f>'Special Corporate+ Rates'!J39</f>
        <v>0</v>
      </c>
      <c r="K375" s="65">
        <f>'Special Corporate+ Rates'!K39</f>
        <v>0</v>
      </c>
      <c r="L375" s="65">
        <f>'Special Corporate+ Rates'!L39</f>
        <v>0</v>
      </c>
      <c r="M375" s="65">
        <f>'Special Corporate+ Rates'!M39</f>
        <v>0</v>
      </c>
      <c r="N375" s="65">
        <f>'Special Corporate+ Rates'!N39</f>
        <v>0</v>
      </c>
      <c r="O375" s="65">
        <f>'Special Corporate+ Rates'!O39</f>
        <v>0</v>
      </c>
      <c r="P375" s="65">
        <f>'Special Corporate+ Rates'!P39</f>
        <v>0</v>
      </c>
      <c r="Q375" s="65">
        <f>'Special Corporate+ Rates'!Q39</f>
        <v>0</v>
      </c>
      <c r="R375" s="65">
        <f>'Special Corporate+ Rates'!R39</f>
        <v>0</v>
      </c>
      <c r="S375" s="65">
        <f>'Special Corporate+ Rates'!S39</f>
        <v>0</v>
      </c>
      <c r="T375" s="65">
        <f>'Special Corporate+ Rates'!T39</f>
        <v>0</v>
      </c>
      <c r="U375" s="65">
        <f>'Special Corporate+ Rates'!U39</f>
        <v>0</v>
      </c>
      <c r="V375" s="65">
        <f>'Special Corporate+ Rates'!V39</f>
        <v>0</v>
      </c>
      <c r="W375" s="65">
        <f>'Special Corporate+ Rates'!W39</f>
        <v>0</v>
      </c>
      <c r="X375" s="65">
        <f>'Special Corporate+ Rates'!X39</f>
        <v>0</v>
      </c>
      <c r="Y375" s="65">
        <f>'Special Corporate+ Rates'!Y39</f>
        <v>0</v>
      </c>
      <c r="Z375" s="65">
        <f>'Special Corporate+ Rates'!Z39</f>
        <v>0</v>
      </c>
      <c r="AA375" s="65">
        <f>'Special Corporate+ Rates'!AA39</f>
        <v>0</v>
      </c>
      <c r="AB375" s="65">
        <f>'Special Corporate+ Rates'!AB39</f>
        <v>0</v>
      </c>
      <c r="AC375" s="65">
        <f>'Special Corporate+ Rates'!AC39</f>
        <v>0</v>
      </c>
      <c r="AD375" s="65">
        <f>'Special Corporate+ Rates'!AD39</f>
        <v>0</v>
      </c>
      <c r="AE375" s="65">
        <f>'Special Corporate+ Rates'!AE39</f>
        <v>0</v>
      </c>
      <c r="AF375" s="65">
        <f>'Special Corporate+ Rates'!AF39</f>
        <v>0</v>
      </c>
      <c r="AG375" s="65">
        <f>'Special Corporate+ Rates'!AG39</f>
        <v>0</v>
      </c>
      <c r="AH375" s="65">
        <f>'Special Corporate+ Rates'!AH39</f>
        <v>0</v>
      </c>
      <c r="AI375" s="65">
        <f>'Special Corporate+ Rates'!AI39</f>
        <v>0</v>
      </c>
      <c r="AJ375" s="65">
        <f>'Special Corporate+ Rates'!AJ39</f>
        <v>0</v>
      </c>
      <c r="AK375" s="65">
        <f>'Special Corporate+ Rates'!AK39</f>
        <v>0</v>
      </c>
      <c r="AL375" s="65">
        <f>'Special Corporate+ Rates'!AL39</f>
        <v>0</v>
      </c>
      <c r="AM375" s="65">
        <f>'Special Corporate+ Rates'!AM39</f>
        <v>0</v>
      </c>
      <c r="AN375" s="65">
        <f>'Special Corporate+ Rates'!AN39</f>
        <v>0</v>
      </c>
      <c r="AO375" s="65">
        <f>'Special Corporate+ Rates'!AO39</f>
        <v>0</v>
      </c>
      <c r="AP375" s="65">
        <f>'Special Corporate+ Rates'!AP39</f>
        <v>0</v>
      </c>
      <c r="AQ375" s="65">
        <f>'Special Corporate+ Rates'!AQ39</f>
        <v>0</v>
      </c>
      <c r="AR375" s="65">
        <f>'Special Corporate+ Rates'!AR39</f>
        <v>0</v>
      </c>
      <c r="AS375" s="65">
        <f>'Special Corporate+ Rates'!AS39</f>
        <v>0</v>
      </c>
      <c r="AT375" s="65">
        <f>'Special Corporate+ Rates'!AT39</f>
        <v>0</v>
      </c>
      <c r="AU375" s="65">
        <f>'Special Corporate+ Rates'!AU39</f>
        <v>0</v>
      </c>
      <c r="AV375" s="65">
        <f>'Special Corporate+ Rates'!AV39</f>
        <v>0</v>
      </c>
      <c r="AW375" s="65">
        <f>'Special Corporate+ Rates'!AW39</f>
        <v>0</v>
      </c>
      <c r="AX375" s="65">
        <f>'Special Corporate+ Rates'!AX39</f>
        <v>0</v>
      </c>
      <c r="AY375" s="65">
        <f>'Special Corporate+ Rates'!AY39</f>
        <v>0</v>
      </c>
      <c r="AZ375" s="65">
        <f>'Special Corporate+ Rates'!AZ39</f>
        <v>0</v>
      </c>
      <c r="BA375" s="65">
        <f>'Special Corporate+ Rates'!BA39</f>
        <v>0</v>
      </c>
      <c r="BB375" s="65">
        <f>'Special Corporate+ Rates'!BB39</f>
        <v>0</v>
      </c>
      <c r="BC375" s="65">
        <f>'Special Corporate+ Rates'!BC39</f>
        <v>0</v>
      </c>
      <c r="BD375" s="65">
        <f>'Special Corporate+ Rates'!BD39</f>
        <v>0</v>
      </c>
      <c r="BE375" s="65">
        <f>'Special Corporate+ Rates'!BE39</f>
        <v>0</v>
      </c>
      <c r="BF375" s="65">
        <f>'Special Corporate+ Rates'!BF39</f>
        <v>0</v>
      </c>
      <c r="BG375" s="65">
        <f>'Special Corporate+ Rates'!BG39</f>
        <v>0</v>
      </c>
      <c r="BH375" s="65">
        <f>'Special Corporate+ Rates'!BH39</f>
        <v>0</v>
      </c>
      <c r="BI375" s="65">
        <f>'Special Corporate+ Rates'!BI39</f>
        <v>0</v>
      </c>
      <c r="BJ375" s="65">
        <f>'Special Corporate+ Rates'!BJ39</f>
        <v>0</v>
      </c>
      <c r="BK375" s="65">
        <f>'Special Corporate+ Rates'!BK39</f>
        <v>0</v>
      </c>
      <c r="BL375" s="65">
        <f>'Special Corporate+ Rates'!BL39</f>
        <v>0</v>
      </c>
      <c r="BM375" s="65">
        <f>'Special Corporate+ Rates'!BM39</f>
        <v>0</v>
      </c>
      <c r="BN375" s="65">
        <f>'Special Corporate+ Rates'!BN39</f>
        <v>0</v>
      </c>
      <c r="BO375" s="65">
        <f>'Special Corporate+ Rates'!BO39</f>
        <v>0</v>
      </c>
      <c r="BP375" s="65">
        <f>'Special Corporate+ Rates'!BP39</f>
        <v>0</v>
      </c>
      <c r="BQ375" s="65">
        <f>'Special Corporate+ Rates'!BQ39</f>
        <v>0</v>
      </c>
      <c r="BR375" s="65">
        <f>'Special Corporate+ Rates'!BR39</f>
        <v>0</v>
      </c>
      <c r="BS375" s="65">
        <f>'Special Corporate+ Rates'!BS39</f>
        <v>0</v>
      </c>
      <c r="BT375" s="65">
        <f>'Special Corporate+ Rates'!BT39</f>
        <v>0</v>
      </c>
      <c r="BU375" s="65">
        <f>'Special Corporate+ Rates'!BU39</f>
        <v>0</v>
      </c>
      <c r="BV375" s="65">
        <f>'Special Corporate+ Rates'!BV39</f>
        <v>0</v>
      </c>
      <c r="BW375" s="65">
        <f>'Special Corporate+ Rates'!BW39</f>
        <v>0</v>
      </c>
      <c r="BX375" s="65">
        <f>'Special Corporate+ Rates'!BX39</f>
        <v>0</v>
      </c>
      <c r="BY375" s="65">
        <f>'Special Corporate+ Rates'!BY39</f>
        <v>0</v>
      </c>
      <c r="BZ375" s="65">
        <f>'Special Corporate+ Rates'!BZ39</f>
        <v>0</v>
      </c>
      <c r="CA375" s="65">
        <f>'Special Corporate+ Rates'!CA39</f>
        <v>0</v>
      </c>
      <c r="CB375" s="65">
        <f>'Special Corporate+ Rates'!CB39</f>
        <v>0</v>
      </c>
      <c r="CC375" s="65">
        <f>'Special Corporate+ Rates'!CC39</f>
        <v>0</v>
      </c>
      <c r="CD375" s="65">
        <f>'Special Corporate+ Rates'!CD39</f>
        <v>0</v>
      </c>
      <c r="CE375" s="65">
        <f>'Special Corporate+ Rates'!CE39</f>
        <v>0</v>
      </c>
      <c r="CF375" s="65">
        <f>'Special Corporate+ Rates'!CF39</f>
        <v>0</v>
      </c>
      <c r="CG375" s="65">
        <f>'Special Corporate+ Rates'!CG39</f>
        <v>0</v>
      </c>
      <c r="CH375" s="65">
        <f>'Special Corporate+ Rates'!CH39</f>
        <v>0</v>
      </c>
      <c r="CI375" s="65">
        <f>'Special Corporate+ Rates'!CI39</f>
        <v>0</v>
      </c>
      <c r="CJ375" s="65">
        <f>'Special Corporate+ Rates'!CJ39</f>
        <v>0</v>
      </c>
      <c r="CK375" s="65">
        <f>'Special Corporate+ Rates'!CK39</f>
        <v>0</v>
      </c>
      <c r="CL375" s="65">
        <f>'Special Corporate+ Rates'!CL39</f>
        <v>0</v>
      </c>
      <c r="CM375" s="65">
        <f>'Special Corporate+ Rates'!CM39</f>
        <v>0</v>
      </c>
      <c r="CN375" s="65">
        <f>'Special Corporate+ Rates'!CN39</f>
        <v>0</v>
      </c>
      <c r="CO375" s="65">
        <f>'Special Corporate+ Rates'!CO39</f>
        <v>0</v>
      </c>
      <c r="CP375" s="65">
        <f>'Special Corporate+ Rates'!CP39</f>
        <v>0</v>
      </c>
      <c r="CQ375" s="65">
        <f>'Special Corporate+ Rates'!CQ39</f>
        <v>0</v>
      </c>
      <c r="CR375" s="65">
        <f>'Special Corporate+ Rates'!CR39</f>
        <v>0</v>
      </c>
      <c r="CS375" s="65">
        <f>'Special Corporate+ Rates'!CS39</f>
        <v>0</v>
      </c>
      <c r="CT375" s="65">
        <f>'Special Corporate+ Rates'!CT39</f>
        <v>0</v>
      </c>
      <c r="CU375" s="65">
        <f>'Special Corporate+ Rates'!CU39</f>
        <v>0</v>
      </c>
      <c r="CV375" s="65">
        <f>'Special Corporate+ Rates'!CV39</f>
        <v>0</v>
      </c>
      <c r="CW375" s="65">
        <f>'Special Corporate+ Rates'!CW39</f>
        <v>0</v>
      </c>
      <c r="CX375" s="65">
        <f>'Special Corporate+ Rates'!CX39</f>
        <v>0</v>
      </c>
      <c r="CY375" s="65">
        <f>'Special Corporate+ Rates'!CY39</f>
        <v>0</v>
      </c>
      <c r="CZ375" s="65">
        <f>'Special Corporate+ Rates'!CZ39</f>
        <v>0</v>
      </c>
      <c r="DA375" s="65">
        <f>'Special Corporate+ Rates'!DA39</f>
        <v>0</v>
      </c>
      <c r="DB375" s="65">
        <f>'Special Corporate+ Rates'!DB39</f>
        <v>0</v>
      </c>
      <c r="DC375" s="65">
        <f>'Special Corporate+ Rates'!DC39</f>
        <v>0</v>
      </c>
      <c r="DD375" s="65">
        <f>'Special Corporate+ Rates'!DD39</f>
        <v>0</v>
      </c>
      <c r="DE375" s="65">
        <f>'Special Corporate+ Rates'!DE39</f>
        <v>0</v>
      </c>
      <c r="DF375" s="65">
        <f>'Special Corporate+ Rates'!DF39</f>
        <v>0</v>
      </c>
      <c r="DG375" s="65">
        <f>'Special Corporate+ Rates'!DG39</f>
        <v>0</v>
      </c>
      <c r="DH375" s="65">
        <f>'Special Corporate+ Rates'!DH39</f>
        <v>0</v>
      </c>
      <c r="DI375" s="65">
        <f>'Special Corporate+ Rates'!DI39</f>
        <v>0</v>
      </c>
      <c r="DJ375" s="65">
        <f>'Special Corporate+ Rates'!DJ39</f>
        <v>0</v>
      </c>
      <c r="DK375" s="65">
        <f>'Special Corporate+ Rates'!DK39</f>
        <v>0</v>
      </c>
      <c r="DL375" s="65">
        <f>'Special Corporate+ Rates'!DL39</f>
        <v>0</v>
      </c>
      <c r="DM375" s="65">
        <f>'Special Corporate+ Rates'!DM39</f>
        <v>0</v>
      </c>
      <c r="DN375" s="65">
        <f>'Special Corporate+ Rates'!DN39</f>
        <v>0</v>
      </c>
      <c r="DO375" s="65">
        <f>'Special Corporate+ Rates'!DO39</f>
        <v>0</v>
      </c>
      <c r="DP375" s="65">
        <f>'Special Corporate+ Rates'!DP39</f>
        <v>0</v>
      </c>
      <c r="DQ375" s="65">
        <f>'Special Corporate+ Rates'!DQ39</f>
        <v>0</v>
      </c>
      <c r="DR375" s="65">
        <f>'Special Corporate+ Rates'!DR39</f>
        <v>0</v>
      </c>
      <c r="DS375" s="65">
        <f>'Special Corporate+ Rates'!DS39</f>
        <v>0</v>
      </c>
      <c r="DT375" s="65">
        <f>'Special Corporate+ Rates'!DT39</f>
        <v>0</v>
      </c>
      <c r="DU375" s="65">
        <f>'Special Corporate+ Rates'!DU39</f>
        <v>0</v>
      </c>
      <c r="DV375" s="65">
        <f>'Special Corporate+ Rates'!DV39</f>
        <v>0</v>
      </c>
      <c r="DW375" s="65">
        <f>'Special Corporate+ Rates'!DW39</f>
        <v>0</v>
      </c>
      <c r="DX375" s="65">
        <f>'Special Corporate+ Rates'!DX39</f>
        <v>0</v>
      </c>
      <c r="DY375" s="68"/>
    </row>
    <row r="376" spans="1:129" x14ac:dyDescent="0.2">
      <c r="A376" s="152"/>
      <c r="B376" s="65">
        <f>'Special Corporate+ Rates'!B40</f>
        <v>0</v>
      </c>
      <c r="C376" s="65">
        <f>'Special Corporate+ Rates'!C40</f>
        <v>0</v>
      </c>
      <c r="D376" s="65">
        <f>'Special Corporate+ Rates'!D40</f>
        <v>0</v>
      </c>
      <c r="E376" s="65">
        <f>'Special Corporate+ Rates'!E40</f>
        <v>0</v>
      </c>
      <c r="F376" s="65">
        <f>'Special Corporate+ Rates'!F40</f>
        <v>0</v>
      </c>
      <c r="G376" s="65">
        <f>'Special Corporate+ Rates'!G40</f>
        <v>0</v>
      </c>
      <c r="H376" s="65">
        <f>'Special Corporate+ Rates'!H40</f>
        <v>0</v>
      </c>
      <c r="I376" s="65">
        <f>'Special Corporate+ Rates'!I40</f>
        <v>0</v>
      </c>
      <c r="J376" s="65">
        <f>'Special Corporate+ Rates'!J40</f>
        <v>0</v>
      </c>
      <c r="K376" s="65">
        <f>'Special Corporate+ Rates'!K40</f>
        <v>0</v>
      </c>
      <c r="L376" s="65">
        <f>'Special Corporate+ Rates'!L40</f>
        <v>0</v>
      </c>
      <c r="M376" s="65">
        <f>'Special Corporate+ Rates'!M40</f>
        <v>0</v>
      </c>
      <c r="N376" s="65">
        <f>'Special Corporate+ Rates'!N40</f>
        <v>0</v>
      </c>
      <c r="O376" s="65">
        <f>'Special Corporate+ Rates'!O40</f>
        <v>0</v>
      </c>
      <c r="P376" s="65">
        <f>'Special Corporate+ Rates'!P40</f>
        <v>0</v>
      </c>
      <c r="Q376" s="65">
        <f>'Special Corporate+ Rates'!Q40</f>
        <v>0</v>
      </c>
      <c r="R376" s="65">
        <f>'Special Corporate+ Rates'!R40</f>
        <v>0</v>
      </c>
      <c r="S376" s="65">
        <f>'Special Corporate+ Rates'!S40</f>
        <v>0</v>
      </c>
      <c r="T376" s="65">
        <f>'Special Corporate+ Rates'!T40</f>
        <v>0</v>
      </c>
      <c r="U376" s="65">
        <f>'Special Corporate+ Rates'!U40</f>
        <v>0</v>
      </c>
      <c r="V376" s="65">
        <f>'Special Corporate+ Rates'!V40</f>
        <v>0</v>
      </c>
      <c r="W376" s="65">
        <f>'Special Corporate+ Rates'!W40</f>
        <v>0</v>
      </c>
      <c r="X376" s="65">
        <f>'Special Corporate+ Rates'!X40</f>
        <v>0</v>
      </c>
      <c r="Y376" s="65">
        <f>'Special Corporate+ Rates'!Y40</f>
        <v>0</v>
      </c>
      <c r="Z376" s="65">
        <f>'Special Corporate+ Rates'!Z40</f>
        <v>0</v>
      </c>
      <c r="AA376" s="65">
        <f>'Special Corporate+ Rates'!AA40</f>
        <v>0</v>
      </c>
      <c r="AB376" s="65">
        <f>'Special Corporate+ Rates'!AB40</f>
        <v>0</v>
      </c>
      <c r="AC376" s="65">
        <f>'Special Corporate+ Rates'!AC40</f>
        <v>0</v>
      </c>
      <c r="AD376" s="65">
        <f>'Special Corporate+ Rates'!AD40</f>
        <v>0</v>
      </c>
      <c r="AE376" s="65">
        <f>'Special Corporate+ Rates'!AE40</f>
        <v>0</v>
      </c>
      <c r="AF376" s="65">
        <f>'Special Corporate+ Rates'!AF40</f>
        <v>0</v>
      </c>
      <c r="AG376" s="65">
        <f>'Special Corporate+ Rates'!AG40</f>
        <v>0</v>
      </c>
      <c r="AH376" s="65">
        <f>'Special Corporate+ Rates'!AH40</f>
        <v>0</v>
      </c>
      <c r="AI376" s="65">
        <f>'Special Corporate+ Rates'!AI40</f>
        <v>0</v>
      </c>
      <c r="AJ376" s="65">
        <f>'Special Corporate+ Rates'!AJ40</f>
        <v>0</v>
      </c>
      <c r="AK376" s="65">
        <f>'Special Corporate+ Rates'!AK40</f>
        <v>0</v>
      </c>
      <c r="AL376" s="65">
        <f>'Special Corporate+ Rates'!AL40</f>
        <v>0</v>
      </c>
      <c r="AM376" s="65">
        <f>'Special Corporate+ Rates'!AM40</f>
        <v>0</v>
      </c>
      <c r="AN376" s="65">
        <f>'Special Corporate+ Rates'!AN40</f>
        <v>0</v>
      </c>
      <c r="AO376" s="65">
        <f>'Special Corporate+ Rates'!AO40</f>
        <v>0</v>
      </c>
      <c r="AP376" s="65">
        <f>'Special Corporate+ Rates'!AP40</f>
        <v>0</v>
      </c>
      <c r="AQ376" s="65">
        <f>'Special Corporate+ Rates'!AQ40</f>
        <v>0</v>
      </c>
      <c r="AR376" s="65">
        <f>'Special Corporate+ Rates'!AR40</f>
        <v>0</v>
      </c>
      <c r="AS376" s="65">
        <f>'Special Corporate+ Rates'!AS40</f>
        <v>0</v>
      </c>
      <c r="AT376" s="65">
        <f>'Special Corporate+ Rates'!AT40</f>
        <v>0</v>
      </c>
      <c r="AU376" s="65">
        <f>'Special Corporate+ Rates'!AU40</f>
        <v>0</v>
      </c>
      <c r="AV376" s="65">
        <f>'Special Corporate+ Rates'!AV40</f>
        <v>0</v>
      </c>
      <c r="AW376" s="65">
        <f>'Special Corporate+ Rates'!AW40</f>
        <v>0</v>
      </c>
      <c r="AX376" s="65">
        <f>'Special Corporate+ Rates'!AX40</f>
        <v>0</v>
      </c>
      <c r="AY376" s="65">
        <f>'Special Corporate+ Rates'!AY40</f>
        <v>0</v>
      </c>
      <c r="AZ376" s="65">
        <f>'Special Corporate+ Rates'!AZ40</f>
        <v>0</v>
      </c>
      <c r="BA376" s="65">
        <f>'Special Corporate+ Rates'!BA40</f>
        <v>0</v>
      </c>
      <c r="BB376" s="65">
        <f>'Special Corporate+ Rates'!BB40</f>
        <v>0</v>
      </c>
      <c r="BC376" s="65">
        <f>'Special Corporate+ Rates'!BC40</f>
        <v>0</v>
      </c>
      <c r="BD376" s="65">
        <f>'Special Corporate+ Rates'!BD40</f>
        <v>0</v>
      </c>
      <c r="BE376" s="65">
        <f>'Special Corporate+ Rates'!BE40</f>
        <v>0</v>
      </c>
      <c r="BF376" s="65">
        <f>'Special Corporate+ Rates'!BF40</f>
        <v>0</v>
      </c>
      <c r="BG376" s="65">
        <f>'Special Corporate+ Rates'!BG40</f>
        <v>0</v>
      </c>
      <c r="BH376" s="65">
        <f>'Special Corporate+ Rates'!BH40</f>
        <v>0</v>
      </c>
      <c r="BI376" s="65">
        <f>'Special Corporate+ Rates'!BI40</f>
        <v>0</v>
      </c>
      <c r="BJ376" s="65">
        <f>'Special Corporate+ Rates'!BJ40</f>
        <v>0</v>
      </c>
      <c r="BK376" s="65">
        <f>'Special Corporate+ Rates'!BK40</f>
        <v>0</v>
      </c>
      <c r="BL376" s="65">
        <f>'Special Corporate+ Rates'!BL40</f>
        <v>0</v>
      </c>
      <c r="BM376" s="65">
        <f>'Special Corporate+ Rates'!BM40</f>
        <v>0</v>
      </c>
      <c r="BN376" s="65">
        <f>'Special Corporate+ Rates'!BN40</f>
        <v>0</v>
      </c>
      <c r="BO376" s="65">
        <f>'Special Corporate+ Rates'!BO40</f>
        <v>0</v>
      </c>
      <c r="BP376" s="65">
        <f>'Special Corporate+ Rates'!BP40</f>
        <v>0</v>
      </c>
      <c r="BQ376" s="65">
        <f>'Special Corporate+ Rates'!BQ40</f>
        <v>0</v>
      </c>
      <c r="BR376" s="65">
        <f>'Special Corporate+ Rates'!BR40</f>
        <v>0</v>
      </c>
      <c r="BS376" s="65">
        <f>'Special Corporate+ Rates'!BS40</f>
        <v>0</v>
      </c>
      <c r="BT376" s="65">
        <f>'Special Corporate+ Rates'!BT40</f>
        <v>0</v>
      </c>
      <c r="BU376" s="65">
        <f>'Special Corporate+ Rates'!BU40</f>
        <v>0</v>
      </c>
      <c r="BV376" s="65">
        <f>'Special Corporate+ Rates'!BV40</f>
        <v>0</v>
      </c>
      <c r="BW376" s="65">
        <f>'Special Corporate+ Rates'!BW40</f>
        <v>0</v>
      </c>
      <c r="BX376" s="65">
        <f>'Special Corporate+ Rates'!BX40</f>
        <v>0</v>
      </c>
      <c r="BY376" s="65">
        <f>'Special Corporate+ Rates'!BY40</f>
        <v>0</v>
      </c>
      <c r="BZ376" s="65">
        <f>'Special Corporate+ Rates'!BZ40</f>
        <v>0</v>
      </c>
      <c r="CA376" s="65">
        <f>'Special Corporate+ Rates'!CA40</f>
        <v>0</v>
      </c>
      <c r="CB376" s="65">
        <f>'Special Corporate+ Rates'!CB40</f>
        <v>0</v>
      </c>
      <c r="CC376" s="65">
        <f>'Special Corporate+ Rates'!CC40</f>
        <v>0</v>
      </c>
      <c r="CD376" s="65">
        <f>'Special Corporate+ Rates'!CD40</f>
        <v>0</v>
      </c>
      <c r="CE376" s="65">
        <f>'Special Corporate+ Rates'!CE40</f>
        <v>0</v>
      </c>
      <c r="CF376" s="65">
        <f>'Special Corporate+ Rates'!CF40</f>
        <v>0</v>
      </c>
      <c r="CG376" s="65">
        <f>'Special Corporate+ Rates'!CG40</f>
        <v>0</v>
      </c>
      <c r="CH376" s="65">
        <f>'Special Corporate+ Rates'!CH40</f>
        <v>0</v>
      </c>
      <c r="CI376" s="65">
        <f>'Special Corporate+ Rates'!CI40</f>
        <v>0</v>
      </c>
      <c r="CJ376" s="65">
        <f>'Special Corporate+ Rates'!CJ40</f>
        <v>0</v>
      </c>
      <c r="CK376" s="65">
        <f>'Special Corporate+ Rates'!CK40</f>
        <v>0</v>
      </c>
      <c r="CL376" s="65">
        <f>'Special Corporate+ Rates'!CL40</f>
        <v>0</v>
      </c>
      <c r="CM376" s="65">
        <f>'Special Corporate+ Rates'!CM40</f>
        <v>0</v>
      </c>
      <c r="CN376" s="65">
        <f>'Special Corporate+ Rates'!CN40</f>
        <v>0</v>
      </c>
      <c r="CO376" s="65">
        <f>'Special Corporate+ Rates'!CO40</f>
        <v>0</v>
      </c>
      <c r="CP376" s="65">
        <f>'Special Corporate+ Rates'!CP40</f>
        <v>0</v>
      </c>
      <c r="CQ376" s="65">
        <f>'Special Corporate+ Rates'!CQ40</f>
        <v>0</v>
      </c>
      <c r="CR376" s="65">
        <f>'Special Corporate+ Rates'!CR40</f>
        <v>0</v>
      </c>
      <c r="CS376" s="65">
        <f>'Special Corporate+ Rates'!CS40</f>
        <v>0</v>
      </c>
      <c r="CT376" s="65">
        <f>'Special Corporate+ Rates'!CT40</f>
        <v>0</v>
      </c>
      <c r="CU376" s="65">
        <f>'Special Corporate+ Rates'!CU40</f>
        <v>0</v>
      </c>
      <c r="CV376" s="65">
        <f>'Special Corporate+ Rates'!CV40</f>
        <v>0</v>
      </c>
      <c r="CW376" s="65">
        <f>'Special Corporate+ Rates'!CW40</f>
        <v>0</v>
      </c>
      <c r="CX376" s="65">
        <f>'Special Corporate+ Rates'!CX40</f>
        <v>0</v>
      </c>
      <c r="CY376" s="65">
        <f>'Special Corporate+ Rates'!CY40</f>
        <v>0</v>
      </c>
      <c r="CZ376" s="65">
        <f>'Special Corporate+ Rates'!CZ40</f>
        <v>0</v>
      </c>
      <c r="DA376" s="65">
        <f>'Special Corporate+ Rates'!DA40</f>
        <v>0</v>
      </c>
      <c r="DB376" s="65">
        <f>'Special Corporate+ Rates'!DB40</f>
        <v>0</v>
      </c>
      <c r="DC376" s="65">
        <f>'Special Corporate+ Rates'!DC40</f>
        <v>0</v>
      </c>
      <c r="DD376" s="65">
        <f>'Special Corporate+ Rates'!DD40</f>
        <v>0</v>
      </c>
      <c r="DE376" s="65">
        <f>'Special Corporate+ Rates'!DE40</f>
        <v>0</v>
      </c>
      <c r="DF376" s="65">
        <f>'Special Corporate+ Rates'!DF40</f>
        <v>0</v>
      </c>
      <c r="DG376" s="65">
        <f>'Special Corporate+ Rates'!DG40</f>
        <v>0</v>
      </c>
      <c r="DH376" s="65">
        <f>'Special Corporate+ Rates'!DH40</f>
        <v>0</v>
      </c>
      <c r="DI376" s="65">
        <f>'Special Corporate+ Rates'!DI40</f>
        <v>0</v>
      </c>
      <c r="DJ376" s="65">
        <f>'Special Corporate+ Rates'!DJ40</f>
        <v>0</v>
      </c>
      <c r="DK376" s="65">
        <f>'Special Corporate+ Rates'!DK40</f>
        <v>0</v>
      </c>
      <c r="DL376" s="65">
        <f>'Special Corporate+ Rates'!DL40</f>
        <v>0</v>
      </c>
      <c r="DM376" s="65">
        <f>'Special Corporate+ Rates'!DM40</f>
        <v>0</v>
      </c>
      <c r="DN376" s="65">
        <f>'Special Corporate+ Rates'!DN40</f>
        <v>0</v>
      </c>
      <c r="DO376" s="65">
        <f>'Special Corporate+ Rates'!DO40</f>
        <v>0</v>
      </c>
      <c r="DP376" s="65">
        <f>'Special Corporate+ Rates'!DP40</f>
        <v>0</v>
      </c>
      <c r="DQ376" s="65">
        <f>'Special Corporate+ Rates'!DQ40</f>
        <v>0</v>
      </c>
      <c r="DR376" s="65">
        <f>'Special Corporate+ Rates'!DR40</f>
        <v>0</v>
      </c>
      <c r="DS376" s="65">
        <f>'Special Corporate+ Rates'!DS40</f>
        <v>0</v>
      </c>
      <c r="DT376" s="65">
        <f>'Special Corporate+ Rates'!DT40</f>
        <v>0</v>
      </c>
      <c r="DU376" s="65">
        <f>'Special Corporate+ Rates'!DU40</f>
        <v>0</v>
      </c>
      <c r="DV376" s="65">
        <f>'Special Corporate+ Rates'!DV40</f>
        <v>0</v>
      </c>
      <c r="DW376" s="65">
        <f>'Special Corporate+ Rates'!DW40</f>
        <v>0</v>
      </c>
      <c r="DX376" s="65">
        <f>'Special Corporate+ Rates'!DX40</f>
        <v>0</v>
      </c>
      <c r="DY376" s="68"/>
    </row>
    <row r="377" spans="1:129" x14ac:dyDescent="0.2">
      <c r="A377" s="152"/>
      <c r="B377" s="65">
        <f>'Special Corporate+ Rates'!B41</f>
        <v>0</v>
      </c>
      <c r="C377" s="65">
        <f>'Special Corporate+ Rates'!C41</f>
        <v>0</v>
      </c>
      <c r="D377" s="65">
        <f>'Special Corporate+ Rates'!D41</f>
        <v>0</v>
      </c>
      <c r="E377" s="65">
        <f>'Special Corporate+ Rates'!E41</f>
        <v>0</v>
      </c>
      <c r="F377" s="65">
        <f>'Special Corporate+ Rates'!F41</f>
        <v>0</v>
      </c>
      <c r="G377" s="65">
        <f>'Special Corporate+ Rates'!G41</f>
        <v>0</v>
      </c>
      <c r="H377" s="65">
        <f>'Special Corporate+ Rates'!H41</f>
        <v>0</v>
      </c>
      <c r="I377" s="65">
        <f>'Special Corporate+ Rates'!I41</f>
        <v>0</v>
      </c>
      <c r="J377" s="65">
        <f>'Special Corporate+ Rates'!J41</f>
        <v>0</v>
      </c>
      <c r="K377" s="65">
        <f>'Special Corporate+ Rates'!K41</f>
        <v>0</v>
      </c>
      <c r="L377" s="65">
        <f>'Special Corporate+ Rates'!L41</f>
        <v>0</v>
      </c>
      <c r="M377" s="65">
        <f>'Special Corporate+ Rates'!M41</f>
        <v>0</v>
      </c>
      <c r="N377" s="65">
        <f>'Special Corporate+ Rates'!N41</f>
        <v>0</v>
      </c>
      <c r="O377" s="65">
        <f>'Special Corporate+ Rates'!O41</f>
        <v>0</v>
      </c>
      <c r="P377" s="65">
        <f>'Special Corporate+ Rates'!P41</f>
        <v>0</v>
      </c>
      <c r="Q377" s="65">
        <f>'Special Corporate+ Rates'!Q41</f>
        <v>0</v>
      </c>
      <c r="R377" s="65">
        <f>'Special Corporate+ Rates'!R41</f>
        <v>0</v>
      </c>
      <c r="S377" s="65">
        <f>'Special Corporate+ Rates'!S41</f>
        <v>0</v>
      </c>
      <c r="T377" s="65">
        <f>'Special Corporate+ Rates'!T41</f>
        <v>0</v>
      </c>
      <c r="U377" s="65">
        <f>'Special Corporate+ Rates'!U41</f>
        <v>0</v>
      </c>
      <c r="V377" s="65">
        <f>'Special Corporate+ Rates'!V41</f>
        <v>0</v>
      </c>
      <c r="W377" s="65">
        <f>'Special Corporate+ Rates'!W41</f>
        <v>0</v>
      </c>
      <c r="X377" s="65">
        <f>'Special Corporate+ Rates'!X41</f>
        <v>0</v>
      </c>
      <c r="Y377" s="65">
        <f>'Special Corporate+ Rates'!Y41</f>
        <v>0</v>
      </c>
      <c r="Z377" s="65">
        <f>'Special Corporate+ Rates'!Z41</f>
        <v>0</v>
      </c>
      <c r="AA377" s="65">
        <f>'Special Corporate+ Rates'!AA41</f>
        <v>0</v>
      </c>
      <c r="AB377" s="65">
        <f>'Special Corporate+ Rates'!AB41</f>
        <v>0</v>
      </c>
      <c r="AC377" s="65">
        <f>'Special Corporate+ Rates'!AC41</f>
        <v>0</v>
      </c>
      <c r="AD377" s="65">
        <f>'Special Corporate+ Rates'!AD41</f>
        <v>0</v>
      </c>
      <c r="AE377" s="65">
        <f>'Special Corporate+ Rates'!AE41</f>
        <v>0</v>
      </c>
      <c r="AF377" s="65">
        <f>'Special Corporate+ Rates'!AF41</f>
        <v>0</v>
      </c>
      <c r="AG377" s="65">
        <f>'Special Corporate+ Rates'!AG41</f>
        <v>0</v>
      </c>
      <c r="AH377" s="65">
        <f>'Special Corporate+ Rates'!AH41</f>
        <v>0</v>
      </c>
      <c r="AI377" s="65">
        <f>'Special Corporate+ Rates'!AI41</f>
        <v>0</v>
      </c>
      <c r="AJ377" s="65">
        <f>'Special Corporate+ Rates'!AJ41</f>
        <v>0</v>
      </c>
      <c r="AK377" s="65">
        <f>'Special Corporate+ Rates'!AK41</f>
        <v>0</v>
      </c>
      <c r="AL377" s="65">
        <f>'Special Corporate+ Rates'!AL41</f>
        <v>0</v>
      </c>
      <c r="AM377" s="65">
        <f>'Special Corporate+ Rates'!AM41</f>
        <v>0</v>
      </c>
      <c r="AN377" s="65">
        <f>'Special Corporate+ Rates'!AN41</f>
        <v>0</v>
      </c>
      <c r="AO377" s="65">
        <f>'Special Corporate+ Rates'!AO41</f>
        <v>0</v>
      </c>
      <c r="AP377" s="65">
        <f>'Special Corporate+ Rates'!AP41</f>
        <v>0</v>
      </c>
      <c r="AQ377" s="65">
        <f>'Special Corporate+ Rates'!AQ41</f>
        <v>0</v>
      </c>
      <c r="AR377" s="65">
        <f>'Special Corporate+ Rates'!AR41</f>
        <v>0</v>
      </c>
      <c r="AS377" s="65">
        <f>'Special Corporate+ Rates'!AS41</f>
        <v>0</v>
      </c>
      <c r="AT377" s="65">
        <f>'Special Corporate+ Rates'!AT41</f>
        <v>0</v>
      </c>
      <c r="AU377" s="65">
        <f>'Special Corporate+ Rates'!AU41</f>
        <v>0</v>
      </c>
      <c r="AV377" s="65">
        <f>'Special Corporate+ Rates'!AV41</f>
        <v>0</v>
      </c>
      <c r="AW377" s="65">
        <f>'Special Corporate+ Rates'!AW41</f>
        <v>0</v>
      </c>
      <c r="AX377" s="65">
        <f>'Special Corporate+ Rates'!AX41</f>
        <v>0</v>
      </c>
      <c r="AY377" s="65">
        <f>'Special Corporate+ Rates'!AY41</f>
        <v>0</v>
      </c>
      <c r="AZ377" s="65">
        <f>'Special Corporate+ Rates'!AZ41</f>
        <v>0</v>
      </c>
      <c r="BA377" s="65">
        <f>'Special Corporate+ Rates'!BA41</f>
        <v>0</v>
      </c>
      <c r="BB377" s="65">
        <f>'Special Corporate+ Rates'!BB41</f>
        <v>0</v>
      </c>
      <c r="BC377" s="65">
        <f>'Special Corporate+ Rates'!BC41</f>
        <v>0</v>
      </c>
      <c r="BD377" s="65">
        <f>'Special Corporate+ Rates'!BD41</f>
        <v>0</v>
      </c>
      <c r="BE377" s="65">
        <f>'Special Corporate+ Rates'!BE41</f>
        <v>0</v>
      </c>
      <c r="BF377" s="65">
        <f>'Special Corporate+ Rates'!BF41</f>
        <v>0</v>
      </c>
      <c r="BG377" s="65">
        <f>'Special Corporate+ Rates'!BG41</f>
        <v>0</v>
      </c>
      <c r="BH377" s="65">
        <f>'Special Corporate+ Rates'!BH41</f>
        <v>0</v>
      </c>
      <c r="BI377" s="65">
        <f>'Special Corporate+ Rates'!BI41</f>
        <v>0</v>
      </c>
      <c r="BJ377" s="65">
        <f>'Special Corporate+ Rates'!BJ41</f>
        <v>0</v>
      </c>
      <c r="BK377" s="65">
        <f>'Special Corporate+ Rates'!BK41</f>
        <v>0</v>
      </c>
      <c r="BL377" s="65">
        <f>'Special Corporate+ Rates'!BL41</f>
        <v>0</v>
      </c>
      <c r="BM377" s="65">
        <f>'Special Corporate+ Rates'!BM41</f>
        <v>0</v>
      </c>
      <c r="BN377" s="65">
        <f>'Special Corporate+ Rates'!BN41</f>
        <v>0</v>
      </c>
      <c r="BO377" s="65">
        <f>'Special Corporate+ Rates'!BO41</f>
        <v>0</v>
      </c>
      <c r="BP377" s="65">
        <f>'Special Corporate+ Rates'!BP41</f>
        <v>0</v>
      </c>
      <c r="BQ377" s="65">
        <f>'Special Corporate+ Rates'!BQ41</f>
        <v>0</v>
      </c>
      <c r="BR377" s="65">
        <f>'Special Corporate+ Rates'!BR41</f>
        <v>0</v>
      </c>
      <c r="BS377" s="65">
        <f>'Special Corporate+ Rates'!BS41</f>
        <v>0</v>
      </c>
      <c r="BT377" s="65">
        <f>'Special Corporate+ Rates'!BT41</f>
        <v>0</v>
      </c>
      <c r="BU377" s="65">
        <f>'Special Corporate+ Rates'!BU41</f>
        <v>0</v>
      </c>
      <c r="BV377" s="65">
        <f>'Special Corporate+ Rates'!BV41</f>
        <v>0</v>
      </c>
      <c r="BW377" s="65">
        <f>'Special Corporate+ Rates'!BW41</f>
        <v>0</v>
      </c>
      <c r="BX377" s="65">
        <f>'Special Corporate+ Rates'!BX41</f>
        <v>0</v>
      </c>
      <c r="BY377" s="65">
        <f>'Special Corporate+ Rates'!BY41</f>
        <v>0</v>
      </c>
      <c r="BZ377" s="65">
        <f>'Special Corporate+ Rates'!BZ41</f>
        <v>0</v>
      </c>
      <c r="CA377" s="65">
        <f>'Special Corporate+ Rates'!CA41</f>
        <v>0</v>
      </c>
      <c r="CB377" s="65">
        <f>'Special Corporate+ Rates'!CB41</f>
        <v>0</v>
      </c>
      <c r="CC377" s="65">
        <f>'Special Corporate+ Rates'!CC41</f>
        <v>0</v>
      </c>
      <c r="CD377" s="65">
        <f>'Special Corporate+ Rates'!CD41</f>
        <v>0</v>
      </c>
      <c r="CE377" s="65">
        <f>'Special Corporate+ Rates'!CE41</f>
        <v>0</v>
      </c>
      <c r="CF377" s="65">
        <f>'Special Corporate+ Rates'!CF41</f>
        <v>0</v>
      </c>
      <c r="CG377" s="65">
        <f>'Special Corporate+ Rates'!CG41</f>
        <v>0</v>
      </c>
      <c r="CH377" s="65">
        <f>'Special Corporate+ Rates'!CH41</f>
        <v>0</v>
      </c>
      <c r="CI377" s="65">
        <f>'Special Corporate+ Rates'!CI41</f>
        <v>0</v>
      </c>
      <c r="CJ377" s="65">
        <f>'Special Corporate+ Rates'!CJ41</f>
        <v>0</v>
      </c>
      <c r="CK377" s="65">
        <f>'Special Corporate+ Rates'!CK41</f>
        <v>0</v>
      </c>
      <c r="CL377" s="65">
        <f>'Special Corporate+ Rates'!CL41</f>
        <v>0</v>
      </c>
      <c r="CM377" s="65">
        <f>'Special Corporate+ Rates'!CM41</f>
        <v>0</v>
      </c>
      <c r="CN377" s="65">
        <f>'Special Corporate+ Rates'!CN41</f>
        <v>0</v>
      </c>
      <c r="CO377" s="65">
        <f>'Special Corporate+ Rates'!CO41</f>
        <v>0</v>
      </c>
      <c r="CP377" s="65">
        <f>'Special Corporate+ Rates'!CP41</f>
        <v>0</v>
      </c>
      <c r="CQ377" s="65">
        <f>'Special Corporate+ Rates'!CQ41</f>
        <v>0</v>
      </c>
      <c r="CR377" s="65">
        <f>'Special Corporate+ Rates'!CR41</f>
        <v>0</v>
      </c>
      <c r="CS377" s="65">
        <f>'Special Corporate+ Rates'!CS41</f>
        <v>0</v>
      </c>
      <c r="CT377" s="65">
        <f>'Special Corporate+ Rates'!CT41</f>
        <v>0</v>
      </c>
      <c r="CU377" s="65">
        <f>'Special Corporate+ Rates'!CU41</f>
        <v>0</v>
      </c>
      <c r="CV377" s="65">
        <f>'Special Corporate+ Rates'!CV41</f>
        <v>0</v>
      </c>
      <c r="CW377" s="65">
        <f>'Special Corporate+ Rates'!CW41</f>
        <v>0</v>
      </c>
      <c r="CX377" s="65">
        <f>'Special Corporate+ Rates'!CX41</f>
        <v>0</v>
      </c>
      <c r="CY377" s="65">
        <f>'Special Corporate+ Rates'!CY41</f>
        <v>0</v>
      </c>
      <c r="CZ377" s="65">
        <f>'Special Corporate+ Rates'!CZ41</f>
        <v>0</v>
      </c>
      <c r="DA377" s="65">
        <f>'Special Corporate+ Rates'!DA41</f>
        <v>0</v>
      </c>
      <c r="DB377" s="65">
        <f>'Special Corporate+ Rates'!DB41</f>
        <v>0</v>
      </c>
      <c r="DC377" s="65">
        <f>'Special Corporate+ Rates'!DC41</f>
        <v>0</v>
      </c>
      <c r="DD377" s="65">
        <f>'Special Corporate+ Rates'!DD41</f>
        <v>0</v>
      </c>
      <c r="DE377" s="65">
        <f>'Special Corporate+ Rates'!DE41</f>
        <v>0</v>
      </c>
      <c r="DF377" s="65">
        <f>'Special Corporate+ Rates'!DF41</f>
        <v>0</v>
      </c>
      <c r="DG377" s="65">
        <f>'Special Corporate+ Rates'!DG41</f>
        <v>0</v>
      </c>
      <c r="DH377" s="65">
        <f>'Special Corporate+ Rates'!DH41</f>
        <v>0</v>
      </c>
      <c r="DI377" s="65">
        <f>'Special Corporate+ Rates'!DI41</f>
        <v>0</v>
      </c>
      <c r="DJ377" s="65">
        <f>'Special Corporate+ Rates'!DJ41</f>
        <v>0</v>
      </c>
      <c r="DK377" s="65">
        <f>'Special Corporate+ Rates'!DK41</f>
        <v>0</v>
      </c>
      <c r="DL377" s="65">
        <f>'Special Corporate+ Rates'!DL41</f>
        <v>0</v>
      </c>
      <c r="DM377" s="65">
        <f>'Special Corporate+ Rates'!DM41</f>
        <v>0</v>
      </c>
      <c r="DN377" s="65">
        <f>'Special Corporate+ Rates'!DN41</f>
        <v>0</v>
      </c>
      <c r="DO377" s="65">
        <f>'Special Corporate+ Rates'!DO41</f>
        <v>0</v>
      </c>
      <c r="DP377" s="65">
        <f>'Special Corporate+ Rates'!DP41</f>
        <v>0</v>
      </c>
      <c r="DQ377" s="65">
        <f>'Special Corporate+ Rates'!DQ41</f>
        <v>0</v>
      </c>
      <c r="DR377" s="65">
        <f>'Special Corporate+ Rates'!DR41</f>
        <v>0</v>
      </c>
      <c r="DS377" s="65">
        <f>'Special Corporate+ Rates'!DS41</f>
        <v>0</v>
      </c>
      <c r="DT377" s="65">
        <f>'Special Corporate+ Rates'!DT41</f>
        <v>0</v>
      </c>
      <c r="DU377" s="65">
        <f>'Special Corporate+ Rates'!DU41</f>
        <v>0</v>
      </c>
      <c r="DV377" s="65">
        <f>'Special Corporate+ Rates'!DV41</f>
        <v>0</v>
      </c>
      <c r="DW377" s="65">
        <f>'Special Corporate+ Rates'!DW41</f>
        <v>0</v>
      </c>
      <c r="DX377" s="65">
        <f>'Special Corporate+ Rates'!DX41</f>
        <v>0</v>
      </c>
      <c r="DY377" s="68"/>
    </row>
    <row r="378" spans="1:129" x14ac:dyDescent="0.2">
      <c r="A378" s="152"/>
      <c r="B378" s="65">
        <f>'Special Corporate+ Rates'!B42</f>
        <v>0</v>
      </c>
      <c r="C378" s="65">
        <f>'Special Corporate+ Rates'!C42</f>
        <v>0</v>
      </c>
      <c r="D378" s="65">
        <f>'Special Corporate+ Rates'!D42</f>
        <v>0</v>
      </c>
      <c r="E378" s="65">
        <f>'Special Corporate+ Rates'!E42</f>
        <v>0</v>
      </c>
      <c r="F378" s="65">
        <f>'Special Corporate+ Rates'!F42</f>
        <v>0</v>
      </c>
      <c r="G378" s="65">
        <f>'Special Corporate+ Rates'!G42</f>
        <v>0</v>
      </c>
      <c r="H378" s="65">
        <f>'Special Corporate+ Rates'!H42</f>
        <v>0</v>
      </c>
      <c r="I378" s="65">
        <f>'Special Corporate+ Rates'!I42</f>
        <v>0</v>
      </c>
      <c r="J378" s="65">
        <f>'Special Corporate+ Rates'!J42</f>
        <v>0</v>
      </c>
      <c r="K378" s="65">
        <f>'Special Corporate+ Rates'!K42</f>
        <v>0</v>
      </c>
      <c r="L378" s="65">
        <f>'Special Corporate+ Rates'!L42</f>
        <v>0</v>
      </c>
      <c r="M378" s="65">
        <f>'Special Corporate+ Rates'!M42</f>
        <v>0</v>
      </c>
      <c r="N378" s="65">
        <f>'Special Corporate+ Rates'!N42</f>
        <v>0</v>
      </c>
      <c r="O378" s="65">
        <f>'Special Corporate+ Rates'!O42</f>
        <v>0</v>
      </c>
      <c r="P378" s="65">
        <f>'Special Corporate+ Rates'!P42</f>
        <v>0</v>
      </c>
      <c r="Q378" s="65">
        <f>'Special Corporate+ Rates'!Q42</f>
        <v>0</v>
      </c>
      <c r="R378" s="65">
        <f>'Special Corporate+ Rates'!R42</f>
        <v>0</v>
      </c>
      <c r="S378" s="65">
        <f>'Special Corporate+ Rates'!S42</f>
        <v>0</v>
      </c>
      <c r="T378" s="65">
        <f>'Special Corporate+ Rates'!T42</f>
        <v>0</v>
      </c>
      <c r="U378" s="65">
        <f>'Special Corporate+ Rates'!U42</f>
        <v>0</v>
      </c>
      <c r="V378" s="65">
        <f>'Special Corporate+ Rates'!V42</f>
        <v>0</v>
      </c>
      <c r="W378" s="65">
        <f>'Special Corporate+ Rates'!W42</f>
        <v>0</v>
      </c>
      <c r="X378" s="65">
        <f>'Special Corporate+ Rates'!X42</f>
        <v>0</v>
      </c>
      <c r="Y378" s="65">
        <f>'Special Corporate+ Rates'!Y42</f>
        <v>0</v>
      </c>
      <c r="Z378" s="65">
        <f>'Special Corporate+ Rates'!Z42</f>
        <v>0</v>
      </c>
      <c r="AA378" s="65">
        <f>'Special Corporate+ Rates'!AA42</f>
        <v>0</v>
      </c>
      <c r="AB378" s="65">
        <f>'Special Corporate+ Rates'!AB42</f>
        <v>0</v>
      </c>
      <c r="AC378" s="65">
        <f>'Special Corporate+ Rates'!AC42</f>
        <v>0</v>
      </c>
      <c r="AD378" s="65">
        <f>'Special Corporate+ Rates'!AD42</f>
        <v>0</v>
      </c>
      <c r="AE378" s="65">
        <f>'Special Corporate+ Rates'!AE42</f>
        <v>0</v>
      </c>
      <c r="AF378" s="65">
        <f>'Special Corporate+ Rates'!AF42</f>
        <v>0</v>
      </c>
      <c r="AG378" s="65">
        <f>'Special Corporate+ Rates'!AG42</f>
        <v>0</v>
      </c>
      <c r="AH378" s="65">
        <f>'Special Corporate+ Rates'!AH42</f>
        <v>0</v>
      </c>
      <c r="AI378" s="65">
        <f>'Special Corporate+ Rates'!AI42</f>
        <v>0</v>
      </c>
      <c r="AJ378" s="65">
        <f>'Special Corporate+ Rates'!AJ42</f>
        <v>0</v>
      </c>
      <c r="AK378" s="65">
        <f>'Special Corporate+ Rates'!AK42</f>
        <v>0</v>
      </c>
      <c r="AL378" s="65">
        <f>'Special Corporate+ Rates'!AL42</f>
        <v>0</v>
      </c>
      <c r="AM378" s="65">
        <f>'Special Corporate+ Rates'!AM42</f>
        <v>0</v>
      </c>
      <c r="AN378" s="65">
        <f>'Special Corporate+ Rates'!AN42</f>
        <v>0</v>
      </c>
      <c r="AO378" s="65">
        <f>'Special Corporate+ Rates'!AO42</f>
        <v>0</v>
      </c>
      <c r="AP378" s="65">
        <f>'Special Corporate+ Rates'!AP42</f>
        <v>0</v>
      </c>
      <c r="AQ378" s="65">
        <f>'Special Corporate+ Rates'!AQ42</f>
        <v>0</v>
      </c>
      <c r="AR378" s="65">
        <f>'Special Corporate+ Rates'!AR42</f>
        <v>0</v>
      </c>
      <c r="AS378" s="65">
        <f>'Special Corporate+ Rates'!AS42</f>
        <v>0</v>
      </c>
      <c r="AT378" s="65">
        <f>'Special Corporate+ Rates'!AT42</f>
        <v>0</v>
      </c>
      <c r="AU378" s="65">
        <f>'Special Corporate+ Rates'!AU42</f>
        <v>0</v>
      </c>
      <c r="AV378" s="65">
        <f>'Special Corporate+ Rates'!AV42</f>
        <v>0</v>
      </c>
      <c r="AW378" s="65">
        <f>'Special Corporate+ Rates'!AW42</f>
        <v>0</v>
      </c>
      <c r="AX378" s="65">
        <f>'Special Corporate+ Rates'!AX42</f>
        <v>0</v>
      </c>
      <c r="AY378" s="65">
        <f>'Special Corporate+ Rates'!AY42</f>
        <v>0</v>
      </c>
      <c r="AZ378" s="65">
        <f>'Special Corporate+ Rates'!AZ42</f>
        <v>0</v>
      </c>
      <c r="BA378" s="65">
        <f>'Special Corporate+ Rates'!BA42</f>
        <v>0</v>
      </c>
      <c r="BB378" s="65">
        <f>'Special Corporate+ Rates'!BB42</f>
        <v>0</v>
      </c>
      <c r="BC378" s="65">
        <f>'Special Corporate+ Rates'!BC42</f>
        <v>0</v>
      </c>
      <c r="BD378" s="65">
        <f>'Special Corporate+ Rates'!BD42</f>
        <v>0</v>
      </c>
      <c r="BE378" s="65">
        <f>'Special Corporate+ Rates'!BE42</f>
        <v>0</v>
      </c>
      <c r="BF378" s="65">
        <f>'Special Corporate+ Rates'!BF42</f>
        <v>0</v>
      </c>
      <c r="BG378" s="65">
        <f>'Special Corporate+ Rates'!BG42</f>
        <v>0</v>
      </c>
      <c r="BH378" s="65">
        <f>'Special Corporate+ Rates'!BH42</f>
        <v>0</v>
      </c>
      <c r="BI378" s="65">
        <f>'Special Corporate+ Rates'!BI42</f>
        <v>0</v>
      </c>
      <c r="BJ378" s="65">
        <f>'Special Corporate+ Rates'!BJ42</f>
        <v>0</v>
      </c>
      <c r="BK378" s="65">
        <f>'Special Corporate+ Rates'!BK42</f>
        <v>0</v>
      </c>
      <c r="BL378" s="65">
        <f>'Special Corporate+ Rates'!BL42</f>
        <v>0</v>
      </c>
      <c r="BM378" s="65">
        <f>'Special Corporate+ Rates'!BM42</f>
        <v>0</v>
      </c>
      <c r="BN378" s="65">
        <f>'Special Corporate+ Rates'!BN42</f>
        <v>0</v>
      </c>
      <c r="BO378" s="65">
        <f>'Special Corporate+ Rates'!BO42</f>
        <v>0</v>
      </c>
      <c r="BP378" s="65">
        <f>'Special Corporate+ Rates'!BP42</f>
        <v>0</v>
      </c>
      <c r="BQ378" s="65">
        <f>'Special Corporate+ Rates'!BQ42</f>
        <v>0</v>
      </c>
      <c r="BR378" s="65">
        <f>'Special Corporate+ Rates'!BR42</f>
        <v>0</v>
      </c>
      <c r="BS378" s="65">
        <f>'Special Corporate+ Rates'!BS42</f>
        <v>0</v>
      </c>
      <c r="BT378" s="65">
        <f>'Special Corporate+ Rates'!BT42</f>
        <v>0</v>
      </c>
      <c r="BU378" s="65">
        <f>'Special Corporate+ Rates'!BU42</f>
        <v>0</v>
      </c>
      <c r="BV378" s="65">
        <f>'Special Corporate+ Rates'!BV42</f>
        <v>0</v>
      </c>
      <c r="BW378" s="65">
        <f>'Special Corporate+ Rates'!BW42</f>
        <v>0</v>
      </c>
      <c r="BX378" s="65">
        <f>'Special Corporate+ Rates'!BX42</f>
        <v>0</v>
      </c>
      <c r="BY378" s="65">
        <f>'Special Corporate+ Rates'!BY42</f>
        <v>0</v>
      </c>
      <c r="BZ378" s="65">
        <f>'Special Corporate+ Rates'!BZ42</f>
        <v>0</v>
      </c>
      <c r="CA378" s="65">
        <f>'Special Corporate+ Rates'!CA42</f>
        <v>0</v>
      </c>
      <c r="CB378" s="65">
        <f>'Special Corporate+ Rates'!CB42</f>
        <v>0</v>
      </c>
      <c r="CC378" s="65">
        <f>'Special Corporate+ Rates'!CC42</f>
        <v>0</v>
      </c>
      <c r="CD378" s="65">
        <f>'Special Corporate+ Rates'!CD42</f>
        <v>0</v>
      </c>
      <c r="CE378" s="65">
        <f>'Special Corporate+ Rates'!CE42</f>
        <v>0</v>
      </c>
      <c r="CF378" s="65">
        <f>'Special Corporate+ Rates'!CF42</f>
        <v>0</v>
      </c>
      <c r="CG378" s="65">
        <f>'Special Corporate+ Rates'!CG42</f>
        <v>0</v>
      </c>
      <c r="CH378" s="65">
        <f>'Special Corporate+ Rates'!CH42</f>
        <v>0</v>
      </c>
      <c r="CI378" s="65">
        <f>'Special Corporate+ Rates'!CI42</f>
        <v>0</v>
      </c>
      <c r="CJ378" s="65">
        <f>'Special Corporate+ Rates'!CJ42</f>
        <v>0</v>
      </c>
      <c r="CK378" s="65">
        <f>'Special Corporate+ Rates'!CK42</f>
        <v>0</v>
      </c>
      <c r="CL378" s="65">
        <f>'Special Corporate+ Rates'!CL42</f>
        <v>0</v>
      </c>
      <c r="CM378" s="65">
        <f>'Special Corporate+ Rates'!CM42</f>
        <v>0</v>
      </c>
      <c r="CN378" s="65">
        <f>'Special Corporate+ Rates'!CN42</f>
        <v>0</v>
      </c>
      <c r="CO378" s="65">
        <f>'Special Corporate+ Rates'!CO42</f>
        <v>0</v>
      </c>
      <c r="CP378" s="65">
        <f>'Special Corporate+ Rates'!CP42</f>
        <v>0</v>
      </c>
      <c r="CQ378" s="65">
        <f>'Special Corporate+ Rates'!CQ42</f>
        <v>0</v>
      </c>
      <c r="CR378" s="65">
        <f>'Special Corporate+ Rates'!CR42</f>
        <v>0</v>
      </c>
      <c r="CS378" s="65">
        <f>'Special Corporate+ Rates'!CS42</f>
        <v>0</v>
      </c>
      <c r="CT378" s="65">
        <f>'Special Corporate+ Rates'!CT42</f>
        <v>0</v>
      </c>
      <c r="CU378" s="65">
        <f>'Special Corporate+ Rates'!CU42</f>
        <v>0</v>
      </c>
      <c r="CV378" s="65">
        <f>'Special Corporate+ Rates'!CV42</f>
        <v>0</v>
      </c>
      <c r="CW378" s="65">
        <f>'Special Corporate+ Rates'!CW42</f>
        <v>0</v>
      </c>
      <c r="CX378" s="65">
        <f>'Special Corporate+ Rates'!CX42</f>
        <v>0</v>
      </c>
      <c r="CY378" s="65">
        <f>'Special Corporate+ Rates'!CY42</f>
        <v>0</v>
      </c>
      <c r="CZ378" s="65">
        <f>'Special Corporate+ Rates'!CZ42</f>
        <v>0</v>
      </c>
      <c r="DA378" s="65">
        <f>'Special Corporate+ Rates'!DA42</f>
        <v>0</v>
      </c>
      <c r="DB378" s="65">
        <f>'Special Corporate+ Rates'!DB42</f>
        <v>0</v>
      </c>
      <c r="DC378" s="65">
        <f>'Special Corporate+ Rates'!DC42</f>
        <v>0</v>
      </c>
      <c r="DD378" s="65">
        <f>'Special Corporate+ Rates'!DD42</f>
        <v>0</v>
      </c>
      <c r="DE378" s="65">
        <f>'Special Corporate+ Rates'!DE42</f>
        <v>0</v>
      </c>
      <c r="DF378" s="65">
        <f>'Special Corporate+ Rates'!DF42</f>
        <v>0</v>
      </c>
      <c r="DG378" s="65">
        <f>'Special Corporate+ Rates'!DG42</f>
        <v>0</v>
      </c>
      <c r="DH378" s="65">
        <f>'Special Corporate+ Rates'!DH42</f>
        <v>0</v>
      </c>
      <c r="DI378" s="65">
        <f>'Special Corporate+ Rates'!DI42</f>
        <v>0</v>
      </c>
      <c r="DJ378" s="65">
        <f>'Special Corporate+ Rates'!DJ42</f>
        <v>0</v>
      </c>
      <c r="DK378" s="65">
        <f>'Special Corporate+ Rates'!DK42</f>
        <v>0</v>
      </c>
      <c r="DL378" s="65">
        <f>'Special Corporate+ Rates'!DL42</f>
        <v>0</v>
      </c>
      <c r="DM378" s="65">
        <f>'Special Corporate+ Rates'!DM42</f>
        <v>0</v>
      </c>
      <c r="DN378" s="65">
        <f>'Special Corporate+ Rates'!DN42</f>
        <v>0</v>
      </c>
      <c r="DO378" s="65">
        <f>'Special Corporate+ Rates'!DO42</f>
        <v>0</v>
      </c>
      <c r="DP378" s="65">
        <f>'Special Corporate+ Rates'!DP42</f>
        <v>0</v>
      </c>
      <c r="DQ378" s="65">
        <f>'Special Corporate+ Rates'!DQ42</f>
        <v>0</v>
      </c>
      <c r="DR378" s="65">
        <f>'Special Corporate+ Rates'!DR42</f>
        <v>0</v>
      </c>
      <c r="DS378" s="65">
        <f>'Special Corporate+ Rates'!DS42</f>
        <v>0</v>
      </c>
      <c r="DT378" s="65">
        <f>'Special Corporate+ Rates'!DT42</f>
        <v>0</v>
      </c>
      <c r="DU378" s="65">
        <f>'Special Corporate+ Rates'!DU42</f>
        <v>0</v>
      </c>
      <c r="DV378" s="65">
        <f>'Special Corporate+ Rates'!DV42</f>
        <v>0</v>
      </c>
      <c r="DW378" s="65">
        <f>'Special Corporate+ Rates'!DW42</f>
        <v>0</v>
      </c>
      <c r="DX378" s="65">
        <f>'Special Corporate+ Rates'!DX42</f>
        <v>0</v>
      </c>
      <c r="DY378" s="68"/>
    </row>
    <row r="379" spans="1:129" x14ac:dyDescent="0.2">
      <c r="A379" s="152"/>
      <c r="B379" s="65">
        <f>'Special Corporate+ Rates'!B43</f>
        <v>0</v>
      </c>
      <c r="C379" s="65">
        <f>'Special Corporate+ Rates'!C43</f>
        <v>0</v>
      </c>
      <c r="D379" s="65">
        <f>'Special Corporate+ Rates'!D43</f>
        <v>0</v>
      </c>
      <c r="E379" s="65">
        <f>'Special Corporate+ Rates'!E43</f>
        <v>0</v>
      </c>
      <c r="F379" s="65">
        <f>'Special Corporate+ Rates'!F43</f>
        <v>0</v>
      </c>
      <c r="G379" s="65">
        <f>'Special Corporate+ Rates'!G43</f>
        <v>0</v>
      </c>
      <c r="H379" s="65">
        <f>'Special Corporate+ Rates'!H43</f>
        <v>0</v>
      </c>
      <c r="I379" s="65">
        <f>'Special Corporate+ Rates'!I43</f>
        <v>0</v>
      </c>
      <c r="J379" s="65">
        <f>'Special Corporate+ Rates'!J43</f>
        <v>0</v>
      </c>
      <c r="K379" s="65">
        <f>'Special Corporate+ Rates'!K43</f>
        <v>0</v>
      </c>
      <c r="L379" s="65">
        <f>'Special Corporate+ Rates'!L43</f>
        <v>0</v>
      </c>
      <c r="M379" s="65">
        <f>'Special Corporate+ Rates'!M43</f>
        <v>0</v>
      </c>
      <c r="N379" s="65">
        <f>'Special Corporate+ Rates'!N43</f>
        <v>0</v>
      </c>
      <c r="O379" s="65">
        <f>'Special Corporate+ Rates'!O43</f>
        <v>0</v>
      </c>
      <c r="P379" s="65">
        <f>'Special Corporate+ Rates'!P43</f>
        <v>0</v>
      </c>
      <c r="Q379" s="65">
        <f>'Special Corporate+ Rates'!Q43</f>
        <v>0</v>
      </c>
      <c r="R379" s="65">
        <f>'Special Corporate+ Rates'!R43</f>
        <v>0</v>
      </c>
      <c r="S379" s="65">
        <f>'Special Corporate+ Rates'!S43</f>
        <v>0</v>
      </c>
      <c r="T379" s="65">
        <f>'Special Corporate+ Rates'!T43</f>
        <v>0</v>
      </c>
      <c r="U379" s="65">
        <f>'Special Corporate+ Rates'!U43</f>
        <v>0</v>
      </c>
      <c r="V379" s="65">
        <f>'Special Corporate+ Rates'!V43</f>
        <v>0</v>
      </c>
      <c r="W379" s="65">
        <f>'Special Corporate+ Rates'!W43</f>
        <v>0</v>
      </c>
      <c r="X379" s="65">
        <f>'Special Corporate+ Rates'!X43</f>
        <v>0</v>
      </c>
      <c r="Y379" s="65">
        <f>'Special Corporate+ Rates'!Y43</f>
        <v>0</v>
      </c>
      <c r="Z379" s="65">
        <f>'Special Corporate+ Rates'!Z43</f>
        <v>0</v>
      </c>
      <c r="AA379" s="65">
        <f>'Special Corporate+ Rates'!AA43</f>
        <v>0</v>
      </c>
      <c r="AB379" s="65">
        <f>'Special Corporate+ Rates'!AB43</f>
        <v>0</v>
      </c>
      <c r="AC379" s="65">
        <f>'Special Corporate+ Rates'!AC43</f>
        <v>0</v>
      </c>
      <c r="AD379" s="65">
        <f>'Special Corporate+ Rates'!AD43</f>
        <v>0</v>
      </c>
      <c r="AE379" s="65">
        <f>'Special Corporate+ Rates'!AE43</f>
        <v>0</v>
      </c>
      <c r="AF379" s="65">
        <f>'Special Corporate+ Rates'!AF43</f>
        <v>0</v>
      </c>
      <c r="AG379" s="65">
        <f>'Special Corporate+ Rates'!AG43</f>
        <v>0</v>
      </c>
      <c r="AH379" s="65">
        <f>'Special Corporate+ Rates'!AH43</f>
        <v>0</v>
      </c>
      <c r="AI379" s="65">
        <f>'Special Corporate+ Rates'!AI43</f>
        <v>0</v>
      </c>
      <c r="AJ379" s="65">
        <f>'Special Corporate+ Rates'!AJ43</f>
        <v>0</v>
      </c>
      <c r="AK379" s="65">
        <f>'Special Corporate+ Rates'!AK43</f>
        <v>0</v>
      </c>
      <c r="AL379" s="65">
        <f>'Special Corporate+ Rates'!AL43</f>
        <v>0</v>
      </c>
      <c r="AM379" s="65">
        <f>'Special Corporate+ Rates'!AM43</f>
        <v>0</v>
      </c>
      <c r="AN379" s="65">
        <f>'Special Corporate+ Rates'!AN43</f>
        <v>0</v>
      </c>
      <c r="AO379" s="65">
        <f>'Special Corporate+ Rates'!AO43</f>
        <v>0</v>
      </c>
      <c r="AP379" s="65">
        <f>'Special Corporate+ Rates'!AP43</f>
        <v>0</v>
      </c>
      <c r="AQ379" s="65">
        <f>'Special Corporate+ Rates'!AQ43</f>
        <v>0</v>
      </c>
      <c r="AR379" s="65">
        <f>'Special Corporate+ Rates'!AR43</f>
        <v>0</v>
      </c>
      <c r="AS379" s="65">
        <f>'Special Corporate+ Rates'!AS43</f>
        <v>0</v>
      </c>
      <c r="AT379" s="65">
        <f>'Special Corporate+ Rates'!AT43</f>
        <v>0</v>
      </c>
      <c r="AU379" s="65">
        <f>'Special Corporate+ Rates'!AU43</f>
        <v>0</v>
      </c>
      <c r="AV379" s="65">
        <f>'Special Corporate+ Rates'!AV43</f>
        <v>0</v>
      </c>
      <c r="AW379" s="65">
        <f>'Special Corporate+ Rates'!AW43</f>
        <v>0</v>
      </c>
      <c r="AX379" s="65">
        <f>'Special Corporate+ Rates'!AX43</f>
        <v>0</v>
      </c>
      <c r="AY379" s="65">
        <f>'Special Corporate+ Rates'!AY43</f>
        <v>0</v>
      </c>
      <c r="AZ379" s="65">
        <f>'Special Corporate+ Rates'!AZ43</f>
        <v>0</v>
      </c>
      <c r="BA379" s="65">
        <f>'Special Corporate+ Rates'!BA43</f>
        <v>0</v>
      </c>
      <c r="BB379" s="65">
        <f>'Special Corporate+ Rates'!BB43</f>
        <v>0</v>
      </c>
      <c r="BC379" s="65">
        <f>'Special Corporate+ Rates'!BC43</f>
        <v>0</v>
      </c>
      <c r="BD379" s="65">
        <f>'Special Corporate+ Rates'!BD43</f>
        <v>0</v>
      </c>
      <c r="BE379" s="65">
        <f>'Special Corporate+ Rates'!BE43</f>
        <v>0</v>
      </c>
      <c r="BF379" s="65">
        <f>'Special Corporate+ Rates'!BF43</f>
        <v>0</v>
      </c>
      <c r="BG379" s="65">
        <f>'Special Corporate+ Rates'!BG43</f>
        <v>0</v>
      </c>
      <c r="BH379" s="65">
        <f>'Special Corporate+ Rates'!BH43</f>
        <v>0</v>
      </c>
      <c r="BI379" s="65">
        <f>'Special Corporate+ Rates'!BI43</f>
        <v>0</v>
      </c>
      <c r="BJ379" s="65">
        <f>'Special Corporate+ Rates'!BJ43</f>
        <v>0</v>
      </c>
      <c r="BK379" s="65">
        <f>'Special Corporate+ Rates'!BK43</f>
        <v>0</v>
      </c>
      <c r="BL379" s="65">
        <f>'Special Corporate+ Rates'!BL43</f>
        <v>0</v>
      </c>
      <c r="BM379" s="65">
        <f>'Special Corporate+ Rates'!BM43</f>
        <v>0</v>
      </c>
      <c r="BN379" s="65">
        <f>'Special Corporate+ Rates'!BN43</f>
        <v>0</v>
      </c>
      <c r="BO379" s="65">
        <f>'Special Corporate+ Rates'!BO43</f>
        <v>0</v>
      </c>
      <c r="BP379" s="65">
        <f>'Special Corporate+ Rates'!BP43</f>
        <v>0</v>
      </c>
      <c r="BQ379" s="65">
        <f>'Special Corporate+ Rates'!BQ43</f>
        <v>0</v>
      </c>
      <c r="BR379" s="65">
        <f>'Special Corporate+ Rates'!BR43</f>
        <v>0</v>
      </c>
      <c r="BS379" s="65">
        <f>'Special Corporate+ Rates'!BS43</f>
        <v>0</v>
      </c>
      <c r="BT379" s="65">
        <f>'Special Corporate+ Rates'!BT43</f>
        <v>0</v>
      </c>
      <c r="BU379" s="65">
        <f>'Special Corporate+ Rates'!BU43</f>
        <v>0</v>
      </c>
      <c r="BV379" s="65">
        <f>'Special Corporate+ Rates'!BV43</f>
        <v>0</v>
      </c>
      <c r="BW379" s="65">
        <f>'Special Corporate+ Rates'!BW43</f>
        <v>0</v>
      </c>
      <c r="BX379" s="65">
        <f>'Special Corporate+ Rates'!BX43</f>
        <v>0</v>
      </c>
      <c r="BY379" s="65">
        <f>'Special Corporate+ Rates'!BY43</f>
        <v>0</v>
      </c>
      <c r="BZ379" s="65">
        <f>'Special Corporate+ Rates'!BZ43</f>
        <v>0</v>
      </c>
      <c r="CA379" s="65">
        <f>'Special Corporate+ Rates'!CA43</f>
        <v>0</v>
      </c>
      <c r="CB379" s="65">
        <f>'Special Corporate+ Rates'!CB43</f>
        <v>0</v>
      </c>
      <c r="CC379" s="65">
        <f>'Special Corporate+ Rates'!CC43</f>
        <v>0</v>
      </c>
      <c r="CD379" s="65">
        <f>'Special Corporate+ Rates'!CD43</f>
        <v>0</v>
      </c>
      <c r="CE379" s="65">
        <f>'Special Corporate+ Rates'!CE43</f>
        <v>0</v>
      </c>
      <c r="CF379" s="65">
        <f>'Special Corporate+ Rates'!CF43</f>
        <v>0</v>
      </c>
      <c r="CG379" s="65">
        <f>'Special Corporate+ Rates'!CG43</f>
        <v>0</v>
      </c>
      <c r="CH379" s="65">
        <f>'Special Corporate+ Rates'!CH43</f>
        <v>0</v>
      </c>
      <c r="CI379" s="65">
        <f>'Special Corporate+ Rates'!CI43</f>
        <v>0</v>
      </c>
      <c r="CJ379" s="65">
        <f>'Special Corporate+ Rates'!CJ43</f>
        <v>0</v>
      </c>
      <c r="CK379" s="65">
        <f>'Special Corporate+ Rates'!CK43</f>
        <v>0</v>
      </c>
      <c r="CL379" s="65">
        <f>'Special Corporate+ Rates'!CL43</f>
        <v>0</v>
      </c>
      <c r="CM379" s="65">
        <f>'Special Corporate+ Rates'!CM43</f>
        <v>0</v>
      </c>
      <c r="CN379" s="65">
        <f>'Special Corporate+ Rates'!CN43</f>
        <v>0</v>
      </c>
      <c r="CO379" s="65">
        <f>'Special Corporate+ Rates'!CO43</f>
        <v>0</v>
      </c>
      <c r="CP379" s="65">
        <f>'Special Corporate+ Rates'!CP43</f>
        <v>0</v>
      </c>
      <c r="CQ379" s="65">
        <f>'Special Corporate+ Rates'!CQ43</f>
        <v>0</v>
      </c>
      <c r="CR379" s="65">
        <f>'Special Corporate+ Rates'!CR43</f>
        <v>0</v>
      </c>
      <c r="CS379" s="65">
        <f>'Special Corporate+ Rates'!CS43</f>
        <v>0</v>
      </c>
      <c r="CT379" s="65">
        <f>'Special Corporate+ Rates'!CT43</f>
        <v>0</v>
      </c>
      <c r="CU379" s="65">
        <f>'Special Corporate+ Rates'!CU43</f>
        <v>0</v>
      </c>
      <c r="CV379" s="65">
        <f>'Special Corporate+ Rates'!CV43</f>
        <v>0</v>
      </c>
      <c r="CW379" s="65">
        <f>'Special Corporate+ Rates'!CW43</f>
        <v>0</v>
      </c>
      <c r="CX379" s="65">
        <f>'Special Corporate+ Rates'!CX43</f>
        <v>0</v>
      </c>
      <c r="CY379" s="65">
        <f>'Special Corporate+ Rates'!CY43</f>
        <v>0</v>
      </c>
      <c r="CZ379" s="65">
        <f>'Special Corporate+ Rates'!CZ43</f>
        <v>0</v>
      </c>
      <c r="DA379" s="65">
        <f>'Special Corporate+ Rates'!DA43</f>
        <v>0</v>
      </c>
      <c r="DB379" s="65">
        <f>'Special Corporate+ Rates'!DB43</f>
        <v>0</v>
      </c>
      <c r="DC379" s="65">
        <f>'Special Corporate+ Rates'!DC43</f>
        <v>0</v>
      </c>
      <c r="DD379" s="65">
        <f>'Special Corporate+ Rates'!DD43</f>
        <v>0</v>
      </c>
      <c r="DE379" s="65">
        <f>'Special Corporate+ Rates'!DE43</f>
        <v>0</v>
      </c>
      <c r="DF379" s="65">
        <f>'Special Corporate+ Rates'!DF43</f>
        <v>0</v>
      </c>
      <c r="DG379" s="65">
        <f>'Special Corporate+ Rates'!DG43</f>
        <v>0</v>
      </c>
      <c r="DH379" s="65">
        <f>'Special Corporate+ Rates'!DH43</f>
        <v>0</v>
      </c>
      <c r="DI379" s="65">
        <f>'Special Corporate+ Rates'!DI43</f>
        <v>0</v>
      </c>
      <c r="DJ379" s="65">
        <f>'Special Corporate+ Rates'!DJ43</f>
        <v>0</v>
      </c>
      <c r="DK379" s="65">
        <f>'Special Corporate+ Rates'!DK43</f>
        <v>0</v>
      </c>
      <c r="DL379" s="65">
        <f>'Special Corporate+ Rates'!DL43</f>
        <v>0</v>
      </c>
      <c r="DM379" s="65">
        <f>'Special Corporate+ Rates'!DM43</f>
        <v>0</v>
      </c>
      <c r="DN379" s="65">
        <f>'Special Corporate+ Rates'!DN43</f>
        <v>0</v>
      </c>
      <c r="DO379" s="65">
        <f>'Special Corporate+ Rates'!DO43</f>
        <v>0</v>
      </c>
      <c r="DP379" s="65">
        <f>'Special Corporate+ Rates'!DP43</f>
        <v>0</v>
      </c>
      <c r="DQ379" s="65">
        <f>'Special Corporate+ Rates'!DQ43</f>
        <v>0</v>
      </c>
      <c r="DR379" s="65">
        <f>'Special Corporate+ Rates'!DR43</f>
        <v>0</v>
      </c>
      <c r="DS379" s="65">
        <f>'Special Corporate+ Rates'!DS43</f>
        <v>0</v>
      </c>
      <c r="DT379" s="65">
        <f>'Special Corporate+ Rates'!DT43</f>
        <v>0</v>
      </c>
      <c r="DU379" s="65">
        <f>'Special Corporate+ Rates'!DU43</f>
        <v>0</v>
      </c>
      <c r="DV379" s="65">
        <f>'Special Corporate+ Rates'!DV43</f>
        <v>0</v>
      </c>
      <c r="DW379" s="65">
        <f>'Special Corporate+ Rates'!DW43</f>
        <v>0</v>
      </c>
      <c r="DX379" s="65">
        <f>'Special Corporate+ Rates'!DX43</f>
        <v>0</v>
      </c>
      <c r="DY379" s="68"/>
    </row>
    <row r="380" spans="1:129" x14ac:dyDescent="0.2">
      <c r="A380" s="152"/>
      <c r="B380" s="65">
        <f>'Special Corporate+ Rates'!B44</f>
        <v>0</v>
      </c>
      <c r="C380" s="65">
        <f>'Special Corporate+ Rates'!C44</f>
        <v>0</v>
      </c>
      <c r="D380" s="65">
        <f>'Special Corporate+ Rates'!D44</f>
        <v>0</v>
      </c>
      <c r="E380" s="65">
        <f>'Special Corporate+ Rates'!E44</f>
        <v>0</v>
      </c>
      <c r="F380" s="65">
        <f>'Special Corporate+ Rates'!F44</f>
        <v>0</v>
      </c>
      <c r="G380" s="65">
        <f>'Special Corporate+ Rates'!G44</f>
        <v>0</v>
      </c>
      <c r="H380" s="65">
        <f>'Special Corporate+ Rates'!H44</f>
        <v>0</v>
      </c>
      <c r="I380" s="65">
        <f>'Special Corporate+ Rates'!I44</f>
        <v>0</v>
      </c>
      <c r="J380" s="65">
        <f>'Special Corporate+ Rates'!J44</f>
        <v>0</v>
      </c>
      <c r="K380" s="65">
        <f>'Special Corporate+ Rates'!K44</f>
        <v>0</v>
      </c>
      <c r="L380" s="65">
        <f>'Special Corporate+ Rates'!L44</f>
        <v>0</v>
      </c>
      <c r="M380" s="65">
        <f>'Special Corporate+ Rates'!M44</f>
        <v>0</v>
      </c>
      <c r="N380" s="65">
        <f>'Special Corporate+ Rates'!N44</f>
        <v>0</v>
      </c>
      <c r="O380" s="65">
        <f>'Special Corporate+ Rates'!O44</f>
        <v>0</v>
      </c>
      <c r="P380" s="65">
        <f>'Special Corporate+ Rates'!P44</f>
        <v>0</v>
      </c>
      <c r="Q380" s="65">
        <f>'Special Corporate+ Rates'!Q44</f>
        <v>0</v>
      </c>
      <c r="R380" s="65">
        <f>'Special Corporate+ Rates'!R44</f>
        <v>0</v>
      </c>
      <c r="S380" s="65">
        <f>'Special Corporate+ Rates'!S44</f>
        <v>0</v>
      </c>
      <c r="T380" s="65">
        <f>'Special Corporate+ Rates'!T44</f>
        <v>0</v>
      </c>
      <c r="U380" s="65">
        <f>'Special Corporate+ Rates'!U44</f>
        <v>0</v>
      </c>
      <c r="V380" s="65">
        <f>'Special Corporate+ Rates'!V44</f>
        <v>0</v>
      </c>
      <c r="W380" s="65">
        <f>'Special Corporate+ Rates'!W44</f>
        <v>0</v>
      </c>
      <c r="X380" s="65">
        <f>'Special Corporate+ Rates'!X44</f>
        <v>0</v>
      </c>
      <c r="Y380" s="65">
        <f>'Special Corporate+ Rates'!Y44</f>
        <v>0</v>
      </c>
      <c r="Z380" s="65">
        <f>'Special Corporate+ Rates'!Z44</f>
        <v>0</v>
      </c>
      <c r="AA380" s="65">
        <f>'Special Corporate+ Rates'!AA44</f>
        <v>0</v>
      </c>
      <c r="AB380" s="65">
        <f>'Special Corporate+ Rates'!AB44</f>
        <v>0</v>
      </c>
      <c r="AC380" s="65">
        <f>'Special Corporate+ Rates'!AC44</f>
        <v>0</v>
      </c>
      <c r="AD380" s="65">
        <f>'Special Corporate+ Rates'!AD44</f>
        <v>0</v>
      </c>
      <c r="AE380" s="65">
        <f>'Special Corporate+ Rates'!AE44</f>
        <v>0</v>
      </c>
      <c r="AF380" s="65">
        <f>'Special Corporate+ Rates'!AF44</f>
        <v>0</v>
      </c>
      <c r="AG380" s="65">
        <f>'Special Corporate+ Rates'!AG44</f>
        <v>0</v>
      </c>
      <c r="AH380" s="65">
        <f>'Special Corporate+ Rates'!AH44</f>
        <v>0</v>
      </c>
      <c r="AI380" s="65">
        <f>'Special Corporate+ Rates'!AI44</f>
        <v>0</v>
      </c>
      <c r="AJ380" s="65">
        <f>'Special Corporate+ Rates'!AJ44</f>
        <v>0</v>
      </c>
      <c r="AK380" s="65">
        <f>'Special Corporate+ Rates'!AK44</f>
        <v>0</v>
      </c>
      <c r="AL380" s="65">
        <f>'Special Corporate+ Rates'!AL44</f>
        <v>0</v>
      </c>
      <c r="AM380" s="65">
        <f>'Special Corporate+ Rates'!AM44</f>
        <v>0</v>
      </c>
      <c r="AN380" s="65">
        <f>'Special Corporate+ Rates'!AN44</f>
        <v>0</v>
      </c>
      <c r="AO380" s="65">
        <f>'Special Corporate+ Rates'!AO44</f>
        <v>0</v>
      </c>
      <c r="AP380" s="65">
        <f>'Special Corporate+ Rates'!AP44</f>
        <v>0</v>
      </c>
      <c r="AQ380" s="65">
        <f>'Special Corporate+ Rates'!AQ44</f>
        <v>0</v>
      </c>
      <c r="AR380" s="65">
        <f>'Special Corporate+ Rates'!AR44</f>
        <v>0</v>
      </c>
      <c r="AS380" s="65">
        <f>'Special Corporate+ Rates'!AS44</f>
        <v>0</v>
      </c>
      <c r="AT380" s="65">
        <f>'Special Corporate+ Rates'!AT44</f>
        <v>0</v>
      </c>
      <c r="AU380" s="65">
        <f>'Special Corporate+ Rates'!AU44</f>
        <v>0</v>
      </c>
      <c r="AV380" s="65">
        <f>'Special Corporate+ Rates'!AV44</f>
        <v>0</v>
      </c>
      <c r="AW380" s="65">
        <f>'Special Corporate+ Rates'!AW44</f>
        <v>0</v>
      </c>
      <c r="AX380" s="65">
        <f>'Special Corporate+ Rates'!AX44</f>
        <v>0</v>
      </c>
      <c r="AY380" s="65">
        <f>'Special Corporate+ Rates'!AY44</f>
        <v>0</v>
      </c>
      <c r="AZ380" s="65">
        <f>'Special Corporate+ Rates'!AZ44</f>
        <v>0</v>
      </c>
      <c r="BA380" s="65">
        <f>'Special Corporate+ Rates'!BA44</f>
        <v>0</v>
      </c>
      <c r="BB380" s="65">
        <f>'Special Corporate+ Rates'!BB44</f>
        <v>0</v>
      </c>
      <c r="BC380" s="65">
        <f>'Special Corporate+ Rates'!BC44</f>
        <v>0</v>
      </c>
      <c r="BD380" s="65">
        <f>'Special Corporate+ Rates'!BD44</f>
        <v>0</v>
      </c>
      <c r="BE380" s="65">
        <f>'Special Corporate+ Rates'!BE44</f>
        <v>0</v>
      </c>
      <c r="BF380" s="65">
        <f>'Special Corporate+ Rates'!BF44</f>
        <v>0</v>
      </c>
      <c r="BG380" s="65">
        <f>'Special Corporate+ Rates'!BG44</f>
        <v>0</v>
      </c>
      <c r="BH380" s="65">
        <f>'Special Corporate+ Rates'!BH44</f>
        <v>0</v>
      </c>
      <c r="BI380" s="65">
        <f>'Special Corporate+ Rates'!BI44</f>
        <v>0</v>
      </c>
      <c r="BJ380" s="65">
        <f>'Special Corporate+ Rates'!BJ44</f>
        <v>0</v>
      </c>
      <c r="BK380" s="65">
        <f>'Special Corporate+ Rates'!BK44</f>
        <v>0</v>
      </c>
      <c r="BL380" s="65">
        <f>'Special Corporate+ Rates'!BL44</f>
        <v>0</v>
      </c>
      <c r="BM380" s="65">
        <f>'Special Corporate+ Rates'!BM44</f>
        <v>0</v>
      </c>
      <c r="BN380" s="65">
        <f>'Special Corporate+ Rates'!BN44</f>
        <v>0</v>
      </c>
      <c r="BO380" s="65">
        <f>'Special Corporate+ Rates'!BO44</f>
        <v>0</v>
      </c>
      <c r="BP380" s="65">
        <f>'Special Corporate+ Rates'!BP44</f>
        <v>0</v>
      </c>
      <c r="BQ380" s="65">
        <f>'Special Corporate+ Rates'!BQ44</f>
        <v>0</v>
      </c>
      <c r="BR380" s="65">
        <f>'Special Corporate+ Rates'!BR44</f>
        <v>0</v>
      </c>
      <c r="BS380" s="65">
        <f>'Special Corporate+ Rates'!BS44</f>
        <v>0</v>
      </c>
      <c r="BT380" s="65">
        <f>'Special Corporate+ Rates'!BT44</f>
        <v>0</v>
      </c>
      <c r="BU380" s="65">
        <f>'Special Corporate+ Rates'!BU44</f>
        <v>0</v>
      </c>
      <c r="BV380" s="65">
        <f>'Special Corporate+ Rates'!BV44</f>
        <v>0</v>
      </c>
      <c r="BW380" s="65">
        <f>'Special Corporate+ Rates'!BW44</f>
        <v>0</v>
      </c>
      <c r="BX380" s="65">
        <f>'Special Corporate+ Rates'!BX44</f>
        <v>0</v>
      </c>
      <c r="BY380" s="65">
        <f>'Special Corporate+ Rates'!BY44</f>
        <v>0</v>
      </c>
      <c r="BZ380" s="65">
        <f>'Special Corporate+ Rates'!BZ44</f>
        <v>0</v>
      </c>
      <c r="CA380" s="65">
        <f>'Special Corporate+ Rates'!CA44</f>
        <v>0</v>
      </c>
      <c r="CB380" s="65">
        <f>'Special Corporate+ Rates'!CB44</f>
        <v>0</v>
      </c>
      <c r="CC380" s="65">
        <f>'Special Corporate+ Rates'!CC44</f>
        <v>0</v>
      </c>
      <c r="CD380" s="65">
        <f>'Special Corporate+ Rates'!CD44</f>
        <v>0</v>
      </c>
      <c r="CE380" s="65">
        <f>'Special Corporate+ Rates'!CE44</f>
        <v>0</v>
      </c>
      <c r="CF380" s="65">
        <f>'Special Corporate+ Rates'!CF44</f>
        <v>0</v>
      </c>
      <c r="CG380" s="65">
        <f>'Special Corporate+ Rates'!CG44</f>
        <v>0</v>
      </c>
      <c r="CH380" s="65">
        <f>'Special Corporate+ Rates'!CH44</f>
        <v>0</v>
      </c>
      <c r="CI380" s="65">
        <f>'Special Corporate+ Rates'!CI44</f>
        <v>0</v>
      </c>
      <c r="CJ380" s="65">
        <f>'Special Corporate+ Rates'!CJ44</f>
        <v>0</v>
      </c>
      <c r="CK380" s="65">
        <f>'Special Corporate+ Rates'!CK44</f>
        <v>0</v>
      </c>
      <c r="CL380" s="65">
        <f>'Special Corporate+ Rates'!CL44</f>
        <v>0</v>
      </c>
      <c r="CM380" s="65">
        <f>'Special Corporate+ Rates'!CM44</f>
        <v>0</v>
      </c>
      <c r="CN380" s="65">
        <f>'Special Corporate+ Rates'!CN44</f>
        <v>0</v>
      </c>
      <c r="CO380" s="65">
        <f>'Special Corporate+ Rates'!CO44</f>
        <v>0</v>
      </c>
      <c r="CP380" s="65">
        <f>'Special Corporate+ Rates'!CP44</f>
        <v>0</v>
      </c>
      <c r="CQ380" s="65">
        <f>'Special Corporate+ Rates'!CQ44</f>
        <v>0</v>
      </c>
      <c r="CR380" s="65">
        <f>'Special Corporate+ Rates'!CR44</f>
        <v>0</v>
      </c>
      <c r="CS380" s="65">
        <f>'Special Corporate+ Rates'!CS44</f>
        <v>0</v>
      </c>
      <c r="CT380" s="65">
        <f>'Special Corporate+ Rates'!CT44</f>
        <v>0</v>
      </c>
      <c r="CU380" s="65">
        <f>'Special Corporate+ Rates'!CU44</f>
        <v>0</v>
      </c>
      <c r="CV380" s="65">
        <f>'Special Corporate+ Rates'!CV44</f>
        <v>0</v>
      </c>
      <c r="CW380" s="65">
        <f>'Special Corporate+ Rates'!CW44</f>
        <v>0</v>
      </c>
      <c r="CX380" s="65">
        <f>'Special Corporate+ Rates'!CX44</f>
        <v>0</v>
      </c>
      <c r="CY380" s="65">
        <f>'Special Corporate+ Rates'!CY44</f>
        <v>0</v>
      </c>
      <c r="CZ380" s="65">
        <f>'Special Corporate+ Rates'!CZ44</f>
        <v>0</v>
      </c>
      <c r="DA380" s="65">
        <f>'Special Corporate+ Rates'!DA44</f>
        <v>0</v>
      </c>
      <c r="DB380" s="65">
        <f>'Special Corporate+ Rates'!DB44</f>
        <v>0</v>
      </c>
      <c r="DC380" s="65">
        <f>'Special Corporate+ Rates'!DC44</f>
        <v>0</v>
      </c>
      <c r="DD380" s="65">
        <f>'Special Corporate+ Rates'!DD44</f>
        <v>0</v>
      </c>
      <c r="DE380" s="65">
        <f>'Special Corporate+ Rates'!DE44</f>
        <v>0</v>
      </c>
      <c r="DF380" s="65">
        <f>'Special Corporate+ Rates'!DF44</f>
        <v>0</v>
      </c>
      <c r="DG380" s="65">
        <f>'Special Corporate+ Rates'!DG44</f>
        <v>0</v>
      </c>
      <c r="DH380" s="65">
        <f>'Special Corporate+ Rates'!DH44</f>
        <v>0</v>
      </c>
      <c r="DI380" s="65">
        <f>'Special Corporate+ Rates'!DI44</f>
        <v>0</v>
      </c>
      <c r="DJ380" s="65">
        <f>'Special Corporate+ Rates'!DJ44</f>
        <v>0</v>
      </c>
      <c r="DK380" s="65">
        <f>'Special Corporate+ Rates'!DK44</f>
        <v>0</v>
      </c>
      <c r="DL380" s="65">
        <f>'Special Corporate+ Rates'!DL44</f>
        <v>0</v>
      </c>
      <c r="DM380" s="65">
        <f>'Special Corporate+ Rates'!DM44</f>
        <v>0</v>
      </c>
      <c r="DN380" s="65">
        <f>'Special Corporate+ Rates'!DN44</f>
        <v>0</v>
      </c>
      <c r="DO380" s="65">
        <f>'Special Corporate+ Rates'!DO44</f>
        <v>0</v>
      </c>
      <c r="DP380" s="65">
        <f>'Special Corporate+ Rates'!DP44</f>
        <v>0</v>
      </c>
      <c r="DQ380" s="65">
        <f>'Special Corporate+ Rates'!DQ44</f>
        <v>0</v>
      </c>
      <c r="DR380" s="65">
        <f>'Special Corporate+ Rates'!DR44</f>
        <v>0</v>
      </c>
      <c r="DS380" s="65">
        <f>'Special Corporate+ Rates'!DS44</f>
        <v>0</v>
      </c>
      <c r="DT380" s="65">
        <f>'Special Corporate+ Rates'!DT44</f>
        <v>0</v>
      </c>
      <c r="DU380" s="65">
        <f>'Special Corporate+ Rates'!DU44</f>
        <v>0</v>
      </c>
      <c r="DV380" s="65">
        <f>'Special Corporate+ Rates'!DV44</f>
        <v>0</v>
      </c>
      <c r="DW380" s="65">
        <f>'Special Corporate+ Rates'!DW44</f>
        <v>0</v>
      </c>
      <c r="DX380" s="65">
        <f>'Special Corporate+ Rates'!DX44</f>
        <v>0</v>
      </c>
      <c r="DY380" s="68"/>
    </row>
    <row r="381" spans="1:129" x14ac:dyDescent="0.2">
      <c r="A381" s="152"/>
      <c r="B381" s="65">
        <f>'Special Corporate+ Rates'!B45</f>
        <v>0</v>
      </c>
      <c r="C381" s="65">
        <f>'Special Corporate+ Rates'!C45</f>
        <v>0</v>
      </c>
      <c r="D381" s="65">
        <f>'Special Corporate+ Rates'!D45</f>
        <v>0</v>
      </c>
      <c r="E381" s="65">
        <f>'Special Corporate+ Rates'!E45</f>
        <v>0</v>
      </c>
      <c r="F381" s="65">
        <f>'Special Corporate+ Rates'!F45</f>
        <v>0</v>
      </c>
      <c r="G381" s="65">
        <f>'Special Corporate+ Rates'!G45</f>
        <v>0</v>
      </c>
      <c r="H381" s="65">
        <f>'Special Corporate+ Rates'!H45</f>
        <v>0</v>
      </c>
      <c r="I381" s="65">
        <f>'Special Corporate+ Rates'!I45</f>
        <v>0</v>
      </c>
      <c r="J381" s="65">
        <f>'Special Corporate+ Rates'!J45</f>
        <v>0</v>
      </c>
      <c r="K381" s="65">
        <f>'Special Corporate+ Rates'!K45</f>
        <v>0</v>
      </c>
      <c r="L381" s="65">
        <f>'Special Corporate+ Rates'!L45</f>
        <v>0</v>
      </c>
      <c r="M381" s="65">
        <f>'Special Corporate+ Rates'!M45</f>
        <v>0</v>
      </c>
      <c r="N381" s="65">
        <f>'Special Corporate+ Rates'!N45</f>
        <v>0</v>
      </c>
      <c r="O381" s="65">
        <f>'Special Corporate+ Rates'!O45</f>
        <v>0</v>
      </c>
      <c r="P381" s="65">
        <f>'Special Corporate+ Rates'!P45</f>
        <v>0</v>
      </c>
      <c r="Q381" s="65">
        <f>'Special Corporate+ Rates'!Q45</f>
        <v>0</v>
      </c>
      <c r="R381" s="65">
        <f>'Special Corporate+ Rates'!R45</f>
        <v>0</v>
      </c>
      <c r="S381" s="65">
        <f>'Special Corporate+ Rates'!S45</f>
        <v>0</v>
      </c>
      <c r="T381" s="65">
        <f>'Special Corporate+ Rates'!T45</f>
        <v>0</v>
      </c>
      <c r="U381" s="65">
        <f>'Special Corporate+ Rates'!U45</f>
        <v>0</v>
      </c>
      <c r="V381" s="65">
        <f>'Special Corporate+ Rates'!V45</f>
        <v>0</v>
      </c>
      <c r="W381" s="65">
        <f>'Special Corporate+ Rates'!W45</f>
        <v>0</v>
      </c>
      <c r="X381" s="65">
        <f>'Special Corporate+ Rates'!X45</f>
        <v>0</v>
      </c>
      <c r="Y381" s="65">
        <f>'Special Corporate+ Rates'!Y45</f>
        <v>0</v>
      </c>
      <c r="Z381" s="65">
        <f>'Special Corporate+ Rates'!Z45</f>
        <v>0</v>
      </c>
      <c r="AA381" s="65">
        <f>'Special Corporate+ Rates'!AA45</f>
        <v>0</v>
      </c>
      <c r="AB381" s="65">
        <f>'Special Corporate+ Rates'!AB45</f>
        <v>0</v>
      </c>
      <c r="AC381" s="65">
        <f>'Special Corporate+ Rates'!AC45</f>
        <v>0</v>
      </c>
      <c r="AD381" s="65">
        <f>'Special Corporate+ Rates'!AD45</f>
        <v>0</v>
      </c>
      <c r="AE381" s="65">
        <f>'Special Corporate+ Rates'!AE45</f>
        <v>0</v>
      </c>
      <c r="AF381" s="65">
        <f>'Special Corporate+ Rates'!AF45</f>
        <v>0</v>
      </c>
      <c r="AG381" s="65">
        <f>'Special Corporate+ Rates'!AG45</f>
        <v>0</v>
      </c>
      <c r="AH381" s="65">
        <f>'Special Corporate+ Rates'!AH45</f>
        <v>0</v>
      </c>
      <c r="AI381" s="65">
        <f>'Special Corporate+ Rates'!AI45</f>
        <v>0</v>
      </c>
      <c r="AJ381" s="65">
        <f>'Special Corporate+ Rates'!AJ45</f>
        <v>0</v>
      </c>
      <c r="AK381" s="65">
        <f>'Special Corporate+ Rates'!AK45</f>
        <v>0</v>
      </c>
      <c r="AL381" s="65">
        <f>'Special Corporate+ Rates'!AL45</f>
        <v>0</v>
      </c>
      <c r="AM381" s="65">
        <f>'Special Corporate+ Rates'!AM45</f>
        <v>0</v>
      </c>
      <c r="AN381" s="65">
        <f>'Special Corporate+ Rates'!AN45</f>
        <v>0</v>
      </c>
      <c r="AO381" s="65">
        <f>'Special Corporate+ Rates'!AO45</f>
        <v>0</v>
      </c>
      <c r="AP381" s="65">
        <f>'Special Corporate+ Rates'!AP45</f>
        <v>0</v>
      </c>
      <c r="AQ381" s="65">
        <f>'Special Corporate+ Rates'!AQ45</f>
        <v>0</v>
      </c>
      <c r="AR381" s="65">
        <f>'Special Corporate+ Rates'!AR45</f>
        <v>0</v>
      </c>
      <c r="AS381" s="65">
        <f>'Special Corporate+ Rates'!AS45</f>
        <v>0</v>
      </c>
      <c r="AT381" s="65">
        <f>'Special Corporate+ Rates'!AT45</f>
        <v>0</v>
      </c>
      <c r="AU381" s="65">
        <f>'Special Corporate+ Rates'!AU45</f>
        <v>0</v>
      </c>
      <c r="AV381" s="65">
        <f>'Special Corporate+ Rates'!AV45</f>
        <v>0</v>
      </c>
      <c r="AW381" s="65">
        <f>'Special Corporate+ Rates'!AW45</f>
        <v>0</v>
      </c>
      <c r="AX381" s="65">
        <f>'Special Corporate+ Rates'!AX45</f>
        <v>0</v>
      </c>
      <c r="AY381" s="65">
        <f>'Special Corporate+ Rates'!AY45</f>
        <v>0</v>
      </c>
      <c r="AZ381" s="65">
        <f>'Special Corporate+ Rates'!AZ45</f>
        <v>0</v>
      </c>
      <c r="BA381" s="65">
        <f>'Special Corporate+ Rates'!BA45</f>
        <v>0</v>
      </c>
      <c r="BB381" s="65">
        <f>'Special Corporate+ Rates'!BB45</f>
        <v>0</v>
      </c>
      <c r="BC381" s="65">
        <f>'Special Corporate+ Rates'!BC45</f>
        <v>0</v>
      </c>
      <c r="BD381" s="65">
        <f>'Special Corporate+ Rates'!BD45</f>
        <v>0</v>
      </c>
      <c r="BE381" s="65">
        <f>'Special Corporate+ Rates'!BE45</f>
        <v>0</v>
      </c>
      <c r="BF381" s="65">
        <f>'Special Corporate+ Rates'!BF45</f>
        <v>0</v>
      </c>
      <c r="BG381" s="65">
        <f>'Special Corporate+ Rates'!BG45</f>
        <v>0</v>
      </c>
      <c r="BH381" s="65">
        <f>'Special Corporate+ Rates'!BH45</f>
        <v>0</v>
      </c>
      <c r="BI381" s="65">
        <f>'Special Corporate+ Rates'!BI45</f>
        <v>0</v>
      </c>
      <c r="BJ381" s="65">
        <f>'Special Corporate+ Rates'!BJ45</f>
        <v>0</v>
      </c>
      <c r="BK381" s="65">
        <f>'Special Corporate+ Rates'!BK45</f>
        <v>0</v>
      </c>
      <c r="BL381" s="65">
        <f>'Special Corporate+ Rates'!BL45</f>
        <v>0</v>
      </c>
      <c r="BM381" s="65">
        <f>'Special Corporate+ Rates'!BM45</f>
        <v>0</v>
      </c>
      <c r="BN381" s="65">
        <f>'Special Corporate+ Rates'!BN45</f>
        <v>0</v>
      </c>
      <c r="BO381" s="65">
        <f>'Special Corporate+ Rates'!BO45</f>
        <v>0</v>
      </c>
      <c r="BP381" s="65">
        <f>'Special Corporate+ Rates'!BP45</f>
        <v>0</v>
      </c>
      <c r="BQ381" s="65">
        <f>'Special Corporate+ Rates'!BQ45</f>
        <v>0</v>
      </c>
      <c r="BR381" s="65">
        <f>'Special Corporate+ Rates'!BR45</f>
        <v>0</v>
      </c>
      <c r="BS381" s="65">
        <f>'Special Corporate+ Rates'!BS45</f>
        <v>0</v>
      </c>
      <c r="BT381" s="65">
        <f>'Special Corporate+ Rates'!BT45</f>
        <v>0</v>
      </c>
      <c r="BU381" s="65">
        <f>'Special Corporate+ Rates'!BU45</f>
        <v>0</v>
      </c>
      <c r="BV381" s="65">
        <f>'Special Corporate+ Rates'!BV45</f>
        <v>0</v>
      </c>
      <c r="BW381" s="65">
        <f>'Special Corporate+ Rates'!BW45</f>
        <v>0</v>
      </c>
      <c r="BX381" s="65">
        <f>'Special Corporate+ Rates'!BX45</f>
        <v>0</v>
      </c>
      <c r="BY381" s="65">
        <f>'Special Corporate+ Rates'!BY45</f>
        <v>0</v>
      </c>
      <c r="BZ381" s="65">
        <f>'Special Corporate+ Rates'!BZ45</f>
        <v>0</v>
      </c>
      <c r="CA381" s="65">
        <f>'Special Corporate+ Rates'!CA45</f>
        <v>0</v>
      </c>
      <c r="CB381" s="65">
        <f>'Special Corporate+ Rates'!CB45</f>
        <v>0</v>
      </c>
      <c r="CC381" s="65">
        <f>'Special Corporate+ Rates'!CC45</f>
        <v>0</v>
      </c>
      <c r="CD381" s="65">
        <f>'Special Corporate+ Rates'!CD45</f>
        <v>0</v>
      </c>
      <c r="CE381" s="65">
        <f>'Special Corporate+ Rates'!CE45</f>
        <v>0</v>
      </c>
      <c r="CF381" s="65">
        <f>'Special Corporate+ Rates'!CF45</f>
        <v>0</v>
      </c>
      <c r="CG381" s="65">
        <f>'Special Corporate+ Rates'!CG45</f>
        <v>0</v>
      </c>
      <c r="CH381" s="65">
        <f>'Special Corporate+ Rates'!CH45</f>
        <v>0</v>
      </c>
      <c r="CI381" s="65">
        <f>'Special Corporate+ Rates'!CI45</f>
        <v>0</v>
      </c>
      <c r="CJ381" s="65">
        <f>'Special Corporate+ Rates'!CJ45</f>
        <v>0</v>
      </c>
      <c r="CK381" s="65">
        <f>'Special Corporate+ Rates'!CK45</f>
        <v>0</v>
      </c>
      <c r="CL381" s="65">
        <f>'Special Corporate+ Rates'!CL45</f>
        <v>0</v>
      </c>
      <c r="CM381" s="65">
        <f>'Special Corporate+ Rates'!CM45</f>
        <v>0</v>
      </c>
      <c r="CN381" s="65">
        <f>'Special Corporate+ Rates'!CN45</f>
        <v>0</v>
      </c>
      <c r="CO381" s="65">
        <f>'Special Corporate+ Rates'!CO45</f>
        <v>0</v>
      </c>
      <c r="CP381" s="65">
        <f>'Special Corporate+ Rates'!CP45</f>
        <v>0</v>
      </c>
      <c r="CQ381" s="65">
        <f>'Special Corporate+ Rates'!CQ45</f>
        <v>0</v>
      </c>
      <c r="CR381" s="65">
        <f>'Special Corporate+ Rates'!CR45</f>
        <v>0</v>
      </c>
      <c r="CS381" s="65">
        <f>'Special Corporate+ Rates'!CS45</f>
        <v>0</v>
      </c>
      <c r="CT381" s="65">
        <f>'Special Corporate+ Rates'!CT45</f>
        <v>0</v>
      </c>
      <c r="CU381" s="65">
        <f>'Special Corporate+ Rates'!CU45</f>
        <v>0</v>
      </c>
      <c r="CV381" s="65">
        <f>'Special Corporate+ Rates'!CV45</f>
        <v>0</v>
      </c>
      <c r="CW381" s="65">
        <f>'Special Corporate+ Rates'!CW45</f>
        <v>0</v>
      </c>
      <c r="CX381" s="65">
        <f>'Special Corporate+ Rates'!CX45</f>
        <v>0</v>
      </c>
      <c r="CY381" s="65">
        <f>'Special Corporate+ Rates'!CY45</f>
        <v>0</v>
      </c>
      <c r="CZ381" s="65">
        <f>'Special Corporate+ Rates'!CZ45</f>
        <v>0</v>
      </c>
      <c r="DA381" s="65">
        <f>'Special Corporate+ Rates'!DA45</f>
        <v>0</v>
      </c>
      <c r="DB381" s="65">
        <f>'Special Corporate+ Rates'!DB45</f>
        <v>0</v>
      </c>
      <c r="DC381" s="65">
        <f>'Special Corporate+ Rates'!DC45</f>
        <v>0</v>
      </c>
      <c r="DD381" s="65">
        <f>'Special Corporate+ Rates'!DD45</f>
        <v>0</v>
      </c>
      <c r="DE381" s="65">
        <f>'Special Corporate+ Rates'!DE45</f>
        <v>0</v>
      </c>
      <c r="DF381" s="65">
        <f>'Special Corporate+ Rates'!DF45</f>
        <v>0</v>
      </c>
      <c r="DG381" s="65">
        <f>'Special Corporate+ Rates'!DG45</f>
        <v>0</v>
      </c>
      <c r="DH381" s="65">
        <f>'Special Corporate+ Rates'!DH45</f>
        <v>0</v>
      </c>
      <c r="DI381" s="65">
        <f>'Special Corporate+ Rates'!DI45</f>
        <v>0</v>
      </c>
      <c r="DJ381" s="65">
        <f>'Special Corporate+ Rates'!DJ45</f>
        <v>0</v>
      </c>
      <c r="DK381" s="65">
        <f>'Special Corporate+ Rates'!DK45</f>
        <v>0</v>
      </c>
      <c r="DL381" s="65">
        <f>'Special Corporate+ Rates'!DL45</f>
        <v>0</v>
      </c>
      <c r="DM381" s="65">
        <f>'Special Corporate+ Rates'!DM45</f>
        <v>0</v>
      </c>
      <c r="DN381" s="65">
        <f>'Special Corporate+ Rates'!DN45</f>
        <v>0</v>
      </c>
      <c r="DO381" s="65">
        <f>'Special Corporate+ Rates'!DO45</f>
        <v>0</v>
      </c>
      <c r="DP381" s="65">
        <f>'Special Corporate+ Rates'!DP45</f>
        <v>0</v>
      </c>
      <c r="DQ381" s="65">
        <f>'Special Corporate+ Rates'!DQ45</f>
        <v>0</v>
      </c>
      <c r="DR381" s="65">
        <f>'Special Corporate+ Rates'!DR45</f>
        <v>0</v>
      </c>
      <c r="DS381" s="65">
        <f>'Special Corporate+ Rates'!DS45</f>
        <v>0</v>
      </c>
      <c r="DT381" s="65">
        <f>'Special Corporate+ Rates'!DT45</f>
        <v>0</v>
      </c>
      <c r="DU381" s="65">
        <f>'Special Corporate+ Rates'!DU45</f>
        <v>0</v>
      </c>
      <c r="DV381" s="65">
        <f>'Special Corporate+ Rates'!DV45</f>
        <v>0</v>
      </c>
      <c r="DW381" s="65">
        <f>'Special Corporate+ Rates'!DW45</f>
        <v>0</v>
      </c>
      <c r="DX381" s="65">
        <f>'Special Corporate+ Rates'!DX45</f>
        <v>0</v>
      </c>
      <c r="DY381" s="68"/>
    </row>
    <row r="382" spans="1:129" x14ac:dyDescent="0.2">
      <c r="A382" s="152"/>
      <c r="B382" s="65">
        <f>'Special Corporate+ Rates'!B46</f>
        <v>0</v>
      </c>
      <c r="C382" s="65">
        <f>'Special Corporate+ Rates'!C46</f>
        <v>0</v>
      </c>
      <c r="D382" s="65">
        <f>'Special Corporate+ Rates'!D46</f>
        <v>0</v>
      </c>
      <c r="E382" s="65">
        <f>'Special Corporate+ Rates'!E46</f>
        <v>0</v>
      </c>
      <c r="F382" s="65">
        <f>'Special Corporate+ Rates'!F46</f>
        <v>0</v>
      </c>
      <c r="G382" s="65">
        <f>'Special Corporate+ Rates'!G46</f>
        <v>0</v>
      </c>
      <c r="H382" s="65">
        <f>'Special Corporate+ Rates'!H46</f>
        <v>0</v>
      </c>
      <c r="I382" s="65">
        <f>'Special Corporate+ Rates'!I46</f>
        <v>0</v>
      </c>
      <c r="J382" s="65">
        <f>'Special Corporate+ Rates'!J46</f>
        <v>0</v>
      </c>
      <c r="K382" s="65">
        <f>'Special Corporate+ Rates'!K46</f>
        <v>0</v>
      </c>
      <c r="L382" s="65">
        <f>'Special Corporate+ Rates'!L46</f>
        <v>0</v>
      </c>
      <c r="M382" s="65">
        <f>'Special Corporate+ Rates'!M46</f>
        <v>0</v>
      </c>
      <c r="N382" s="65">
        <f>'Special Corporate+ Rates'!N46</f>
        <v>0</v>
      </c>
      <c r="O382" s="65">
        <f>'Special Corporate+ Rates'!O46</f>
        <v>0</v>
      </c>
      <c r="P382" s="65">
        <f>'Special Corporate+ Rates'!P46</f>
        <v>0</v>
      </c>
      <c r="Q382" s="65">
        <f>'Special Corporate+ Rates'!Q46</f>
        <v>0</v>
      </c>
      <c r="R382" s="65">
        <f>'Special Corporate+ Rates'!R46</f>
        <v>0</v>
      </c>
      <c r="S382" s="65">
        <f>'Special Corporate+ Rates'!S46</f>
        <v>0</v>
      </c>
      <c r="T382" s="65">
        <f>'Special Corporate+ Rates'!T46</f>
        <v>0</v>
      </c>
      <c r="U382" s="65">
        <f>'Special Corporate+ Rates'!U46</f>
        <v>0</v>
      </c>
      <c r="V382" s="65">
        <f>'Special Corporate+ Rates'!V46</f>
        <v>0</v>
      </c>
      <c r="W382" s="65">
        <f>'Special Corporate+ Rates'!W46</f>
        <v>0</v>
      </c>
      <c r="X382" s="65">
        <f>'Special Corporate+ Rates'!X46</f>
        <v>0</v>
      </c>
      <c r="Y382" s="65">
        <f>'Special Corporate+ Rates'!Y46</f>
        <v>0</v>
      </c>
      <c r="Z382" s="65">
        <f>'Special Corporate+ Rates'!Z46</f>
        <v>0</v>
      </c>
      <c r="AA382" s="65">
        <f>'Special Corporate+ Rates'!AA46</f>
        <v>0</v>
      </c>
      <c r="AB382" s="65">
        <f>'Special Corporate+ Rates'!AB46</f>
        <v>0</v>
      </c>
      <c r="AC382" s="65">
        <f>'Special Corporate+ Rates'!AC46</f>
        <v>0</v>
      </c>
      <c r="AD382" s="65">
        <f>'Special Corporate+ Rates'!AD46</f>
        <v>0</v>
      </c>
      <c r="AE382" s="65">
        <f>'Special Corporate+ Rates'!AE46</f>
        <v>0</v>
      </c>
      <c r="AF382" s="65">
        <f>'Special Corporate+ Rates'!AF46</f>
        <v>0</v>
      </c>
      <c r="AG382" s="65">
        <f>'Special Corporate+ Rates'!AG46</f>
        <v>0</v>
      </c>
      <c r="AH382" s="65">
        <f>'Special Corporate+ Rates'!AH46</f>
        <v>0</v>
      </c>
      <c r="AI382" s="65">
        <f>'Special Corporate+ Rates'!AI46</f>
        <v>0</v>
      </c>
      <c r="AJ382" s="65">
        <f>'Special Corporate+ Rates'!AJ46</f>
        <v>0</v>
      </c>
      <c r="AK382" s="65">
        <f>'Special Corporate+ Rates'!AK46</f>
        <v>0</v>
      </c>
      <c r="AL382" s="65">
        <f>'Special Corporate+ Rates'!AL46</f>
        <v>0</v>
      </c>
      <c r="AM382" s="65">
        <f>'Special Corporate+ Rates'!AM46</f>
        <v>0</v>
      </c>
      <c r="AN382" s="65">
        <f>'Special Corporate+ Rates'!AN46</f>
        <v>0</v>
      </c>
      <c r="AO382" s="65">
        <f>'Special Corporate+ Rates'!AO46</f>
        <v>0</v>
      </c>
      <c r="AP382" s="65">
        <f>'Special Corporate+ Rates'!AP46</f>
        <v>0</v>
      </c>
      <c r="AQ382" s="65">
        <f>'Special Corporate+ Rates'!AQ46</f>
        <v>0</v>
      </c>
      <c r="AR382" s="65">
        <f>'Special Corporate+ Rates'!AR46</f>
        <v>0</v>
      </c>
      <c r="AS382" s="65">
        <f>'Special Corporate+ Rates'!AS46</f>
        <v>0</v>
      </c>
      <c r="AT382" s="65">
        <f>'Special Corporate+ Rates'!AT46</f>
        <v>0</v>
      </c>
      <c r="AU382" s="65">
        <f>'Special Corporate+ Rates'!AU46</f>
        <v>0</v>
      </c>
      <c r="AV382" s="65">
        <f>'Special Corporate+ Rates'!AV46</f>
        <v>0</v>
      </c>
      <c r="AW382" s="65">
        <f>'Special Corporate+ Rates'!AW46</f>
        <v>0</v>
      </c>
      <c r="AX382" s="65">
        <f>'Special Corporate+ Rates'!AX46</f>
        <v>0</v>
      </c>
      <c r="AY382" s="65">
        <f>'Special Corporate+ Rates'!AY46</f>
        <v>0</v>
      </c>
      <c r="AZ382" s="65">
        <f>'Special Corporate+ Rates'!AZ46</f>
        <v>0</v>
      </c>
      <c r="BA382" s="65">
        <f>'Special Corporate+ Rates'!BA46</f>
        <v>0</v>
      </c>
      <c r="BB382" s="65">
        <f>'Special Corporate+ Rates'!BB46</f>
        <v>0</v>
      </c>
      <c r="BC382" s="65">
        <f>'Special Corporate+ Rates'!BC46</f>
        <v>0</v>
      </c>
      <c r="BD382" s="65">
        <f>'Special Corporate+ Rates'!BD46</f>
        <v>0</v>
      </c>
      <c r="BE382" s="65">
        <f>'Special Corporate+ Rates'!BE46</f>
        <v>0</v>
      </c>
      <c r="BF382" s="65">
        <f>'Special Corporate+ Rates'!BF46</f>
        <v>0</v>
      </c>
      <c r="BG382" s="65">
        <f>'Special Corporate+ Rates'!BG46</f>
        <v>0</v>
      </c>
      <c r="BH382" s="65">
        <f>'Special Corporate+ Rates'!BH46</f>
        <v>0</v>
      </c>
      <c r="BI382" s="65">
        <f>'Special Corporate+ Rates'!BI46</f>
        <v>0</v>
      </c>
      <c r="BJ382" s="65">
        <f>'Special Corporate+ Rates'!BJ46</f>
        <v>0</v>
      </c>
      <c r="BK382" s="65">
        <f>'Special Corporate+ Rates'!BK46</f>
        <v>0</v>
      </c>
      <c r="BL382" s="65">
        <f>'Special Corporate+ Rates'!BL46</f>
        <v>0</v>
      </c>
      <c r="BM382" s="65">
        <f>'Special Corporate+ Rates'!BM46</f>
        <v>0</v>
      </c>
      <c r="BN382" s="65">
        <f>'Special Corporate+ Rates'!BN46</f>
        <v>0</v>
      </c>
      <c r="BO382" s="65">
        <f>'Special Corporate+ Rates'!BO46</f>
        <v>0</v>
      </c>
      <c r="BP382" s="65">
        <f>'Special Corporate+ Rates'!BP46</f>
        <v>0</v>
      </c>
      <c r="BQ382" s="65">
        <f>'Special Corporate+ Rates'!BQ46</f>
        <v>0</v>
      </c>
      <c r="BR382" s="65">
        <f>'Special Corporate+ Rates'!BR46</f>
        <v>0</v>
      </c>
      <c r="BS382" s="65">
        <f>'Special Corporate+ Rates'!BS46</f>
        <v>0</v>
      </c>
      <c r="BT382" s="65">
        <f>'Special Corporate+ Rates'!BT46</f>
        <v>0</v>
      </c>
      <c r="BU382" s="65">
        <f>'Special Corporate+ Rates'!BU46</f>
        <v>0</v>
      </c>
      <c r="BV382" s="65">
        <f>'Special Corporate+ Rates'!BV46</f>
        <v>0</v>
      </c>
      <c r="BW382" s="65">
        <f>'Special Corporate+ Rates'!BW46</f>
        <v>0</v>
      </c>
      <c r="BX382" s="65">
        <f>'Special Corporate+ Rates'!BX46</f>
        <v>0</v>
      </c>
      <c r="BY382" s="65">
        <f>'Special Corporate+ Rates'!BY46</f>
        <v>0</v>
      </c>
      <c r="BZ382" s="65">
        <f>'Special Corporate+ Rates'!BZ46</f>
        <v>0</v>
      </c>
      <c r="CA382" s="65">
        <f>'Special Corporate+ Rates'!CA46</f>
        <v>0</v>
      </c>
      <c r="CB382" s="65">
        <f>'Special Corporate+ Rates'!CB46</f>
        <v>0</v>
      </c>
      <c r="CC382" s="65">
        <f>'Special Corporate+ Rates'!CC46</f>
        <v>0</v>
      </c>
      <c r="CD382" s="65">
        <f>'Special Corporate+ Rates'!CD46</f>
        <v>0</v>
      </c>
      <c r="CE382" s="65">
        <f>'Special Corporate+ Rates'!CE46</f>
        <v>0</v>
      </c>
      <c r="CF382" s="65">
        <f>'Special Corporate+ Rates'!CF46</f>
        <v>0</v>
      </c>
      <c r="CG382" s="65">
        <f>'Special Corporate+ Rates'!CG46</f>
        <v>0</v>
      </c>
      <c r="CH382" s="65">
        <f>'Special Corporate+ Rates'!CH46</f>
        <v>0</v>
      </c>
      <c r="CI382" s="65">
        <f>'Special Corporate+ Rates'!CI46</f>
        <v>0</v>
      </c>
      <c r="CJ382" s="65">
        <f>'Special Corporate+ Rates'!CJ46</f>
        <v>0</v>
      </c>
      <c r="CK382" s="65">
        <f>'Special Corporate+ Rates'!CK46</f>
        <v>0</v>
      </c>
      <c r="CL382" s="65">
        <f>'Special Corporate+ Rates'!CL46</f>
        <v>0</v>
      </c>
      <c r="CM382" s="65">
        <f>'Special Corporate+ Rates'!CM46</f>
        <v>0</v>
      </c>
      <c r="CN382" s="65">
        <f>'Special Corporate+ Rates'!CN46</f>
        <v>0</v>
      </c>
      <c r="CO382" s="65">
        <f>'Special Corporate+ Rates'!CO46</f>
        <v>0</v>
      </c>
      <c r="CP382" s="65">
        <f>'Special Corporate+ Rates'!CP46</f>
        <v>0</v>
      </c>
      <c r="CQ382" s="65">
        <f>'Special Corporate+ Rates'!CQ46</f>
        <v>0</v>
      </c>
      <c r="CR382" s="65">
        <f>'Special Corporate+ Rates'!CR46</f>
        <v>0</v>
      </c>
      <c r="CS382" s="65">
        <f>'Special Corporate+ Rates'!CS46</f>
        <v>0</v>
      </c>
      <c r="CT382" s="65">
        <f>'Special Corporate+ Rates'!CT46</f>
        <v>0</v>
      </c>
      <c r="CU382" s="65">
        <f>'Special Corporate+ Rates'!CU46</f>
        <v>0</v>
      </c>
      <c r="CV382" s="65">
        <f>'Special Corporate+ Rates'!CV46</f>
        <v>0</v>
      </c>
      <c r="CW382" s="65">
        <f>'Special Corporate+ Rates'!CW46</f>
        <v>0</v>
      </c>
      <c r="CX382" s="65">
        <f>'Special Corporate+ Rates'!CX46</f>
        <v>0</v>
      </c>
      <c r="CY382" s="65">
        <f>'Special Corporate+ Rates'!CY46</f>
        <v>0</v>
      </c>
      <c r="CZ382" s="65">
        <f>'Special Corporate+ Rates'!CZ46</f>
        <v>0</v>
      </c>
      <c r="DA382" s="65">
        <f>'Special Corporate+ Rates'!DA46</f>
        <v>0</v>
      </c>
      <c r="DB382" s="65">
        <f>'Special Corporate+ Rates'!DB46</f>
        <v>0</v>
      </c>
      <c r="DC382" s="65">
        <f>'Special Corporate+ Rates'!DC46</f>
        <v>0</v>
      </c>
      <c r="DD382" s="65">
        <f>'Special Corporate+ Rates'!DD46</f>
        <v>0</v>
      </c>
      <c r="DE382" s="65">
        <f>'Special Corporate+ Rates'!DE46</f>
        <v>0</v>
      </c>
      <c r="DF382" s="65">
        <f>'Special Corporate+ Rates'!DF46</f>
        <v>0</v>
      </c>
      <c r="DG382" s="65">
        <f>'Special Corporate+ Rates'!DG46</f>
        <v>0</v>
      </c>
      <c r="DH382" s="65">
        <f>'Special Corporate+ Rates'!DH46</f>
        <v>0</v>
      </c>
      <c r="DI382" s="65">
        <f>'Special Corporate+ Rates'!DI46</f>
        <v>0</v>
      </c>
      <c r="DJ382" s="65">
        <f>'Special Corporate+ Rates'!DJ46</f>
        <v>0</v>
      </c>
      <c r="DK382" s="65">
        <f>'Special Corporate+ Rates'!DK46</f>
        <v>0</v>
      </c>
      <c r="DL382" s="65">
        <f>'Special Corporate+ Rates'!DL46</f>
        <v>0</v>
      </c>
      <c r="DM382" s="65">
        <f>'Special Corporate+ Rates'!DM46</f>
        <v>0</v>
      </c>
      <c r="DN382" s="65">
        <f>'Special Corporate+ Rates'!DN46</f>
        <v>0</v>
      </c>
      <c r="DO382" s="65">
        <f>'Special Corporate+ Rates'!DO46</f>
        <v>0</v>
      </c>
      <c r="DP382" s="65">
        <f>'Special Corporate+ Rates'!DP46</f>
        <v>0</v>
      </c>
      <c r="DQ382" s="65">
        <f>'Special Corporate+ Rates'!DQ46</f>
        <v>0</v>
      </c>
      <c r="DR382" s="65">
        <f>'Special Corporate+ Rates'!DR46</f>
        <v>0</v>
      </c>
      <c r="DS382" s="65">
        <f>'Special Corporate+ Rates'!DS46</f>
        <v>0</v>
      </c>
      <c r="DT382" s="65">
        <f>'Special Corporate+ Rates'!DT46</f>
        <v>0</v>
      </c>
      <c r="DU382" s="65">
        <f>'Special Corporate+ Rates'!DU46</f>
        <v>0</v>
      </c>
      <c r="DV382" s="65">
        <f>'Special Corporate+ Rates'!DV46</f>
        <v>0</v>
      </c>
      <c r="DW382" s="65">
        <f>'Special Corporate+ Rates'!DW46</f>
        <v>0</v>
      </c>
      <c r="DX382" s="65">
        <f>'Special Corporate+ Rates'!DX46</f>
        <v>0</v>
      </c>
      <c r="DY382" s="68"/>
    </row>
    <row r="383" spans="1:129" x14ac:dyDescent="0.2">
      <c r="A383" s="152"/>
      <c r="B383" s="65">
        <f>'Special Corporate+ Rates'!B47</f>
        <v>0</v>
      </c>
      <c r="C383" s="65">
        <f>'Special Corporate+ Rates'!C47</f>
        <v>0</v>
      </c>
      <c r="D383" s="65">
        <f>'Special Corporate+ Rates'!D47</f>
        <v>0</v>
      </c>
      <c r="E383" s="65">
        <f>'Special Corporate+ Rates'!E47</f>
        <v>0</v>
      </c>
      <c r="F383" s="65">
        <f>'Special Corporate+ Rates'!F47</f>
        <v>0</v>
      </c>
      <c r="G383" s="65">
        <f>'Special Corporate+ Rates'!G47</f>
        <v>0</v>
      </c>
      <c r="H383" s="65">
        <f>'Special Corporate+ Rates'!H47</f>
        <v>0</v>
      </c>
      <c r="I383" s="65">
        <f>'Special Corporate+ Rates'!I47</f>
        <v>0</v>
      </c>
      <c r="J383" s="65">
        <f>'Special Corporate+ Rates'!J47</f>
        <v>0</v>
      </c>
      <c r="K383" s="65">
        <f>'Special Corporate+ Rates'!K47</f>
        <v>0</v>
      </c>
      <c r="L383" s="65">
        <f>'Special Corporate+ Rates'!L47</f>
        <v>0</v>
      </c>
      <c r="M383" s="65">
        <f>'Special Corporate+ Rates'!M47</f>
        <v>0</v>
      </c>
      <c r="N383" s="65">
        <f>'Special Corporate+ Rates'!N47</f>
        <v>0</v>
      </c>
      <c r="O383" s="65">
        <f>'Special Corporate+ Rates'!O47</f>
        <v>0</v>
      </c>
      <c r="P383" s="65">
        <f>'Special Corporate+ Rates'!P47</f>
        <v>0</v>
      </c>
      <c r="Q383" s="65">
        <f>'Special Corporate+ Rates'!Q47</f>
        <v>0</v>
      </c>
      <c r="R383" s="65">
        <f>'Special Corporate+ Rates'!R47</f>
        <v>0</v>
      </c>
      <c r="S383" s="65">
        <f>'Special Corporate+ Rates'!S47</f>
        <v>0</v>
      </c>
      <c r="T383" s="65">
        <f>'Special Corporate+ Rates'!T47</f>
        <v>0</v>
      </c>
      <c r="U383" s="65">
        <f>'Special Corporate+ Rates'!U47</f>
        <v>0</v>
      </c>
      <c r="V383" s="65">
        <f>'Special Corporate+ Rates'!V47</f>
        <v>0</v>
      </c>
      <c r="W383" s="65">
        <f>'Special Corporate+ Rates'!W47</f>
        <v>0</v>
      </c>
      <c r="X383" s="65">
        <f>'Special Corporate+ Rates'!X47</f>
        <v>0</v>
      </c>
      <c r="Y383" s="65">
        <f>'Special Corporate+ Rates'!Y47</f>
        <v>0</v>
      </c>
      <c r="Z383" s="65">
        <f>'Special Corporate+ Rates'!Z47</f>
        <v>0</v>
      </c>
      <c r="AA383" s="65">
        <f>'Special Corporate+ Rates'!AA47</f>
        <v>0</v>
      </c>
      <c r="AB383" s="65">
        <f>'Special Corporate+ Rates'!AB47</f>
        <v>0</v>
      </c>
      <c r="AC383" s="65">
        <f>'Special Corporate+ Rates'!AC47</f>
        <v>0</v>
      </c>
      <c r="AD383" s="65">
        <f>'Special Corporate+ Rates'!AD47</f>
        <v>0</v>
      </c>
      <c r="AE383" s="65">
        <f>'Special Corporate+ Rates'!AE47</f>
        <v>0</v>
      </c>
      <c r="AF383" s="65">
        <f>'Special Corporate+ Rates'!AF47</f>
        <v>0</v>
      </c>
      <c r="AG383" s="65">
        <f>'Special Corporate+ Rates'!AG47</f>
        <v>0</v>
      </c>
      <c r="AH383" s="65">
        <f>'Special Corporate+ Rates'!AH47</f>
        <v>0</v>
      </c>
      <c r="AI383" s="65">
        <f>'Special Corporate+ Rates'!AI47</f>
        <v>0</v>
      </c>
      <c r="AJ383" s="65">
        <f>'Special Corporate+ Rates'!AJ47</f>
        <v>0</v>
      </c>
      <c r="AK383" s="65">
        <f>'Special Corporate+ Rates'!AK47</f>
        <v>0</v>
      </c>
      <c r="AL383" s="65">
        <f>'Special Corporate+ Rates'!AL47</f>
        <v>0</v>
      </c>
      <c r="AM383" s="65">
        <f>'Special Corporate+ Rates'!AM47</f>
        <v>0</v>
      </c>
      <c r="AN383" s="65">
        <f>'Special Corporate+ Rates'!AN47</f>
        <v>0</v>
      </c>
      <c r="AO383" s="65">
        <f>'Special Corporate+ Rates'!AO47</f>
        <v>0</v>
      </c>
      <c r="AP383" s="65">
        <f>'Special Corporate+ Rates'!AP47</f>
        <v>0</v>
      </c>
      <c r="AQ383" s="65">
        <f>'Special Corporate+ Rates'!AQ47</f>
        <v>0</v>
      </c>
      <c r="AR383" s="65">
        <f>'Special Corporate+ Rates'!AR47</f>
        <v>0</v>
      </c>
      <c r="AS383" s="65">
        <f>'Special Corporate+ Rates'!AS47</f>
        <v>0</v>
      </c>
      <c r="AT383" s="65">
        <f>'Special Corporate+ Rates'!AT47</f>
        <v>0</v>
      </c>
      <c r="AU383" s="65">
        <f>'Special Corporate+ Rates'!AU47</f>
        <v>0</v>
      </c>
      <c r="AV383" s="65">
        <f>'Special Corporate+ Rates'!AV47</f>
        <v>0</v>
      </c>
      <c r="AW383" s="65">
        <f>'Special Corporate+ Rates'!AW47</f>
        <v>0</v>
      </c>
      <c r="AX383" s="65">
        <f>'Special Corporate+ Rates'!AX47</f>
        <v>0</v>
      </c>
      <c r="AY383" s="65">
        <f>'Special Corporate+ Rates'!AY47</f>
        <v>0</v>
      </c>
      <c r="AZ383" s="65">
        <f>'Special Corporate+ Rates'!AZ47</f>
        <v>0</v>
      </c>
      <c r="BA383" s="65">
        <f>'Special Corporate+ Rates'!BA47</f>
        <v>0</v>
      </c>
      <c r="BB383" s="65">
        <f>'Special Corporate+ Rates'!BB47</f>
        <v>0</v>
      </c>
      <c r="BC383" s="65">
        <f>'Special Corporate+ Rates'!BC47</f>
        <v>0</v>
      </c>
      <c r="BD383" s="65">
        <f>'Special Corporate+ Rates'!BD47</f>
        <v>0</v>
      </c>
      <c r="BE383" s="65">
        <f>'Special Corporate+ Rates'!BE47</f>
        <v>0</v>
      </c>
      <c r="BF383" s="65">
        <f>'Special Corporate+ Rates'!BF47</f>
        <v>0</v>
      </c>
      <c r="BG383" s="65">
        <f>'Special Corporate+ Rates'!BG47</f>
        <v>0</v>
      </c>
      <c r="BH383" s="65">
        <f>'Special Corporate+ Rates'!BH47</f>
        <v>0</v>
      </c>
      <c r="BI383" s="65">
        <f>'Special Corporate+ Rates'!BI47</f>
        <v>0</v>
      </c>
      <c r="BJ383" s="65">
        <f>'Special Corporate+ Rates'!BJ47</f>
        <v>0</v>
      </c>
      <c r="BK383" s="65">
        <f>'Special Corporate+ Rates'!BK47</f>
        <v>0</v>
      </c>
      <c r="BL383" s="65">
        <f>'Special Corporate+ Rates'!BL47</f>
        <v>0</v>
      </c>
      <c r="BM383" s="65">
        <f>'Special Corporate+ Rates'!BM47</f>
        <v>0</v>
      </c>
      <c r="BN383" s="65">
        <f>'Special Corporate+ Rates'!BN47</f>
        <v>0</v>
      </c>
      <c r="BO383" s="65">
        <f>'Special Corporate+ Rates'!BO47</f>
        <v>0</v>
      </c>
      <c r="BP383" s="65">
        <f>'Special Corporate+ Rates'!BP47</f>
        <v>0</v>
      </c>
      <c r="BQ383" s="65">
        <f>'Special Corporate+ Rates'!BQ47</f>
        <v>0</v>
      </c>
      <c r="BR383" s="65">
        <f>'Special Corporate+ Rates'!BR47</f>
        <v>0</v>
      </c>
      <c r="BS383" s="65">
        <f>'Special Corporate+ Rates'!BS47</f>
        <v>0</v>
      </c>
      <c r="BT383" s="65">
        <f>'Special Corporate+ Rates'!BT47</f>
        <v>0</v>
      </c>
      <c r="BU383" s="65">
        <f>'Special Corporate+ Rates'!BU47</f>
        <v>0</v>
      </c>
      <c r="BV383" s="65">
        <f>'Special Corporate+ Rates'!BV47</f>
        <v>0</v>
      </c>
      <c r="BW383" s="65">
        <f>'Special Corporate+ Rates'!BW47</f>
        <v>0</v>
      </c>
      <c r="BX383" s="65">
        <f>'Special Corporate+ Rates'!BX47</f>
        <v>0</v>
      </c>
      <c r="BY383" s="65">
        <f>'Special Corporate+ Rates'!BY47</f>
        <v>0</v>
      </c>
      <c r="BZ383" s="65">
        <f>'Special Corporate+ Rates'!BZ47</f>
        <v>0</v>
      </c>
      <c r="CA383" s="65">
        <f>'Special Corporate+ Rates'!CA47</f>
        <v>0</v>
      </c>
      <c r="CB383" s="65">
        <f>'Special Corporate+ Rates'!CB47</f>
        <v>0</v>
      </c>
      <c r="CC383" s="65">
        <f>'Special Corporate+ Rates'!CC47</f>
        <v>0</v>
      </c>
      <c r="CD383" s="65">
        <f>'Special Corporate+ Rates'!CD47</f>
        <v>0</v>
      </c>
      <c r="CE383" s="65">
        <f>'Special Corporate+ Rates'!CE47</f>
        <v>0</v>
      </c>
      <c r="CF383" s="65">
        <f>'Special Corporate+ Rates'!CF47</f>
        <v>0</v>
      </c>
      <c r="CG383" s="65">
        <f>'Special Corporate+ Rates'!CG47</f>
        <v>0</v>
      </c>
      <c r="CH383" s="65">
        <f>'Special Corporate+ Rates'!CH47</f>
        <v>0</v>
      </c>
      <c r="CI383" s="65">
        <f>'Special Corporate+ Rates'!CI47</f>
        <v>0</v>
      </c>
      <c r="CJ383" s="65">
        <f>'Special Corporate+ Rates'!CJ47</f>
        <v>0</v>
      </c>
      <c r="CK383" s="65">
        <f>'Special Corporate+ Rates'!CK47</f>
        <v>0</v>
      </c>
      <c r="CL383" s="65">
        <f>'Special Corporate+ Rates'!CL47</f>
        <v>0</v>
      </c>
      <c r="CM383" s="65">
        <f>'Special Corporate+ Rates'!CM47</f>
        <v>0</v>
      </c>
      <c r="CN383" s="65">
        <f>'Special Corporate+ Rates'!CN47</f>
        <v>0</v>
      </c>
      <c r="CO383" s="65">
        <f>'Special Corporate+ Rates'!CO47</f>
        <v>0</v>
      </c>
      <c r="CP383" s="65">
        <f>'Special Corporate+ Rates'!CP47</f>
        <v>0</v>
      </c>
      <c r="CQ383" s="65">
        <f>'Special Corporate+ Rates'!CQ47</f>
        <v>0</v>
      </c>
      <c r="CR383" s="65">
        <f>'Special Corporate+ Rates'!CR47</f>
        <v>0</v>
      </c>
      <c r="CS383" s="65">
        <f>'Special Corporate+ Rates'!CS47</f>
        <v>0</v>
      </c>
      <c r="CT383" s="65">
        <f>'Special Corporate+ Rates'!CT47</f>
        <v>0</v>
      </c>
      <c r="CU383" s="65">
        <f>'Special Corporate+ Rates'!CU47</f>
        <v>0</v>
      </c>
      <c r="CV383" s="65">
        <f>'Special Corporate+ Rates'!CV47</f>
        <v>0</v>
      </c>
      <c r="CW383" s="65">
        <f>'Special Corporate+ Rates'!CW47</f>
        <v>0</v>
      </c>
      <c r="CX383" s="65">
        <f>'Special Corporate+ Rates'!CX47</f>
        <v>0</v>
      </c>
      <c r="CY383" s="65">
        <f>'Special Corporate+ Rates'!CY47</f>
        <v>0</v>
      </c>
      <c r="CZ383" s="65">
        <f>'Special Corporate+ Rates'!CZ47</f>
        <v>0</v>
      </c>
      <c r="DA383" s="65">
        <f>'Special Corporate+ Rates'!DA47</f>
        <v>0</v>
      </c>
      <c r="DB383" s="65">
        <f>'Special Corporate+ Rates'!DB47</f>
        <v>0</v>
      </c>
      <c r="DC383" s="65">
        <f>'Special Corporate+ Rates'!DC47</f>
        <v>0</v>
      </c>
      <c r="DD383" s="65">
        <f>'Special Corporate+ Rates'!DD47</f>
        <v>0</v>
      </c>
      <c r="DE383" s="65">
        <f>'Special Corporate+ Rates'!DE47</f>
        <v>0</v>
      </c>
      <c r="DF383" s="65">
        <f>'Special Corporate+ Rates'!DF47</f>
        <v>0</v>
      </c>
      <c r="DG383" s="65">
        <f>'Special Corporate+ Rates'!DG47</f>
        <v>0</v>
      </c>
      <c r="DH383" s="65">
        <f>'Special Corporate+ Rates'!DH47</f>
        <v>0</v>
      </c>
      <c r="DI383" s="65">
        <f>'Special Corporate+ Rates'!DI47</f>
        <v>0</v>
      </c>
      <c r="DJ383" s="65">
        <f>'Special Corporate+ Rates'!DJ47</f>
        <v>0</v>
      </c>
      <c r="DK383" s="65">
        <f>'Special Corporate+ Rates'!DK47</f>
        <v>0</v>
      </c>
      <c r="DL383" s="65">
        <f>'Special Corporate+ Rates'!DL47</f>
        <v>0</v>
      </c>
      <c r="DM383" s="65">
        <f>'Special Corporate+ Rates'!DM47</f>
        <v>0</v>
      </c>
      <c r="DN383" s="65">
        <f>'Special Corporate+ Rates'!DN47</f>
        <v>0</v>
      </c>
      <c r="DO383" s="65">
        <f>'Special Corporate+ Rates'!DO47</f>
        <v>0</v>
      </c>
      <c r="DP383" s="65">
        <f>'Special Corporate+ Rates'!DP47</f>
        <v>0</v>
      </c>
      <c r="DQ383" s="65">
        <f>'Special Corporate+ Rates'!DQ47</f>
        <v>0</v>
      </c>
      <c r="DR383" s="65">
        <f>'Special Corporate+ Rates'!DR47</f>
        <v>0</v>
      </c>
      <c r="DS383" s="65">
        <f>'Special Corporate+ Rates'!DS47</f>
        <v>0</v>
      </c>
      <c r="DT383" s="65">
        <f>'Special Corporate+ Rates'!DT47</f>
        <v>0</v>
      </c>
      <c r="DU383" s="65">
        <f>'Special Corporate+ Rates'!DU47</f>
        <v>0</v>
      </c>
      <c r="DV383" s="65">
        <f>'Special Corporate+ Rates'!DV47</f>
        <v>0</v>
      </c>
      <c r="DW383" s="65">
        <f>'Special Corporate+ Rates'!DW47</f>
        <v>0</v>
      </c>
      <c r="DX383" s="65">
        <f>'Special Corporate+ Rates'!DX47</f>
        <v>0</v>
      </c>
      <c r="DY383" s="68"/>
    </row>
    <row r="384" spans="1:129" x14ac:dyDescent="0.2">
      <c r="A384" s="152"/>
      <c r="B384" s="65">
        <f>'Special Corporate+ Rates'!B48</f>
        <v>0</v>
      </c>
      <c r="C384" s="65">
        <f>'Special Corporate+ Rates'!C48</f>
        <v>0</v>
      </c>
      <c r="D384" s="65">
        <f>'Special Corporate+ Rates'!D48</f>
        <v>0</v>
      </c>
      <c r="E384" s="65">
        <f>'Special Corporate+ Rates'!E48</f>
        <v>0</v>
      </c>
      <c r="F384" s="65">
        <f>'Special Corporate+ Rates'!F48</f>
        <v>0</v>
      </c>
      <c r="G384" s="65">
        <f>'Special Corporate+ Rates'!G48</f>
        <v>0</v>
      </c>
      <c r="H384" s="65">
        <f>'Special Corporate+ Rates'!H48</f>
        <v>0</v>
      </c>
      <c r="I384" s="65">
        <f>'Special Corporate+ Rates'!I48</f>
        <v>0</v>
      </c>
      <c r="J384" s="65">
        <f>'Special Corporate+ Rates'!J48</f>
        <v>0</v>
      </c>
      <c r="K384" s="65">
        <f>'Special Corporate+ Rates'!K48</f>
        <v>0</v>
      </c>
      <c r="L384" s="65">
        <f>'Special Corporate+ Rates'!L48</f>
        <v>0</v>
      </c>
      <c r="M384" s="65">
        <f>'Special Corporate+ Rates'!M48</f>
        <v>0</v>
      </c>
      <c r="N384" s="65">
        <f>'Special Corporate+ Rates'!N48</f>
        <v>0</v>
      </c>
      <c r="O384" s="65">
        <f>'Special Corporate+ Rates'!O48</f>
        <v>0</v>
      </c>
      <c r="P384" s="65">
        <f>'Special Corporate+ Rates'!P48</f>
        <v>0</v>
      </c>
      <c r="Q384" s="65">
        <f>'Special Corporate+ Rates'!Q48</f>
        <v>0</v>
      </c>
      <c r="R384" s="65">
        <f>'Special Corporate+ Rates'!R48</f>
        <v>0</v>
      </c>
      <c r="S384" s="65">
        <f>'Special Corporate+ Rates'!S48</f>
        <v>0</v>
      </c>
      <c r="T384" s="65">
        <f>'Special Corporate+ Rates'!T48</f>
        <v>0</v>
      </c>
      <c r="U384" s="65">
        <f>'Special Corporate+ Rates'!U48</f>
        <v>0</v>
      </c>
      <c r="V384" s="65">
        <f>'Special Corporate+ Rates'!V48</f>
        <v>0</v>
      </c>
      <c r="W384" s="65">
        <f>'Special Corporate+ Rates'!W48</f>
        <v>0</v>
      </c>
      <c r="X384" s="65">
        <f>'Special Corporate+ Rates'!X48</f>
        <v>0</v>
      </c>
      <c r="Y384" s="65">
        <f>'Special Corporate+ Rates'!Y48</f>
        <v>0</v>
      </c>
      <c r="Z384" s="65">
        <f>'Special Corporate+ Rates'!Z48</f>
        <v>0</v>
      </c>
      <c r="AA384" s="65">
        <f>'Special Corporate+ Rates'!AA48</f>
        <v>0</v>
      </c>
      <c r="AB384" s="65">
        <f>'Special Corporate+ Rates'!AB48</f>
        <v>0</v>
      </c>
      <c r="AC384" s="65">
        <f>'Special Corporate+ Rates'!AC48</f>
        <v>0</v>
      </c>
      <c r="AD384" s="65">
        <f>'Special Corporate+ Rates'!AD48</f>
        <v>0</v>
      </c>
      <c r="AE384" s="65">
        <f>'Special Corporate+ Rates'!AE48</f>
        <v>0</v>
      </c>
      <c r="AF384" s="65">
        <f>'Special Corporate+ Rates'!AF48</f>
        <v>0</v>
      </c>
      <c r="AG384" s="65">
        <f>'Special Corporate+ Rates'!AG48</f>
        <v>0</v>
      </c>
      <c r="AH384" s="65">
        <f>'Special Corporate+ Rates'!AH48</f>
        <v>0</v>
      </c>
      <c r="AI384" s="65">
        <f>'Special Corporate+ Rates'!AI48</f>
        <v>0</v>
      </c>
      <c r="AJ384" s="65">
        <f>'Special Corporate+ Rates'!AJ48</f>
        <v>0</v>
      </c>
      <c r="AK384" s="65">
        <f>'Special Corporate+ Rates'!AK48</f>
        <v>0</v>
      </c>
      <c r="AL384" s="65">
        <f>'Special Corporate+ Rates'!AL48</f>
        <v>0</v>
      </c>
      <c r="AM384" s="65">
        <f>'Special Corporate+ Rates'!AM48</f>
        <v>0</v>
      </c>
      <c r="AN384" s="65">
        <f>'Special Corporate+ Rates'!AN48</f>
        <v>0</v>
      </c>
      <c r="AO384" s="65">
        <f>'Special Corporate+ Rates'!AO48</f>
        <v>0</v>
      </c>
      <c r="AP384" s="65">
        <f>'Special Corporate+ Rates'!AP48</f>
        <v>0</v>
      </c>
      <c r="AQ384" s="65">
        <f>'Special Corporate+ Rates'!AQ48</f>
        <v>0</v>
      </c>
      <c r="AR384" s="65">
        <f>'Special Corporate+ Rates'!AR48</f>
        <v>0</v>
      </c>
      <c r="AS384" s="65">
        <f>'Special Corporate+ Rates'!AS48</f>
        <v>0</v>
      </c>
      <c r="AT384" s="65">
        <f>'Special Corporate+ Rates'!AT48</f>
        <v>0</v>
      </c>
      <c r="AU384" s="65">
        <f>'Special Corporate+ Rates'!AU48</f>
        <v>0</v>
      </c>
      <c r="AV384" s="65">
        <f>'Special Corporate+ Rates'!AV48</f>
        <v>0</v>
      </c>
      <c r="AW384" s="65">
        <f>'Special Corporate+ Rates'!AW48</f>
        <v>0</v>
      </c>
      <c r="AX384" s="65">
        <f>'Special Corporate+ Rates'!AX48</f>
        <v>0</v>
      </c>
      <c r="AY384" s="65">
        <f>'Special Corporate+ Rates'!AY48</f>
        <v>0</v>
      </c>
      <c r="AZ384" s="65">
        <f>'Special Corporate+ Rates'!AZ48</f>
        <v>0</v>
      </c>
      <c r="BA384" s="65">
        <f>'Special Corporate+ Rates'!BA48</f>
        <v>0</v>
      </c>
      <c r="BB384" s="65">
        <f>'Special Corporate+ Rates'!BB48</f>
        <v>0</v>
      </c>
      <c r="BC384" s="65">
        <f>'Special Corporate+ Rates'!BC48</f>
        <v>0</v>
      </c>
      <c r="BD384" s="65">
        <f>'Special Corporate+ Rates'!BD48</f>
        <v>0</v>
      </c>
      <c r="BE384" s="65">
        <f>'Special Corporate+ Rates'!BE48</f>
        <v>0</v>
      </c>
      <c r="BF384" s="65">
        <f>'Special Corporate+ Rates'!BF48</f>
        <v>0</v>
      </c>
      <c r="BG384" s="65">
        <f>'Special Corporate+ Rates'!BG48</f>
        <v>0</v>
      </c>
      <c r="BH384" s="65">
        <f>'Special Corporate+ Rates'!BH48</f>
        <v>0</v>
      </c>
      <c r="BI384" s="65">
        <f>'Special Corporate+ Rates'!BI48</f>
        <v>0</v>
      </c>
      <c r="BJ384" s="65">
        <f>'Special Corporate+ Rates'!BJ48</f>
        <v>0</v>
      </c>
      <c r="BK384" s="65">
        <f>'Special Corporate+ Rates'!BK48</f>
        <v>0</v>
      </c>
      <c r="BL384" s="65">
        <f>'Special Corporate+ Rates'!BL48</f>
        <v>0</v>
      </c>
      <c r="BM384" s="65">
        <f>'Special Corporate+ Rates'!BM48</f>
        <v>0</v>
      </c>
      <c r="BN384" s="65">
        <f>'Special Corporate+ Rates'!BN48</f>
        <v>0</v>
      </c>
      <c r="BO384" s="65">
        <f>'Special Corporate+ Rates'!BO48</f>
        <v>0</v>
      </c>
      <c r="BP384" s="65">
        <f>'Special Corporate+ Rates'!BP48</f>
        <v>0</v>
      </c>
      <c r="BQ384" s="65">
        <f>'Special Corporate+ Rates'!BQ48</f>
        <v>0</v>
      </c>
      <c r="BR384" s="65">
        <f>'Special Corporate+ Rates'!BR48</f>
        <v>0</v>
      </c>
      <c r="BS384" s="65">
        <f>'Special Corporate+ Rates'!BS48</f>
        <v>0</v>
      </c>
      <c r="BT384" s="65">
        <f>'Special Corporate+ Rates'!BT48</f>
        <v>0</v>
      </c>
      <c r="BU384" s="65">
        <f>'Special Corporate+ Rates'!BU48</f>
        <v>0</v>
      </c>
      <c r="BV384" s="65">
        <f>'Special Corporate+ Rates'!BV48</f>
        <v>0</v>
      </c>
      <c r="BW384" s="65">
        <f>'Special Corporate+ Rates'!BW48</f>
        <v>0</v>
      </c>
      <c r="BX384" s="65">
        <f>'Special Corporate+ Rates'!BX48</f>
        <v>0</v>
      </c>
      <c r="BY384" s="65">
        <f>'Special Corporate+ Rates'!BY48</f>
        <v>0</v>
      </c>
      <c r="BZ384" s="65">
        <f>'Special Corporate+ Rates'!BZ48</f>
        <v>0</v>
      </c>
      <c r="CA384" s="65">
        <f>'Special Corporate+ Rates'!CA48</f>
        <v>0</v>
      </c>
      <c r="CB384" s="65">
        <f>'Special Corporate+ Rates'!CB48</f>
        <v>0</v>
      </c>
      <c r="CC384" s="65">
        <f>'Special Corporate+ Rates'!CC48</f>
        <v>0</v>
      </c>
      <c r="CD384" s="65">
        <f>'Special Corporate+ Rates'!CD48</f>
        <v>0</v>
      </c>
      <c r="CE384" s="65">
        <f>'Special Corporate+ Rates'!CE48</f>
        <v>0</v>
      </c>
      <c r="CF384" s="65">
        <f>'Special Corporate+ Rates'!CF48</f>
        <v>0</v>
      </c>
      <c r="CG384" s="65">
        <f>'Special Corporate+ Rates'!CG48</f>
        <v>0</v>
      </c>
      <c r="CH384" s="65">
        <f>'Special Corporate+ Rates'!CH48</f>
        <v>0</v>
      </c>
      <c r="CI384" s="65">
        <f>'Special Corporate+ Rates'!CI48</f>
        <v>0</v>
      </c>
      <c r="CJ384" s="65">
        <f>'Special Corporate+ Rates'!CJ48</f>
        <v>0</v>
      </c>
      <c r="CK384" s="65">
        <f>'Special Corporate+ Rates'!CK48</f>
        <v>0</v>
      </c>
      <c r="CL384" s="65">
        <f>'Special Corporate+ Rates'!CL48</f>
        <v>0</v>
      </c>
      <c r="CM384" s="65">
        <f>'Special Corporate+ Rates'!CM48</f>
        <v>0</v>
      </c>
      <c r="CN384" s="65">
        <f>'Special Corporate+ Rates'!CN48</f>
        <v>0</v>
      </c>
      <c r="CO384" s="65">
        <f>'Special Corporate+ Rates'!CO48</f>
        <v>0</v>
      </c>
      <c r="CP384" s="65">
        <f>'Special Corporate+ Rates'!CP48</f>
        <v>0</v>
      </c>
      <c r="CQ384" s="65">
        <f>'Special Corporate+ Rates'!CQ48</f>
        <v>0</v>
      </c>
      <c r="CR384" s="65">
        <f>'Special Corporate+ Rates'!CR48</f>
        <v>0</v>
      </c>
      <c r="CS384" s="65">
        <f>'Special Corporate+ Rates'!CS48</f>
        <v>0</v>
      </c>
      <c r="CT384" s="65">
        <f>'Special Corporate+ Rates'!CT48</f>
        <v>0</v>
      </c>
      <c r="CU384" s="65">
        <f>'Special Corporate+ Rates'!CU48</f>
        <v>0</v>
      </c>
      <c r="CV384" s="65">
        <f>'Special Corporate+ Rates'!CV48</f>
        <v>0</v>
      </c>
      <c r="CW384" s="65">
        <f>'Special Corporate+ Rates'!CW48</f>
        <v>0</v>
      </c>
      <c r="CX384" s="65">
        <f>'Special Corporate+ Rates'!CX48</f>
        <v>0</v>
      </c>
      <c r="CY384" s="65">
        <f>'Special Corporate+ Rates'!CY48</f>
        <v>0</v>
      </c>
      <c r="CZ384" s="65">
        <f>'Special Corporate+ Rates'!CZ48</f>
        <v>0</v>
      </c>
      <c r="DA384" s="65">
        <f>'Special Corporate+ Rates'!DA48</f>
        <v>0</v>
      </c>
      <c r="DB384" s="65">
        <f>'Special Corporate+ Rates'!DB48</f>
        <v>0</v>
      </c>
      <c r="DC384" s="65">
        <f>'Special Corporate+ Rates'!DC48</f>
        <v>0</v>
      </c>
      <c r="DD384" s="65">
        <f>'Special Corporate+ Rates'!DD48</f>
        <v>0</v>
      </c>
      <c r="DE384" s="65">
        <f>'Special Corporate+ Rates'!DE48</f>
        <v>0</v>
      </c>
      <c r="DF384" s="65">
        <f>'Special Corporate+ Rates'!DF48</f>
        <v>0</v>
      </c>
      <c r="DG384" s="65">
        <f>'Special Corporate+ Rates'!DG48</f>
        <v>0</v>
      </c>
      <c r="DH384" s="65">
        <f>'Special Corporate+ Rates'!DH48</f>
        <v>0</v>
      </c>
      <c r="DI384" s="65">
        <f>'Special Corporate+ Rates'!DI48</f>
        <v>0</v>
      </c>
      <c r="DJ384" s="65">
        <f>'Special Corporate+ Rates'!DJ48</f>
        <v>0</v>
      </c>
      <c r="DK384" s="65">
        <f>'Special Corporate+ Rates'!DK48</f>
        <v>0</v>
      </c>
      <c r="DL384" s="65">
        <f>'Special Corporate+ Rates'!DL48</f>
        <v>0</v>
      </c>
      <c r="DM384" s="65">
        <f>'Special Corporate+ Rates'!DM48</f>
        <v>0</v>
      </c>
      <c r="DN384" s="65">
        <f>'Special Corporate+ Rates'!DN48</f>
        <v>0</v>
      </c>
      <c r="DO384" s="65">
        <f>'Special Corporate+ Rates'!DO48</f>
        <v>0</v>
      </c>
      <c r="DP384" s="65">
        <f>'Special Corporate+ Rates'!DP48</f>
        <v>0</v>
      </c>
      <c r="DQ384" s="65">
        <f>'Special Corporate+ Rates'!DQ48</f>
        <v>0</v>
      </c>
      <c r="DR384" s="65">
        <f>'Special Corporate+ Rates'!DR48</f>
        <v>0</v>
      </c>
      <c r="DS384" s="65">
        <f>'Special Corporate+ Rates'!DS48</f>
        <v>0</v>
      </c>
      <c r="DT384" s="65">
        <f>'Special Corporate+ Rates'!DT48</f>
        <v>0</v>
      </c>
      <c r="DU384" s="65">
        <f>'Special Corporate+ Rates'!DU48</f>
        <v>0</v>
      </c>
      <c r="DV384" s="65">
        <f>'Special Corporate+ Rates'!DV48</f>
        <v>0</v>
      </c>
      <c r="DW384" s="65">
        <f>'Special Corporate+ Rates'!DW48</f>
        <v>0</v>
      </c>
      <c r="DX384" s="65">
        <f>'Special Corporate+ Rates'!DX48</f>
        <v>0</v>
      </c>
      <c r="DY384" s="68"/>
    </row>
    <row r="385" spans="1:132" x14ac:dyDescent="0.2">
      <c r="A385" s="152"/>
      <c r="B385" s="65">
        <f>'Special Corporate+ Rates'!B49</f>
        <v>0</v>
      </c>
      <c r="C385" s="65">
        <f>'Special Corporate+ Rates'!C49</f>
        <v>0</v>
      </c>
      <c r="D385" s="65">
        <f>'Special Corporate+ Rates'!D49</f>
        <v>0</v>
      </c>
      <c r="E385" s="65">
        <f>'Special Corporate+ Rates'!E49</f>
        <v>0</v>
      </c>
      <c r="F385" s="65">
        <f>'Special Corporate+ Rates'!F49</f>
        <v>0</v>
      </c>
      <c r="G385" s="65">
        <f>'Special Corporate+ Rates'!G49</f>
        <v>0</v>
      </c>
      <c r="H385" s="65">
        <f>'Special Corporate+ Rates'!H49</f>
        <v>0</v>
      </c>
      <c r="I385" s="65">
        <f>'Special Corporate+ Rates'!I49</f>
        <v>0</v>
      </c>
      <c r="J385" s="65">
        <f>'Special Corporate+ Rates'!J49</f>
        <v>0</v>
      </c>
      <c r="K385" s="65">
        <f>'Special Corporate+ Rates'!K49</f>
        <v>0</v>
      </c>
      <c r="L385" s="65">
        <f>'Special Corporate+ Rates'!L49</f>
        <v>0</v>
      </c>
      <c r="M385" s="65">
        <f>'Special Corporate+ Rates'!M49</f>
        <v>0</v>
      </c>
      <c r="N385" s="65">
        <f>'Special Corporate+ Rates'!N49</f>
        <v>0</v>
      </c>
      <c r="O385" s="65">
        <f>'Special Corporate+ Rates'!O49</f>
        <v>0</v>
      </c>
      <c r="P385" s="65">
        <f>'Special Corporate+ Rates'!P49</f>
        <v>0</v>
      </c>
      <c r="Q385" s="65">
        <f>'Special Corporate+ Rates'!Q49</f>
        <v>0</v>
      </c>
      <c r="R385" s="65">
        <f>'Special Corporate+ Rates'!R49</f>
        <v>0</v>
      </c>
      <c r="S385" s="65">
        <f>'Special Corporate+ Rates'!S49</f>
        <v>0</v>
      </c>
      <c r="T385" s="65">
        <f>'Special Corporate+ Rates'!T49</f>
        <v>0</v>
      </c>
      <c r="U385" s="65">
        <f>'Special Corporate+ Rates'!U49</f>
        <v>0</v>
      </c>
      <c r="V385" s="65">
        <f>'Special Corporate+ Rates'!V49</f>
        <v>0</v>
      </c>
      <c r="W385" s="65">
        <f>'Special Corporate+ Rates'!W49</f>
        <v>0</v>
      </c>
      <c r="X385" s="65">
        <f>'Special Corporate+ Rates'!X49</f>
        <v>0</v>
      </c>
      <c r="Y385" s="65">
        <f>'Special Corporate+ Rates'!Y49</f>
        <v>0</v>
      </c>
      <c r="Z385" s="65">
        <f>'Special Corporate+ Rates'!Z49</f>
        <v>0</v>
      </c>
      <c r="AA385" s="65">
        <f>'Special Corporate+ Rates'!AA49</f>
        <v>0</v>
      </c>
      <c r="AB385" s="65">
        <f>'Special Corporate+ Rates'!AB49</f>
        <v>0</v>
      </c>
      <c r="AC385" s="65">
        <f>'Special Corporate+ Rates'!AC49</f>
        <v>0</v>
      </c>
      <c r="AD385" s="65">
        <f>'Special Corporate+ Rates'!AD49</f>
        <v>0</v>
      </c>
      <c r="AE385" s="65">
        <f>'Special Corporate+ Rates'!AE49</f>
        <v>0</v>
      </c>
      <c r="AF385" s="65">
        <f>'Special Corporate+ Rates'!AF49</f>
        <v>0</v>
      </c>
      <c r="AG385" s="65">
        <f>'Special Corporate+ Rates'!AG49</f>
        <v>0</v>
      </c>
      <c r="AH385" s="65">
        <f>'Special Corporate+ Rates'!AH49</f>
        <v>0</v>
      </c>
      <c r="AI385" s="65">
        <f>'Special Corporate+ Rates'!AI49</f>
        <v>0</v>
      </c>
      <c r="AJ385" s="65">
        <f>'Special Corporate+ Rates'!AJ49</f>
        <v>0</v>
      </c>
      <c r="AK385" s="65">
        <f>'Special Corporate+ Rates'!AK49</f>
        <v>0</v>
      </c>
      <c r="AL385" s="65">
        <f>'Special Corporate+ Rates'!AL49</f>
        <v>0</v>
      </c>
      <c r="AM385" s="65">
        <f>'Special Corporate+ Rates'!AM49</f>
        <v>0</v>
      </c>
      <c r="AN385" s="65">
        <f>'Special Corporate+ Rates'!AN49</f>
        <v>0</v>
      </c>
      <c r="AO385" s="65">
        <f>'Special Corporate+ Rates'!AO49</f>
        <v>0</v>
      </c>
      <c r="AP385" s="65">
        <f>'Special Corporate+ Rates'!AP49</f>
        <v>0</v>
      </c>
      <c r="AQ385" s="65">
        <f>'Special Corporate+ Rates'!AQ49</f>
        <v>0</v>
      </c>
      <c r="AR385" s="65">
        <f>'Special Corporate+ Rates'!AR49</f>
        <v>0</v>
      </c>
      <c r="AS385" s="65">
        <f>'Special Corporate+ Rates'!AS49</f>
        <v>0</v>
      </c>
      <c r="AT385" s="65">
        <f>'Special Corporate+ Rates'!AT49</f>
        <v>0</v>
      </c>
      <c r="AU385" s="65">
        <f>'Special Corporate+ Rates'!AU49</f>
        <v>0</v>
      </c>
      <c r="AV385" s="65">
        <f>'Special Corporate+ Rates'!AV49</f>
        <v>0</v>
      </c>
      <c r="AW385" s="65">
        <f>'Special Corporate+ Rates'!AW49</f>
        <v>0</v>
      </c>
      <c r="AX385" s="65">
        <f>'Special Corporate+ Rates'!AX49</f>
        <v>0</v>
      </c>
      <c r="AY385" s="65">
        <f>'Special Corporate+ Rates'!AY49</f>
        <v>0</v>
      </c>
      <c r="AZ385" s="65">
        <f>'Special Corporate+ Rates'!AZ49</f>
        <v>0</v>
      </c>
      <c r="BA385" s="65">
        <f>'Special Corporate+ Rates'!BA49</f>
        <v>0</v>
      </c>
      <c r="BB385" s="65">
        <f>'Special Corporate+ Rates'!BB49</f>
        <v>0</v>
      </c>
      <c r="BC385" s="65">
        <f>'Special Corporate+ Rates'!BC49</f>
        <v>0</v>
      </c>
      <c r="BD385" s="65">
        <f>'Special Corporate+ Rates'!BD49</f>
        <v>0</v>
      </c>
      <c r="BE385" s="65">
        <f>'Special Corporate+ Rates'!BE49</f>
        <v>0</v>
      </c>
      <c r="BF385" s="65">
        <f>'Special Corporate+ Rates'!BF49</f>
        <v>0</v>
      </c>
      <c r="BG385" s="65">
        <f>'Special Corporate+ Rates'!BG49</f>
        <v>0</v>
      </c>
      <c r="BH385" s="65">
        <f>'Special Corporate+ Rates'!BH49</f>
        <v>0</v>
      </c>
      <c r="BI385" s="65">
        <f>'Special Corporate+ Rates'!BI49</f>
        <v>0</v>
      </c>
      <c r="BJ385" s="65">
        <f>'Special Corporate+ Rates'!BJ49</f>
        <v>0</v>
      </c>
      <c r="BK385" s="65">
        <f>'Special Corporate+ Rates'!BK49</f>
        <v>0</v>
      </c>
      <c r="BL385" s="65">
        <f>'Special Corporate+ Rates'!BL49</f>
        <v>0</v>
      </c>
      <c r="BM385" s="65">
        <f>'Special Corporate+ Rates'!BM49</f>
        <v>0</v>
      </c>
      <c r="BN385" s="65">
        <f>'Special Corporate+ Rates'!BN49</f>
        <v>0</v>
      </c>
      <c r="BO385" s="65">
        <f>'Special Corporate+ Rates'!BO49</f>
        <v>0</v>
      </c>
      <c r="BP385" s="65">
        <f>'Special Corporate+ Rates'!BP49</f>
        <v>0</v>
      </c>
      <c r="BQ385" s="65">
        <f>'Special Corporate+ Rates'!BQ49</f>
        <v>0</v>
      </c>
      <c r="BR385" s="65">
        <f>'Special Corporate+ Rates'!BR49</f>
        <v>0</v>
      </c>
      <c r="BS385" s="65">
        <f>'Special Corporate+ Rates'!BS49</f>
        <v>0</v>
      </c>
      <c r="BT385" s="65">
        <f>'Special Corporate+ Rates'!BT49</f>
        <v>0</v>
      </c>
      <c r="BU385" s="65">
        <f>'Special Corporate+ Rates'!BU49</f>
        <v>0</v>
      </c>
      <c r="BV385" s="65">
        <f>'Special Corporate+ Rates'!BV49</f>
        <v>0</v>
      </c>
      <c r="BW385" s="65">
        <f>'Special Corporate+ Rates'!BW49</f>
        <v>0</v>
      </c>
      <c r="BX385" s="65">
        <f>'Special Corporate+ Rates'!BX49</f>
        <v>0</v>
      </c>
      <c r="BY385" s="65">
        <f>'Special Corporate+ Rates'!BY49</f>
        <v>0</v>
      </c>
      <c r="BZ385" s="65">
        <f>'Special Corporate+ Rates'!BZ49</f>
        <v>0</v>
      </c>
      <c r="CA385" s="65">
        <f>'Special Corporate+ Rates'!CA49</f>
        <v>0</v>
      </c>
      <c r="CB385" s="65">
        <f>'Special Corporate+ Rates'!CB49</f>
        <v>0</v>
      </c>
      <c r="CC385" s="65">
        <f>'Special Corporate+ Rates'!CC49</f>
        <v>0</v>
      </c>
      <c r="CD385" s="65">
        <f>'Special Corporate+ Rates'!CD49</f>
        <v>0</v>
      </c>
      <c r="CE385" s="65">
        <f>'Special Corporate+ Rates'!CE49</f>
        <v>0</v>
      </c>
      <c r="CF385" s="65">
        <f>'Special Corporate+ Rates'!CF49</f>
        <v>0</v>
      </c>
      <c r="CG385" s="65">
        <f>'Special Corporate+ Rates'!CG49</f>
        <v>0</v>
      </c>
      <c r="CH385" s="65">
        <f>'Special Corporate+ Rates'!CH49</f>
        <v>0</v>
      </c>
      <c r="CI385" s="65">
        <f>'Special Corporate+ Rates'!CI49</f>
        <v>0</v>
      </c>
      <c r="CJ385" s="65">
        <f>'Special Corporate+ Rates'!CJ49</f>
        <v>0</v>
      </c>
      <c r="CK385" s="65">
        <f>'Special Corporate+ Rates'!CK49</f>
        <v>0</v>
      </c>
      <c r="CL385" s="65">
        <f>'Special Corporate+ Rates'!CL49</f>
        <v>0</v>
      </c>
      <c r="CM385" s="65">
        <f>'Special Corporate+ Rates'!CM49</f>
        <v>0</v>
      </c>
      <c r="CN385" s="65">
        <f>'Special Corporate+ Rates'!CN49</f>
        <v>0</v>
      </c>
      <c r="CO385" s="65">
        <f>'Special Corporate+ Rates'!CO49</f>
        <v>0</v>
      </c>
      <c r="CP385" s="65">
        <f>'Special Corporate+ Rates'!CP49</f>
        <v>0</v>
      </c>
      <c r="CQ385" s="65">
        <f>'Special Corporate+ Rates'!CQ49</f>
        <v>0</v>
      </c>
      <c r="CR385" s="65">
        <f>'Special Corporate+ Rates'!CR49</f>
        <v>0</v>
      </c>
      <c r="CS385" s="65">
        <f>'Special Corporate+ Rates'!CS49</f>
        <v>0</v>
      </c>
      <c r="CT385" s="65">
        <f>'Special Corporate+ Rates'!CT49</f>
        <v>0</v>
      </c>
      <c r="CU385" s="65">
        <f>'Special Corporate+ Rates'!CU49</f>
        <v>0</v>
      </c>
      <c r="CV385" s="65">
        <f>'Special Corporate+ Rates'!CV49</f>
        <v>0</v>
      </c>
      <c r="CW385" s="65">
        <f>'Special Corporate+ Rates'!CW49</f>
        <v>0</v>
      </c>
      <c r="CX385" s="65">
        <f>'Special Corporate+ Rates'!CX49</f>
        <v>0</v>
      </c>
      <c r="CY385" s="65">
        <f>'Special Corporate+ Rates'!CY49</f>
        <v>0</v>
      </c>
      <c r="CZ385" s="65">
        <f>'Special Corporate+ Rates'!CZ49</f>
        <v>0</v>
      </c>
      <c r="DA385" s="65">
        <f>'Special Corporate+ Rates'!DA49</f>
        <v>0</v>
      </c>
      <c r="DB385" s="65">
        <f>'Special Corporate+ Rates'!DB49</f>
        <v>0</v>
      </c>
      <c r="DC385" s="65">
        <f>'Special Corporate+ Rates'!DC49</f>
        <v>0</v>
      </c>
      <c r="DD385" s="65">
        <f>'Special Corporate+ Rates'!DD49</f>
        <v>0</v>
      </c>
      <c r="DE385" s="65">
        <f>'Special Corporate+ Rates'!DE49</f>
        <v>0</v>
      </c>
      <c r="DF385" s="65">
        <f>'Special Corporate+ Rates'!DF49</f>
        <v>0</v>
      </c>
      <c r="DG385" s="65">
        <f>'Special Corporate+ Rates'!DG49</f>
        <v>0</v>
      </c>
      <c r="DH385" s="65">
        <f>'Special Corporate+ Rates'!DH49</f>
        <v>0</v>
      </c>
      <c r="DI385" s="65">
        <f>'Special Corporate+ Rates'!DI49</f>
        <v>0</v>
      </c>
      <c r="DJ385" s="65">
        <f>'Special Corporate+ Rates'!DJ49</f>
        <v>0</v>
      </c>
      <c r="DK385" s="65">
        <f>'Special Corporate+ Rates'!DK49</f>
        <v>0</v>
      </c>
      <c r="DL385" s="65">
        <f>'Special Corporate+ Rates'!DL49</f>
        <v>0</v>
      </c>
      <c r="DM385" s="65">
        <f>'Special Corporate+ Rates'!DM49</f>
        <v>0</v>
      </c>
      <c r="DN385" s="65">
        <f>'Special Corporate+ Rates'!DN49</f>
        <v>0</v>
      </c>
      <c r="DO385" s="65">
        <f>'Special Corporate+ Rates'!DO49</f>
        <v>0</v>
      </c>
      <c r="DP385" s="65">
        <f>'Special Corporate+ Rates'!DP49</f>
        <v>0</v>
      </c>
      <c r="DQ385" s="65">
        <f>'Special Corporate+ Rates'!DQ49</f>
        <v>0</v>
      </c>
      <c r="DR385" s="65">
        <f>'Special Corporate+ Rates'!DR49</f>
        <v>0</v>
      </c>
      <c r="DS385" s="65">
        <f>'Special Corporate+ Rates'!DS49</f>
        <v>0</v>
      </c>
      <c r="DT385" s="65">
        <f>'Special Corporate+ Rates'!DT49</f>
        <v>0</v>
      </c>
      <c r="DU385" s="65">
        <f>'Special Corporate+ Rates'!DU49</f>
        <v>0</v>
      </c>
      <c r="DV385" s="65">
        <f>'Special Corporate+ Rates'!DV49</f>
        <v>0</v>
      </c>
      <c r="DW385" s="65">
        <f>'Special Corporate+ Rates'!DW49</f>
        <v>0</v>
      </c>
      <c r="DX385" s="65">
        <f>'Special Corporate+ Rates'!DX49</f>
        <v>0</v>
      </c>
      <c r="DY385" s="68"/>
    </row>
    <row r="386" spans="1:132" x14ac:dyDescent="0.2">
      <c r="A386" s="152"/>
      <c r="B386" s="65">
        <f>'Special Corporate+ Rates'!B50</f>
        <v>0</v>
      </c>
      <c r="C386" s="65">
        <f>'Special Corporate+ Rates'!C50</f>
        <v>0</v>
      </c>
      <c r="D386" s="65">
        <f>'Special Corporate+ Rates'!D50</f>
        <v>0</v>
      </c>
      <c r="E386" s="65">
        <f>'Special Corporate+ Rates'!E50</f>
        <v>0</v>
      </c>
      <c r="F386" s="65">
        <f>'Special Corporate+ Rates'!F50</f>
        <v>0</v>
      </c>
      <c r="G386" s="65">
        <f>'Special Corporate+ Rates'!G50</f>
        <v>0</v>
      </c>
      <c r="H386" s="65">
        <f>'Special Corporate+ Rates'!H50</f>
        <v>0</v>
      </c>
      <c r="I386" s="65">
        <f>'Special Corporate+ Rates'!I50</f>
        <v>0</v>
      </c>
      <c r="J386" s="65">
        <f>'Special Corporate+ Rates'!J50</f>
        <v>0</v>
      </c>
      <c r="K386" s="65">
        <f>'Special Corporate+ Rates'!K50</f>
        <v>0</v>
      </c>
      <c r="L386" s="65">
        <f>'Special Corporate+ Rates'!L50</f>
        <v>0</v>
      </c>
      <c r="M386" s="65">
        <f>'Special Corporate+ Rates'!M50</f>
        <v>0</v>
      </c>
      <c r="N386" s="65">
        <f>'Special Corporate+ Rates'!N50</f>
        <v>0</v>
      </c>
      <c r="O386" s="65">
        <f>'Special Corporate+ Rates'!O50</f>
        <v>0</v>
      </c>
      <c r="P386" s="65">
        <f>'Special Corporate+ Rates'!P50</f>
        <v>0</v>
      </c>
      <c r="Q386" s="65">
        <f>'Special Corporate+ Rates'!Q50</f>
        <v>0</v>
      </c>
      <c r="R386" s="65">
        <f>'Special Corporate+ Rates'!R50</f>
        <v>0</v>
      </c>
      <c r="S386" s="65">
        <f>'Special Corporate+ Rates'!S50</f>
        <v>0</v>
      </c>
      <c r="T386" s="65">
        <f>'Special Corporate+ Rates'!T50</f>
        <v>0</v>
      </c>
      <c r="U386" s="65">
        <f>'Special Corporate+ Rates'!U50</f>
        <v>0</v>
      </c>
      <c r="V386" s="65">
        <f>'Special Corporate+ Rates'!V50</f>
        <v>0</v>
      </c>
      <c r="W386" s="65">
        <f>'Special Corporate+ Rates'!W50</f>
        <v>0</v>
      </c>
      <c r="X386" s="65">
        <f>'Special Corporate+ Rates'!X50</f>
        <v>0</v>
      </c>
      <c r="Y386" s="65">
        <f>'Special Corporate+ Rates'!Y50</f>
        <v>0</v>
      </c>
      <c r="Z386" s="65">
        <f>'Special Corporate+ Rates'!Z50</f>
        <v>0</v>
      </c>
      <c r="AA386" s="65">
        <f>'Special Corporate+ Rates'!AA50</f>
        <v>0</v>
      </c>
      <c r="AB386" s="65">
        <f>'Special Corporate+ Rates'!AB50</f>
        <v>0</v>
      </c>
      <c r="AC386" s="65">
        <f>'Special Corporate+ Rates'!AC50</f>
        <v>0</v>
      </c>
      <c r="AD386" s="65">
        <f>'Special Corporate+ Rates'!AD50</f>
        <v>0</v>
      </c>
      <c r="AE386" s="65">
        <f>'Special Corporate+ Rates'!AE50</f>
        <v>0</v>
      </c>
      <c r="AF386" s="65">
        <f>'Special Corporate+ Rates'!AF50</f>
        <v>0</v>
      </c>
      <c r="AG386" s="65">
        <f>'Special Corporate+ Rates'!AG50</f>
        <v>0</v>
      </c>
      <c r="AH386" s="65">
        <f>'Special Corporate+ Rates'!AH50</f>
        <v>0</v>
      </c>
      <c r="AI386" s="65">
        <f>'Special Corporate+ Rates'!AI50</f>
        <v>0</v>
      </c>
      <c r="AJ386" s="65">
        <f>'Special Corporate+ Rates'!AJ50</f>
        <v>0</v>
      </c>
      <c r="AK386" s="65">
        <f>'Special Corporate+ Rates'!AK50</f>
        <v>0</v>
      </c>
      <c r="AL386" s="65">
        <f>'Special Corporate+ Rates'!AL50</f>
        <v>0</v>
      </c>
      <c r="AM386" s="65">
        <f>'Special Corporate+ Rates'!AM50</f>
        <v>0</v>
      </c>
      <c r="AN386" s="65">
        <f>'Special Corporate+ Rates'!AN50</f>
        <v>0</v>
      </c>
      <c r="AO386" s="65">
        <f>'Special Corporate+ Rates'!AO50</f>
        <v>0</v>
      </c>
      <c r="AP386" s="65">
        <f>'Special Corporate+ Rates'!AP50</f>
        <v>0</v>
      </c>
      <c r="AQ386" s="65">
        <f>'Special Corporate+ Rates'!AQ50</f>
        <v>0</v>
      </c>
      <c r="AR386" s="65">
        <f>'Special Corporate+ Rates'!AR50</f>
        <v>0</v>
      </c>
      <c r="AS386" s="65">
        <f>'Special Corporate+ Rates'!AS50</f>
        <v>0</v>
      </c>
      <c r="AT386" s="65">
        <f>'Special Corporate+ Rates'!AT50</f>
        <v>0</v>
      </c>
      <c r="AU386" s="65">
        <f>'Special Corporate+ Rates'!AU50</f>
        <v>0</v>
      </c>
      <c r="AV386" s="65">
        <f>'Special Corporate+ Rates'!AV50</f>
        <v>0</v>
      </c>
      <c r="AW386" s="65">
        <f>'Special Corporate+ Rates'!AW50</f>
        <v>0</v>
      </c>
      <c r="AX386" s="65">
        <f>'Special Corporate+ Rates'!AX50</f>
        <v>0</v>
      </c>
      <c r="AY386" s="65">
        <f>'Special Corporate+ Rates'!AY50</f>
        <v>0</v>
      </c>
      <c r="AZ386" s="65">
        <f>'Special Corporate+ Rates'!AZ50</f>
        <v>0</v>
      </c>
      <c r="BA386" s="65">
        <f>'Special Corporate+ Rates'!BA50</f>
        <v>0</v>
      </c>
      <c r="BB386" s="65">
        <f>'Special Corporate+ Rates'!BB50</f>
        <v>0</v>
      </c>
      <c r="BC386" s="65">
        <f>'Special Corporate+ Rates'!BC50</f>
        <v>0</v>
      </c>
      <c r="BD386" s="65">
        <f>'Special Corporate+ Rates'!BD50</f>
        <v>0</v>
      </c>
      <c r="BE386" s="65">
        <f>'Special Corporate+ Rates'!BE50</f>
        <v>0</v>
      </c>
      <c r="BF386" s="65">
        <f>'Special Corporate+ Rates'!BF50</f>
        <v>0</v>
      </c>
      <c r="BG386" s="65">
        <f>'Special Corporate+ Rates'!BG50</f>
        <v>0</v>
      </c>
      <c r="BH386" s="65">
        <f>'Special Corporate+ Rates'!BH50</f>
        <v>0</v>
      </c>
      <c r="BI386" s="65">
        <f>'Special Corporate+ Rates'!BI50</f>
        <v>0</v>
      </c>
      <c r="BJ386" s="65">
        <f>'Special Corporate+ Rates'!BJ50</f>
        <v>0</v>
      </c>
      <c r="BK386" s="65">
        <f>'Special Corporate+ Rates'!BK50</f>
        <v>0</v>
      </c>
      <c r="BL386" s="65">
        <f>'Special Corporate+ Rates'!BL50</f>
        <v>0</v>
      </c>
      <c r="BM386" s="65">
        <f>'Special Corporate+ Rates'!BM50</f>
        <v>0</v>
      </c>
      <c r="BN386" s="65">
        <f>'Special Corporate+ Rates'!BN50</f>
        <v>0</v>
      </c>
      <c r="BO386" s="65">
        <f>'Special Corporate+ Rates'!BO50</f>
        <v>0</v>
      </c>
      <c r="BP386" s="65">
        <f>'Special Corporate+ Rates'!BP50</f>
        <v>0</v>
      </c>
      <c r="BQ386" s="65">
        <f>'Special Corporate+ Rates'!BQ50</f>
        <v>0</v>
      </c>
      <c r="BR386" s="65">
        <f>'Special Corporate+ Rates'!BR50</f>
        <v>0</v>
      </c>
      <c r="BS386" s="65">
        <f>'Special Corporate+ Rates'!BS50</f>
        <v>0</v>
      </c>
      <c r="BT386" s="65">
        <f>'Special Corporate+ Rates'!BT50</f>
        <v>0</v>
      </c>
      <c r="BU386" s="65">
        <f>'Special Corporate+ Rates'!BU50</f>
        <v>0</v>
      </c>
      <c r="BV386" s="65">
        <f>'Special Corporate+ Rates'!BV50</f>
        <v>0</v>
      </c>
      <c r="BW386" s="65">
        <f>'Special Corporate+ Rates'!BW50</f>
        <v>0</v>
      </c>
      <c r="BX386" s="65">
        <f>'Special Corporate+ Rates'!BX50</f>
        <v>0</v>
      </c>
      <c r="BY386" s="65">
        <f>'Special Corporate+ Rates'!BY50</f>
        <v>0</v>
      </c>
      <c r="BZ386" s="65">
        <f>'Special Corporate+ Rates'!BZ50</f>
        <v>0</v>
      </c>
      <c r="CA386" s="65">
        <f>'Special Corporate+ Rates'!CA50</f>
        <v>0</v>
      </c>
      <c r="CB386" s="65">
        <f>'Special Corporate+ Rates'!CB50</f>
        <v>0</v>
      </c>
      <c r="CC386" s="65">
        <f>'Special Corporate+ Rates'!CC50</f>
        <v>0</v>
      </c>
      <c r="CD386" s="65">
        <f>'Special Corporate+ Rates'!CD50</f>
        <v>0</v>
      </c>
      <c r="CE386" s="65">
        <f>'Special Corporate+ Rates'!CE50</f>
        <v>0</v>
      </c>
      <c r="CF386" s="65">
        <f>'Special Corporate+ Rates'!CF50</f>
        <v>0</v>
      </c>
      <c r="CG386" s="65">
        <f>'Special Corporate+ Rates'!CG50</f>
        <v>0</v>
      </c>
      <c r="CH386" s="65">
        <f>'Special Corporate+ Rates'!CH50</f>
        <v>0</v>
      </c>
      <c r="CI386" s="65">
        <f>'Special Corporate+ Rates'!CI50</f>
        <v>0</v>
      </c>
      <c r="CJ386" s="65">
        <f>'Special Corporate+ Rates'!CJ50</f>
        <v>0</v>
      </c>
      <c r="CK386" s="65">
        <f>'Special Corporate+ Rates'!CK50</f>
        <v>0</v>
      </c>
      <c r="CL386" s="65">
        <f>'Special Corporate+ Rates'!CL50</f>
        <v>0</v>
      </c>
      <c r="CM386" s="65">
        <f>'Special Corporate+ Rates'!CM50</f>
        <v>0</v>
      </c>
      <c r="CN386" s="65">
        <f>'Special Corporate+ Rates'!CN50</f>
        <v>0</v>
      </c>
      <c r="CO386" s="65">
        <f>'Special Corporate+ Rates'!CO50</f>
        <v>0</v>
      </c>
      <c r="CP386" s="65">
        <f>'Special Corporate+ Rates'!CP50</f>
        <v>0</v>
      </c>
      <c r="CQ386" s="65">
        <f>'Special Corporate+ Rates'!CQ50</f>
        <v>0</v>
      </c>
      <c r="CR386" s="65">
        <f>'Special Corporate+ Rates'!CR50</f>
        <v>0</v>
      </c>
      <c r="CS386" s="65">
        <f>'Special Corporate+ Rates'!CS50</f>
        <v>0</v>
      </c>
      <c r="CT386" s="65">
        <f>'Special Corporate+ Rates'!CT50</f>
        <v>0</v>
      </c>
      <c r="CU386" s="65">
        <f>'Special Corporate+ Rates'!CU50</f>
        <v>0</v>
      </c>
      <c r="CV386" s="65">
        <f>'Special Corporate+ Rates'!CV50</f>
        <v>0</v>
      </c>
      <c r="CW386" s="65">
        <f>'Special Corporate+ Rates'!CW50</f>
        <v>0</v>
      </c>
      <c r="CX386" s="65">
        <f>'Special Corporate+ Rates'!CX50</f>
        <v>0</v>
      </c>
      <c r="CY386" s="65">
        <f>'Special Corporate+ Rates'!CY50</f>
        <v>0</v>
      </c>
      <c r="CZ386" s="65">
        <f>'Special Corporate+ Rates'!CZ50</f>
        <v>0</v>
      </c>
      <c r="DA386" s="65">
        <f>'Special Corporate+ Rates'!DA50</f>
        <v>0</v>
      </c>
      <c r="DB386" s="65">
        <f>'Special Corporate+ Rates'!DB50</f>
        <v>0</v>
      </c>
      <c r="DC386" s="65">
        <f>'Special Corporate+ Rates'!DC50</f>
        <v>0</v>
      </c>
      <c r="DD386" s="65">
        <f>'Special Corporate+ Rates'!DD50</f>
        <v>0</v>
      </c>
      <c r="DE386" s="65">
        <f>'Special Corporate+ Rates'!DE50</f>
        <v>0</v>
      </c>
      <c r="DF386" s="65">
        <f>'Special Corporate+ Rates'!DF50</f>
        <v>0</v>
      </c>
      <c r="DG386" s="65">
        <f>'Special Corporate+ Rates'!DG50</f>
        <v>0</v>
      </c>
      <c r="DH386" s="65">
        <f>'Special Corporate+ Rates'!DH50</f>
        <v>0</v>
      </c>
      <c r="DI386" s="65">
        <f>'Special Corporate+ Rates'!DI50</f>
        <v>0</v>
      </c>
      <c r="DJ386" s="65">
        <f>'Special Corporate+ Rates'!DJ50</f>
        <v>0</v>
      </c>
      <c r="DK386" s="65">
        <f>'Special Corporate+ Rates'!DK50</f>
        <v>0</v>
      </c>
      <c r="DL386" s="65">
        <f>'Special Corporate+ Rates'!DL50</f>
        <v>0</v>
      </c>
      <c r="DM386" s="65">
        <f>'Special Corporate+ Rates'!DM50</f>
        <v>0</v>
      </c>
      <c r="DN386" s="65">
        <f>'Special Corporate+ Rates'!DN50</f>
        <v>0</v>
      </c>
      <c r="DO386" s="65">
        <f>'Special Corporate+ Rates'!DO50</f>
        <v>0</v>
      </c>
      <c r="DP386" s="65">
        <f>'Special Corporate+ Rates'!DP50</f>
        <v>0</v>
      </c>
      <c r="DQ386" s="65">
        <f>'Special Corporate+ Rates'!DQ50</f>
        <v>0</v>
      </c>
      <c r="DR386" s="65">
        <f>'Special Corporate+ Rates'!DR50</f>
        <v>0</v>
      </c>
      <c r="DS386" s="65">
        <f>'Special Corporate+ Rates'!DS50</f>
        <v>0</v>
      </c>
      <c r="DT386" s="65">
        <f>'Special Corporate+ Rates'!DT50</f>
        <v>0</v>
      </c>
      <c r="DU386" s="65">
        <f>'Special Corporate+ Rates'!DU50</f>
        <v>0</v>
      </c>
      <c r="DV386" s="65">
        <f>'Special Corporate+ Rates'!DV50</f>
        <v>0</v>
      </c>
      <c r="DW386" s="65">
        <f>'Special Corporate+ Rates'!DW50</f>
        <v>0</v>
      </c>
      <c r="DX386" s="65">
        <f>'Special Corporate+ Rates'!DX50</f>
        <v>0</v>
      </c>
      <c r="DY386" s="68"/>
    </row>
    <row r="387" spans="1:132" x14ac:dyDescent="0.2">
      <c r="A387" s="152"/>
      <c r="B387" s="65" t="str">
        <f>'Special Corporate+ Rates'!B51</f>
        <v>GDS Requests / Additional Comments</v>
      </c>
      <c r="C387" s="65">
        <f>'Special Corporate+ Rates'!C51</f>
        <v>0</v>
      </c>
      <c r="D387" s="65">
        <f>'Special Corporate+ Rates'!D51</f>
        <v>0</v>
      </c>
      <c r="E387" s="65">
        <f>'Special Corporate+ Rates'!E51</f>
        <v>0</v>
      </c>
      <c r="F387" s="65">
        <f>'Special Corporate+ Rates'!F51</f>
        <v>0</v>
      </c>
      <c r="G387" s="65">
        <f>'Special Corporate+ Rates'!G51</f>
        <v>0</v>
      </c>
      <c r="H387" s="65">
        <f>'Special Corporate+ Rates'!H51</f>
        <v>0</v>
      </c>
      <c r="I387" s="65">
        <f>'Special Corporate+ Rates'!I51</f>
        <v>0</v>
      </c>
      <c r="J387" s="65">
        <f>'Special Corporate+ Rates'!J51</f>
        <v>0</v>
      </c>
      <c r="K387" s="65">
        <f>'Special Corporate+ Rates'!K51</f>
        <v>0</v>
      </c>
      <c r="L387" s="65">
        <f>'Special Corporate+ Rates'!L51</f>
        <v>0</v>
      </c>
      <c r="M387" s="65">
        <f>'Special Corporate+ Rates'!M51</f>
        <v>0</v>
      </c>
      <c r="N387" s="65">
        <f>'Special Corporate+ Rates'!N51</f>
        <v>0</v>
      </c>
      <c r="O387" s="65">
        <f>'Special Corporate+ Rates'!O51</f>
        <v>0</v>
      </c>
      <c r="P387" s="65">
        <f>'Special Corporate+ Rates'!P51</f>
        <v>0</v>
      </c>
      <c r="Q387" s="65">
        <f>'Special Corporate+ Rates'!Q51</f>
        <v>0</v>
      </c>
      <c r="R387" s="65">
        <f>'Special Corporate+ Rates'!R51</f>
        <v>0</v>
      </c>
      <c r="S387" s="65">
        <f>'Special Corporate+ Rates'!S51</f>
        <v>0</v>
      </c>
      <c r="T387" s="65">
        <f>'Special Corporate+ Rates'!T51</f>
        <v>0</v>
      </c>
      <c r="U387" s="65">
        <f>'Special Corporate+ Rates'!U51</f>
        <v>0</v>
      </c>
      <c r="V387" s="65">
        <f>'Special Corporate+ Rates'!V51</f>
        <v>0</v>
      </c>
      <c r="W387" s="65">
        <f>'Special Corporate+ Rates'!W51</f>
        <v>0</v>
      </c>
      <c r="X387" s="65">
        <f>'Special Corporate+ Rates'!X51</f>
        <v>0</v>
      </c>
      <c r="Y387" s="65">
        <f>'Special Corporate+ Rates'!Y51</f>
        <v>0</v>
      </c>
      <c r="Z387" s="65">
        <f>'Special Corporate+ Rates'!Z51</f>
        <v>0</v>
      </c>
      <c r="AA387" s="65">
        <f>'Special Corporate+ Rates'!AA51</f>
        <v>0</v>
      </c>
      <c r="AB387" s="65">
        <f>'Special Corporate+ Rates'!AB51</f>
        <v>0</v>
      </c>
      <c r="AC387" s="65">
        <f>'Special Corporate+ Rates'!AC51</f>
        <v>0</v>
      </c>
      <c r="AD387" s="65">
        <f>'Special Corporate+ Rates'!AD51</f>
        <v>0</v>
      </c>
      <c r="AE387" s="65">
        <f>'Special Corporate+ Rates'!AE51</f>
        <v>0</v>
      </c>
      <c r="AF387" s="65">
        <f>'Special Corporate+ Rates'!AF51</f>
        <v>0</v>
      </c>
      <c r="AG387" s="65">
        <f>'Special Corporate+ Rates'!AG51</f>
        <v>0</v>
      </c>
      <c r="AH387" s="65">
        <f>'Special Corporate+ Rates'!AH51</f>
        <v>0</v>
      </c>
      <c r="AI387" s="65">
        <f>'Special Corporate+ Rates'!AI51</f>
        <v>0</v>
      </c>
      <c r="AJ387" s="65">
        <f>'Special Corporate+ Rates'!AJ51</f>
        <v>0</v>
      </c>
      <c r="AK387" s="65">
        <f>'Special Corporate+ Rates'!AK51</f>
        <v>0</v>
      </c>
      <c r="AL387" s="65">
        <f>'Special Corporate+ Rates'!AL51</f>
        <v>0</v>
      </c>
      <c r="AM387" s="65">
        <f>'Special Corporate+ Rates'!AM51</f>
        <v>0</v>
      </c>
      <c r="AN387" s="65">
        <f>'Special Corporate+ Rates'!AN51</f>
        <v>0</v>
      </c>
      <c r="AO387" s="65">
        <f>'Special Corporate+ Rates'!AO51</f>
        <v>0</v>
      </c>
      <c r="AP387" s="65">
        <f>'Special Corporate+ Rates'!AP51</f>
        <v>0</v>
      </c>
      <c r="AQ387" s="65">
        <f>'Special Corporate+ Rates'!AQ51</f>
        <v>0</v>
      </c>
      <c r="AR387" s="65">
        <f>'Special Corporate+ Rates'!AR51</f>
        <v>0</v>
      </c>
      <c r="AS387" s="65">
        <f>'Special Corporate+ Rates'!AS51</f>
        <v>0</v>
      </c>
      <c r="AT387" s="65">
        <f>'Special Corporate+ Rates'!AT51</f>
        <v>0</v>
      </c>
      <c r="AU387" s="65">
        <f>'Special Corporate+ Rates'!AU51</f>
        <v>0</v>
      </c>
      <c r="AV387" s="65">
        <f>'Special Corporate+ Rates'!AV51</f>
        <v>0</v>
      </c>
      <c r="AW387" s="65">
        <f>'Special Corporate+ Rates'!AW51</f>
        <v>0</v>
      </c>
      <c r="AX387" s="65">
        <f>'Special Corporate+ Rates'!AX51</f>
        <v>0</v>
      </c>
      <c r="AY387" s="65">
        <f>'Special Corporate+ Rates'!AY51</f>
        <v>0</v>
      </c>
      <c r="AZ387" s="65">
        <f>'Special Corporate+ Rates'!AZ51</f>
        <v>0</v>
      </c>
      <c r="BA387" s="65">
        <f>'Special Corporate+ Rates'!BA51</f>
        <v>0</v>
      </c>
      <c r="BB387" s="65">
        <f>'Special Corporate+ Rates'!BB51</f>
        <v>0</v>
      </c>
      <c r="BC387" s="65">
        <f>'Special Corporate+ Rates'!BC51</f>
        <v>0</v>
      </c>
      <c r="BD387" s="65">
        <f>'Special Corporate+ Rates'!BD51</f>
        <v>0</v>
      </c>
      <c r="BE387" s="65">
        <f>'Special Corporate+ Rates'!BE51</f>
        <v>0</v>
      </c>
      <c r="BF387" s="65">
        <f>'Special Corporate+ Rates'!BF51</f>
        <v>0</v>
      </c>
      <c r="BG387" s="65">
        <f>'Special Corporate+ Rates'!BG51</f>
        <v>0</v>
      </c>
      <c r="BH387" s="65">
        <f>'Special Corporate+ Rates'!BH51</f>
        <v>0</v>
      </c>
      <c r="BI387" s="65">
        <f>'Special Corporate+ Rates'!BI51</f>
        <v>0</v>
      </c>
      <c r="BJ387" s="65">
        <f>'Special Corporate+ Rates'!BJ51</f>
        <v>0</v>
      </c>
      <c r="BK387" s="65">
        <f>'Special Corporate+ Rates'!BK51</f>
        <v>0</v>
      </c>
      <c r="BL387" s="65">
        <f>'Special Corporate+ Rates'!BL51</f>
        <v>0</v>
      </c>
      <c r="BM387" s="65">
        <f>'Special Corporate+ Rates'!BM51</f>
        <v>0</v>
      </c>
      <c r="BN387" s="65">
        <f>'Special Corporate+ Rates'!BN51</f>
        <v>0</v>
      </c>
      <c r="BO387" s="65">
        <f>'Special Corporate+ Rates'!BO51</f>
        <v>0</v>
      </c>
      <c r="BP387" s="65">
        <f>'Special Corporate+ Rates'!BP51</f>
        <v>0</v>
      </c>
      <c r="BQ387" s="65">
        <f>'Special Corporate+ Rates'!BQ51</f>
        <v>0</v>
      </c>
      <c r="BR387" s="65">
        <f>'Special Corporate+ Rates'!BR51</f>
        <v>0</v>
      </c>
      <c r="BS387" s="65">
        <f>'Special Corporate+ Rates'!BS51</f>
        <v>0</v>
      </c>
      <c r="BT387" s="65">
        <f>'Special Corporate+ Rates'!BT51</f>
        <v>0</v>
      </c>
      <c r="BU387" s="65">
        <f>'Special Corporate+ Rates'!BU51</f>
        <v>0</v>
      </c>
      <c r="BV387" s="65">
        <f>'Special Corporate+ Rates'!BV51</f>
        <v>0</v>
      </c>
      <c r="BW387" s="65">
        <f>'Special Corporate+ Rates'!BW51</f>
        <v>0</v>
      </c>
      <c r="BX387" s="65">
        <f>'Special Corporate+ Rates'!BX51</f>
        <v>0</v>
      </c>
      <c r="BY387" s="65">
        <f>'Special Corporate+ Rates'!BY51</f>
        <v>0</v>
      </c>
      <c r="BZ387" s="65">
        <f>'Special Corporate+ Rates'!BZ51</f>
        <v>0</v>
      </c>
      <c r="CA387" s="65">
        <f>'Special Corporate+ Rates'!CA51</f>
        <v>0</v>
      </c>
      <c r="CB387" s="65">
        <f>'Special Corporate+ Rates'!CB51</f>
        <v>0</v>
      </c>
      <c r="CC387" s="65">
        <f>'Special Corporate+ Rates'!CC51</f>
        <v>0</v>
      </c>
      <c r="CD387" s="65">
        <f>'Special Corporate+ Rates'!CD51</f>
        <v>0</v>
      </c>
      <c r="CE387" s="65">
        <f>'Special Corporate+ Rates'!CE51</f>
        <v>0</v>
      </c>
      <c r="CF387" s="65">
        <f>'Special Corporate+ Rates'!CF51</f>
        <v>0</v>
      </c>
      <c r="CG387" s="65">
        <f>'Special Corporate+ Rates'!CG51</f>
        <v>0</v>
      </c>
      <c r="CH387" s="65">
        <f>'Special Corporate+ Rates'!CH51</f>
        <v>0</v>
      </c>
      <c r="CI387" s="65">
        <f>'Special Corporate+ Rates'!CI51</f>
        <v>0</v>
      </c>
      <c r="CJ387" s="65">
        <f>'Special Corporate+ Rates'!CJ51</f>
        <v>0</v>
      </c>
      <c r="CK387" s="65">
        <f>'Special Corporate+ Rates'!CK51</f>
        <v>0</v>
      </c>
      <c r="CL387" s="65">
        <f>'Special Corporate+ Rates'!CL51</f>
        <v>0</v>
      </c>
      <c r="CM387" s="65">
        <f>'Special Corporate+ Rates'!CM51</f>
        <v>0</v>
      </c>
      <c r="CN387" s="65">
        <f>'Special Corporate+ Rates'!CN51</f>
        <v>0</v>
      </c>
      <c r="CO387" s="65">
        <f>'Special Corporate+ Rates'!CO51</f>
        <v>0</v>
      </c>
      <c r="CP387" s="65">
        <f>'Special Corporate+ Rates'!CP51</f>
        <v>0</v>
      </c>
      <c r="CQ387" s="65">
        <f>'Special Corporate+ Rates'!CQ51</f>
        <v>0</v>
      </c>
      <c r="CR387" s="65">
        <f>'Special Corporate+ Rates'!CR51</f>
        <v>0</v>
      </c>
      <c r="CS387" s="65">
        <f>'Special Corporate+ Rates'!CS51</f>
        <v>0</v>
      </c>
      <c r="CT387" s="65">
        <f>'Special Corporate+ Rates'!CT51</f>
        <v>0</v>
      </c>
      <c r="CU387" s="65">
        <f>'Special Corporate+ Rates'!CU51</f>
        <v>0</v>
      </c>
      <c r="CV387" s="65">
        <f>'Special Corporate+ Rates'!CV51</f>
        <v>0</v>
      </c>
      <c r="CW387" s="65">
        <f>'Special Corporate+ Rates'!CW51</f>
        <v>0</v>
      </c>
      <c r="CX387" s="65">
        <f>'Special Corporate+ Rates'!CX51</f>
        <v>0</v>
      </c>
      <c r="CY387" s="65">
        <f>'Special Corporate+ Rates'!CY51</f>
        <v>0</v>
      </c>
      <c r="CZ387" s="65">
        <f>'Special Corporate+ Rates'!CZ51</f>
        <v>0</v>
      </c>
      <c r="DA387" s="65">
        <f>'Special Corporate+ Rates'!DA51</f>
        <v>0</v>
      </c>
      <c r="DB387" s="65">
        <f>'Special Corporate+ Rates'!DB51</f>
        <v>0</v>
      </c>
      <c r="DC387" s="65">
        <f>'Special Corporate+ Rates'!DC51</f>
        <v>0</v>
      </c>
      <c r="DD387" s="65">
        <f>'Special Corporate+ Rates'!DD51</f>
        <v>0</v>
      </c>
      <c r="DE387" s="65">
        <f>'Special Corporate+ Rates'!DE51</f>
        <v>0</v>
      </c>
      <c r="DF387" s="65">
        <f>'Special Corporate+ Rates'!DF51</f>
        <v>0</v>
      </c>
      <c r="DG387" s="65">
        <f>'Special Corporate+ Rates'!DG51</f>
        <v>0</v>
      </c>
      <c r="DH387" s="65">
        <f>'Special Corporate+ Rates'!DH51</f>
        <v>0</v>
      </c>
      <c r="DI387" s="65">
        <f>'Special Corporate+ Rates'!DI51</f>
        <v>0</v>
      </c>
      <c r="DJ387" s="65">
        <f>'Special Corporate+ Rates'!DJ51</f>
        <v>0</v>
      </c>
      <c r="DK387" s="65">
        <f>'Special Corporate+ Rates'!DK51</f>
        <v>0</v>
      </c>
      <c r="DL387" s="65">
        <f>'Special Corporate+ Rates'!DL51</f>
        <v>0</v>
      </c>
      <c r="DM387" s="65">
        <f>'Special Corporate+ Rates'!DM51</f>
        <v>0</v>
      </c>
      <c r="DN387" s="65">
        <f>'Special Corporate+ Rates'!DN51</f>
        <v>0</v>
      </c>
      <c r="DO387" s="65">
        <f>'Special Corporate+ Rates'!DO51</f>
        <v>0</v>
      </c>
      <c r="DP387" s="65">
        <f>'Special Corporate+ Rates'!DP51</f>
        <v>0</v>
      </c>
      <c r="DQ387" s="65">
        <f>'Special Corporate+ Rates'!DQ51</f>
        <v>0</v>
      </c>
      <c r="DR387" s="65">
        <f>'Special Corporate+ Rates'!DR51</f>
        <v>0</v>
      </c>
      <c r="DS387" s="65">
        <f>'Special Corporate+ Rates'!DS51</f>
        <v>0</v>
      </c>
      <c r="DT387" s="65">
        <f>'Special Corporate+ Rates'!DT51</f>
        <v>0</v>
      </c>
      <c r="DU387" s="65">
        <f>'Special Corporate+ Rates'!DU51</f>
        <v>0</v>
      </c>
      <c r="DV387" s="65">
        <f>'Special Corporate+ Rates'!DV51</f>
        <v>0</v>
      </c>
      <c r="DW387" s="65">
        <f>'Special Corporate+ Rates'!DW51</f>
        <v>0</v>
      </c>
      <c r="DX387" s="65">
        <f>'Special Corporate+ Rates'!DX51</f>
        <v>0</v>
      </c>
      <c r="DY387" s="68"/>
    </row>
    <row r="388" spans="1:132" x14ac:dyDescent="0.2">
      <c r="A388" s="153"/>
      <c r="B388" s="154"/>
      <c r="C388" s="154"/>
      <c r="D388" s="154"/>
      <c r="E388" s="154"/>
      <c r="F388" s="154"/>
      <c r="G388" s="154"/>
      <c r="H388" s="154"/>
      <c r="I388" s="154"/>
      <c r="J388" s="154"/>
      <c r="K388" s="154"/>
      <c r="L388" s="154"/>
      <c r="M388" s="154"/>
      <c r="N388" s="154"/>
      <c r="O388" s="154"/>
      <c r="P388" s="154"/>
      <c r="Q388" s="154"/>
      <c r="R388" s="154"/>
      <c r="S388" s="154"/>
      <c r="T388" s="154"/>
      <c r="U388" s="154"/>
      <c r="V388" s="154"/>
      <c r="W388" s="154"/>
      <c r="X388" s="154"/>
      <c r="Y388" s="154"/>
      <c r="Z388" s="154"/>
      <c r="AA388" s="154"/>
      <c r="AB388" s="154"/>
      <c r="AC388" s="154"/>
      <c r="AD388" s="154"/>
      <c r="AE388" s="154"/>
      <c r="AF388" s="154"/>
      <c r="AG388" s="154"/>
      <c r="AH388" s="154"/>
      <c r="AI388" s="154"/>
      <c r="AJ388" s="154"/>
      <c r="AK388" s="154"/>
      <c r="AL388" s="154"/>
      <c r="AM388" s="154"/>
      <c r="AN388" s="154"/>
      <c r="AO388" s="154"/>
      <c r="AP388" s="154"/>
      <c r="AQ388" s="154"/>
      <c r="AR388" s="154"/>
      <c r="AS388" s="154"/>
      <c r="AT388" s="154"/>
      <c r="AU388" s="154"/>
      <c r="AV388" s="154"/>
      <c r="AW388" s="154"/>
      <c r="AX388" s="154"/>
      <c r="AY388" s="154"/>
      <c r="AZ388" s="154"/>
      <c r="BA388" s="154"/>
      <c r="BB388" s="154"/>
      <c r="BC388" s="154"/>
      <c r="BD388" s="154"/>
      <c r="BE388" s="154"/>
      <c r="BF388" s="154"/>
      <c r="BG388" s="154"/>
      <c r="BH388" s="154"/>
      <c r="BI388" s="154"/>
      <c r="BJ388" s="154"/>
      <c r="BK388" s="154"/>
      <c r="BL388" s="154"/>
      <c r="BM388" s="154"/>
      <c r="BN388" s="154"/>
      <c r="BO388" s="154"/>
      <c r="BP388" s="154"/>
      <c r="BQ388" s="154"/>
      <c r="BR388" s="154"/>
      <c r="BS388" s="154"/>
      <c r="BT388" s="154"/>
      <c r="BU388" s="154"/>
      <c r="BV388" s="154"/>
      <c r="BW388" s="154"/>
      <c r="BX388" s="154"/>
      <c r="BY388" s="154"/>
      <c r="BZ388" s="154"/>
      <c r="CA388" s="154"/>
      <c r="CB388" s="154"/>
      <c r="CC388" s="154"/>
      <c r="CD388" s="154"/>
      <c r="CE388" s="154"/>
      <c r="CF388" s="154"/>
      <c r="CG388" s="154"/>
      <c r="CH388" s="154"/>
      <c r="CI388" s="154"/>
      <c r="CJ388" s="154"/>
      <c r="CK388" s="154"/>
      <c r="CL388" s="154"/>
      <c r="CM388" s="154"/>
      <c r="CN388" s="154"/>
      <c r="CO388" s="154"/>
      <c r="CP388" s="154"/>
      <c r="CQ388" s="154"/>
      <c r="CR388" s="154"/>
      <c r="CS388" s="154"/>
      <c r="CT388" s="154"/>
      <c r="CU388" s="154"/>
      <c r="CV388" s="154"/>
      <c r="CW388" s="154"/>
      <c r="CX388" s="154"/>
      <c r="CY388" s="154"/>
      <c r="CZ388" s="154"/>
      <c r="DA388" s="154"/>
      <c r="DB388" s="154"/>
      <c r="DC388" s="154"/>
      <c r="DD388" s="154"/>
      <c r="DE388" s="154"/>
      <c r="DF388" s="154"/>
      <c r="DG388" s="154"/>
      <c r="DH388" s="154"/>
      <c r="DI388" s="154"/>
      <c r="DJ388" s="154"/>
      <c r="DK388" s="154"/>
      <c r="DL388" s="154"/>
      <c r="DM388" s="154"/>
      <c r="DN388" s="154"/>
      <c r="DO388" s="154"/>
      <c r="DP388" s="154"/>
      <c r="DQ388" s="154"/>
      <c r="DR388" s="154"/>
      <c r="DS388" s="154"/>
      <c r="DT388" s="154"/>
      <c r="DU388" s="154"/>
      <c r="DV388" s="154"/>
      <c r="DW388" s="154"/>
      <c r="DX388" s="154"/>
      <c r="DY388" s="155"/>
    </row>
    <row r="390" spans="1:132" x14ac:dyDescent="0.2">
      <c r="A390" s="35" t="s">
        <v>501</v>
      </c>
    </row>
    <row r="391" spans="1:132" x14ac:dyDescent="0.2">
      <c r="A391" s="151"/>
      <c r="B391" s="67"/>
      <c r="C391" s="67"/>
      <c r="D391" s="67"/>
      <c r="E391" s="67"/>
      <c r="F391" s="67"/>
      <c r="G391" s="67"/>
      <c r="H391" s="67"/>
      <c r="I391" s="67"/>
      <c r="J391" s="67"/>
      <c r="K391" s="67"/>
      <c r="L391" s="67"/>
      <c r="M391" s="67"/>
      <c r="N391" s="67"/>
      <c r="O391" s="67"/>
      <c r="P391" s="67"/>
      <c r="Q391" s="67"/>
      <c r="R391" s="67"/>
      <c r="S391" s="67"/>
      <c r="T391" s="67"/>
      <c r="U391" s="67"/>
      <c r="V391" s="67"/>
      <c r="W391" s="67"/>
      <c r="X391" s="67"/>
      <c r="Y391" s="67"/>
      <c r="Z391" s="67"/>
      <c r="AA391" s="67"/>
      <c r="AB391" s="67"/>
      <c r="AC391" s="67"/>
      <c r="AD391" s="67"/>
      <c r="AE391" s="67"/>
      <c r="AF391" s="67"/>
      <c r="AG391" s="67"/>
      <c r="AH391" s="67"/>
      <c r="AI391" s="67"/>
      <c r="AJ391" s="67"/>
      <c r="AK391" s="67"/>
      <c r="AL391" s="67"/>
      <c r="AM391" s="67"/>
      <c r="AN391" s="67"/>
      <c r="AO391" s="67"/>
      <c r="AP391" s="67"/>
      <c r="AQ391" s="67"/>
      <c r="AR391" s="67"/>
      <c r="AS391" s="67"/>
      <c r="AT391" s="67"/>
      <c r="AU391" s="67"/>
      <c r="AV391" s="67"/>
      <c r="AW391" s="67"/>
      <c r="AX391" s="67"/>
      <c r="AY391" s="67"/>
      <c r="AZ391" s="67"/>
      <c r="BA391" s="67"/>
      <c r="BB391" s="67"/>
      <c r="BC391" s="67"/>
      <c r="BD391" s="67"/>
      <c r="BE391" s="67"/>
      <c r="BF391" s="67"/>
      <c r="BG391" s="67"/>
      <c r="BH391" s="67"/>
      <c r="BI391" s="67"/>
      <c r="BJ391" s="67"/>
      <c r="BK391" s="67"/>
      <c r="BL391" s="67"/>
      <c r="BM391" s="67"/>
      <c r="BN391" s="67"/>
      <c r="BO391" s="67"/>
      <c r="BP391" s="67"/>
      <c r="BQ391" s="67"/>
      <c r="BR391" s="67"/>
      <c r="BS391" s="67"/>
      <c r="BT391" s="67"/>
      <c r="BU391" s="67"/>
      <c r="BV391" s="67"/>
      <c r="BW391" s="67"/>
      <c r="BX391" s="67"/>
      <c r="BY391" s="67"/>
      <c r="BZ391" s="67"/>
      <c r="CA391" s="67"/>
      <c r="CB391" s="67"/>
      <c r="CC391" s="67"/>
      <c r="CD391" s="67"/>
      <c r="CE391" s="67"/>
      <c r="CF391" s="67"/>
      <c r="CG391" s="67"/>
      <c r="CH391" s="67"/>
      <c r="CI391" s="67"/>
      <c r="CJ391" s="67"/>
      <c r="CK391" s="67"/>
      <c r="CL391" s="67"/>
      <c r="CM391" s="67"/>
      <c r="CN391" s="67"/>
      <c r="CO391" s="67"/>
      <c r="CP391" s="67"/>
      <c r="CQ391" s="67"/>
      <c r="CR391" s="67"/>
      <c r="CS391" s="67"/>
      <c r="CT391" s="67"/>
      <c r="CU391" s="67"/>
      <c r="CV391" s="67"/>
      <c r="CW391" s="67"/>
      <c r="CX391" s="67"/>
      <c r="CY391" s="67"/>
      <c r="CZ391" s="67"/>
      <c r="DA391" s="67"/>
      <c r="DB391" s="67"/>
      <c r="DC391" s="67"/>
      <c r="DD391" s="67"/>
      <c r="DE391" s="67"/>
      <c r="DF391" s="67"/>
      <c r="DG391" s="67"/>
      <c r="DH391" s="67"/>
      <c r="DI391" s="67"/>
      <c r="DJ391" s="67"/>
      <c r="DK391" s="67"/>
      <c r="DL391" s="67"/>
      <c r="DM391" s="67"/>
      <c r="DN391" s="67"/>
      <c r="DO391" s="67"/>
      <c r="DP391" s="67"/>
      <c r="DQ391" s="67"/>
      <c r="DR391" s="67"/>
      <c r="DS391" s="67"/>
      <c r="DT391" s="67"/>
      <c r="DU391" s="67"/>
      <c r="DV391" s="67"/>
      <c r="DW391" s="67"/>
      <c r="DX391" s="67"/>
      <c r="DY391" s="67"/>
      <c r="DZ391" s="67"/>
      <c r="EA391" s="67"/>
      <c r="EB391" s="64"/>
    </row>
    <row r="392" spans="1:132" x14ac:dyDescent="0.2">
      <c r="A392" s="152">
        <f>'Special Corporate+ RI+TPS'!A7</f>
        <v>0</v>
      </c>
      <c r="B392" s="65" t="str">
        <f>'Special Corporate+ RI+TPS'!B7</f>
        <v>Account Name</v>
      </c>
      <c r="C392" s="65">
        <f>'Special Corporate+ RI+TPS'!C7</f>
        <v>0</v>
      </c>
      <c r="D392" s="65" t="str">
        <f>'Special Corporate+ RI+TPS'!D7</f>
        <v>Enter the name of the Account here</v>
      </c>
      <c r="E392" s="65">
        <f>'Special Corporate+ RI+TPS'!E7</f>
        <v>0</v>
      </c>
      <c r="F392" s="65">
        <f>'Special Corporate+ RI+TPS'!F7</f>
        <v>0</v>
      </c>
      <c r="G392" s="65">
        <f>'Special Corporate+ RI+TPS'!G7</f>
        <v>0</v>
      </c>
      <c r="H392" s="65">
        <f>'Special Corporate+ RI+TPS'!H7</f>
        <v>0</v>
      </c>
      <c r="I392" s="65">
        <f>'Special Corporate+ RI+TPS'!I7</f>
        <v>0</v>
      </c>
      <c r="J392" s="65">
        <f>'Special Corporate+ RI+TPS'!J7</f>
        <v>0</v>
      </c>
      <c r="K392" s="65">
        <f>'Special Corporate+ RI+TPS'!K7</f>
        <v>0</v>
      </c>
      <c r="L392" s="65" t="str">
        <f>'Special Corporate+ RI+TPS'!L7</f>
        <v>Enter the name of the Account here</v>
      </c>
      <c r="M392" s="65">
        <f>'Special Corporate+ RI+TPS'!M7</f>
        <v>0</v>
      </c>
      <c r="N392" s="65">
        <f>'Special Corporate+ RI+TPS'!N7</f>
        <v>0</v>
      </c>
      <c r="O392" s="65">
        <f>'Special Corporate+ RI+TPS'!O7</f>
        <v>0</v>
      </c>
      <c r="P392" s="65">
        <f>'Special Corporate+ RI+TPS'!P7</f>
        <v>0</v>
      </c>
      <c r="Q392" s="65">
        <f>'Special Corporate+ RI+TPS'!Q7</f>
        <v>0</v>
      </c>
      <c r="R392" s="65">
        <f>'Special Corporate+ RI+TPS'!R7</f>
        <v>0</v>
      </c>
      <c r="S392" s="65">
        <f>'Special Corporate+ RI+TPS'!S7</f>
        <v>0</v>
      </c>
      <c r="T392" s="65" t="str">
        <f>'Special Corporate+ RI+TPS'!T7</f>
        <v>Enter the name of the Account here</v>
      </c>
      <c r="U392" s="65">
        <f>'Special Corporate+ RI+TPS'!U7</f>
        <v>0</v>
      </c>
      <c r="V392" s="65">
        <f>'Special Corporate+ RI+TPS'!V7</f>
        <v>0</v>
      </c>
      <c r="W392" s="65">
        <f>'Special Corporate+ RI+TPS'!W7</f>
        <v>0</v>
      </c>
      <c r="X392" s="65">
        <f>'Special Corporate+ RI+TPS'!X7</f>
        <v>0</v>
      </c>
      <c r="Y392" s="65">
        <f>'Special Corporate+ RI+TPS'!Y7</f>
        <v>0</v>
      </c>
      <c r="Z392" s="65">
        <f>'Special Corporate+ RI+TPS'!Z7</f>
        <v>0</v>
      </c>
      <c r="AA392" s="65">
        <f>'Special Corporate+ RI+TPS'!AA7</f>
        <v>0</v>
      </c>
      <c r="AB392" s="65" t="str">
        <f>'Special Corporate+ RI+TPS'!AB7</f>
        <v>Enter the name of the Account here</v>
      </c>
      <c r="AC392" s="65">
        <f>'Special Corporate+ RI+TPS'!AC7</f>
        <v>0</v>
      </c>
      <c r="AD392" s="65">
        <f>'Special Corporate+ RI+TPS'!AD7</f>
        <v>0</v>
      </c>
      <c r="AE392" s="65">
        <f>'Special Corporate+ RI+TPS'!AE7</f>
        <v>0</v>
      </c>
      <c r="AF392" s="65">
        <f>'Special Corporate+ RI+TPS'!AF7</f>
        <v>0</v>
      </c>
      <c r="AG392" s="65">
        <f>'Special Corporate+ RI+TPS'!AG7</f>
        <v>0</v>
      </c>
      <c r="AH392" s="65">
        <f>'Special Corporate+ RI+TPS'!AH7</f>
        <v>0</v>
      </c>
      <c r="AI392" s="65">
        <f>'Special Corporate+ RI+TPS'!AI7</f>
        <v>0</v>
      </c>
      <c r="AJ392" s="65" t="str">
        <f>'Special Corporate+ RI+TPS'!AJ7</f>
        <v>Enter the name of the Account here</v>
      </c>
      <c r="AK392" s="65">
        <f>'Special Corporate+ RI+TPS'!AK7</f>
        <v>0</v>
      </c>
      <c r="AL392" s="65">
        <f>'Special Corporate+ RI+TPS'!AL7</f>
        <v>0</v>
      </c>
      <c r="AM392" s="65">
        <f>'Special Corporate+ RI+TPS'!AM7</f>
        <v>0</v>
      </c>
      <c r="AN392" s="65">
        <f>'Special Corporate+ RI+TPS'!AN7</f>
        <v>0</v>
      </c>
      <c r="AO392" s="65">
        <f>'Special Corporate+ RI+TPS'!AO7</f>
        <v>0</v>
      </c>
      <c r="AP392" s="65">
        <f>'Special Corporate+ RI+TPS'!AP7</f>
        <v>0</v>
      </c>
      <c r="AQ392" s="65">
        <f>'Special Corporate+ RI+TPS'!AQ7</f>
        <v>0</v>
      </c>
      <c r="AR392" s="65" t="str">
        <f>'Special Corporate+ RI+TPS'!AR7</f>
        <v>Enter the name of the Account here</v>
      </c>
      <c r="AS392" s="65">
        <f>'Special Corporate+ RI+TPS'!AS7</f>
        <v>0</v>
      </c>
      <c r="AT392" s="65">
        <f>'Special Corporate+ RI+TPS'!AT7</f>
        <v>0</v>
      </c>
      <c r="AU392" s="65">
        <f>'Special Corporate+ RI+TPS'!AU7</f>
        <v>0</v>
      </c>
      <c r="AV392" s="65">
        <f>'Special Corporate+ RI+TPS'!AV7</f>
        <v>0</v>
      </c>
      <c r="AW392" s="65">
        <f>'Special Corporate+ RI+TPS'!AW7</f>
        <v>0</v>
      </c>
      <c r="AX392" s="65">
        <f>'Special Corporate+ RI+TPS'!AX7</f>
        <v>0</v>
      </c>
      <c r="AY392" s="65">
        <f>'Special Corporate+ RI+TPS'!AY7</f>
        <v>0</v>
      </c>
      <c r="AZ392" s="65" t="str">
        <f>'Special Corporate+ RI+TPS'!AZ7</f>
        <v>Enter the name of the Account here</v>
      </c>
      <c r="BA392" s="65">
        <f>'Special Corporate+ RI+TPS'!BA7</f>
        <v>0</v>
      </c>
      <c r="BB392" s="65">
        <f>'Special Corporate+ RI+TPS'!BB7</f>
        <v>0</v>
      </c>
      <c r="BC392" s="65">
        <f>'Special Corporate+ RI+TPS'!BC7</f>
        <v>0</v>
      </c>
      <c r="BD392" s="65">
        <f>'Special Corporate+ RI+TPS'!BD7</f>
        <v>0</v>
      </c>
      <c r="BE392" s="65">
        <f>'Special Corporate+ RI+TPS'!BE7</f>
        <v>0</v>
      </c>
      <c r="BF392" s="65">
        <f>'Special Corporate+ RI+TPS'!BF7</f>
        <v>0</v>
      </c>
      <c r="BG392" s="65">
        <f>'Special Corporate+ RI+TPS'!BG7</f>
        <v>0</v>
      </c>
      <c r="BH392" s="65" t="str">
        <f>'Special Corporate+ RI+TPS'!BH7</f>
        <v>Enter the name of the Account here</v>
      </c>
      <c r="BI392" s="65">
        <f>'Special Corporate+ RI+TPS'!BI7</f>
        <v>0</v>
      </c>
      <c r="BJ392" s="65">
        <f>'Special Corporate+ RI+TPS'!BJ7</f>
        <v>0</v>
      </c>
      <c r="BK392" s="65">
        <f>'Special Corporate+ RI+TPS'!BK7</f>
        <v>0</v>
      </c>
      <c r="BL392" s="65">
        <f>'Special Corporate+ RI+TPS'!BL7</f>
        <v>0</v>
      </c>
      <c r="BM392" s="65">
        <f>'Special Corporate+ RI+TPS'!BM7</f>
        <v>0</v>
      </c>
      <c r="BN392" s="65">
        <f>'Special Corporate+ RI+TPS'!BN7</f>
        <v>0</v>
      </c>
      <c r="BO392" s="65">
        <f>'Special Corporate+ RI+TPS'!BO7</f>
        <v>0</v>
      </c>
      <c r="BP392" s="65" t="str">
        <f>'Special Corporate+ RI+TPS'!BP7</f>
        <v>Enter the name of the Account here</v>
      </c>
      <c r="BQ392" s="65">
        <f>'Special Corporate+ RI+TPS'!BQ7</f>
        <v>0</v>
      </c>
      <c r="BR392" s="65">
        <f>'Special Corporate+ RI+TPS'!BR7</f>
        <v>0</v>
      </c>
      <c r="BS392" s="65">
        <f>'Special Corporate+ RI+TPS'!BS7</f>
        <v>0</v>
      </c>
      <c r="BT392" s="65">
        <f>'Special Corporate+ RI+TPS'!BT7</f>
        <v>0</v>
      </c>
      <c r="BU392" s="65">
        <f>'Special Corporate+ RI+TPS'!BU7</f>
        <v>0</v>
      </c>
      <c r="BV392" s="65">
        <f>'Special Corporate+ RI+TPS'!BV7</f>
        <v>0</v>
      </c>
      <c r="BW392" s="65">
        <f>'Special Corporate+ RI+TPS'!BW7</f>
        <v>0</v>
      </c>
      <c r="BX392" s="65" t="str">
        <f>'Special Corporate+ RI+TPS'!BX7</f>
        <v>Enter the name of the Account here</v>
      </c>
      <c r="BY392" s="65">
        <f>'Special Corporate+ RI+TPS'!BY7</f>
        <v>0</v>
      </c>
      <c r="BZ392" s="65">
        <f>'Special Corporate+ RI+TPS'!BZ7</f>
        <v>0</v>
      </c>
      <c r="CA392" s="65">
        <f>'Special Corporate+ RI+TPS'!CA7</f>
        <v>0</v>
      </c>
      <c r="CB392" s="65">
        <f>'Special Corporate+ RI+TPS'!CB7</f>
        <v>0</v>
      </c>
      <c r="CC392" s="65">
        <f>'Special Corporate+ RI+TPS'!CC7</f>
        <v>0</v>
      </c>
      <c r="CD392" s="65">
        <f>'Special Corporate+ RI+TPS'!CD7</f>
        <v>0</v>
      </c>
      <c r="CE392" s="65">
        <f>'Special Corporate+ RI+TPS'!CE7</f>
        <v>0</v>
      </c>
      <c r="CF392" s="65" t="str">
        <f>'Special Corporate+ RI+TPS'!CF7</f>
        <v>Enter the name of the Account here</v>
      </c>
      <c r="CG392" s="65">
        <f>'Special Corporate+ RI+TPS'!CG7</f>
        <v>0</v>
      </c>
      <c r="CH392" s="65">
        <f>'Special Corporate+ RI+TPS'!CH7</f>
        <v>0</v>
      </c>
      <c r="CI392" s="65">
        <f>'Special Corporate+ RI+TPS'!CI7</f>
        <v>0</v>
      </c>
      <c r="CJ392" s="65">
        <f>'Special Corporate+ RI+TPS'!CJ7</f>
        <v>0</v>
      </c>
      <c r="CK392" s="65">
        <f>'Special Corporate+ RI+TPS'!CK7</f>
        <v>0</v>
      </c>
      <c r="CL392" s="65">
        <f>'Special Corporate+ RI+TPS'!CL7</f>
        <v>0</v>
      </c>
      <c r="CM392" s="65">
        <f>'Special Corporate+ RI+TPS'!CM7</f>
        <v>0</v>
      </c>
      <c r="CN392" s="65" t="str">
        <f>'Special Corporate+ RI+TPS'!CN7</f>
        <v>Enter the name of the Account here</v>
      </c>
      <c r="CO392" s="65">
        <f>'Special Corporate+ RI+TPS'!CO7</f>
        <v>0</v>
      </c>
      <c r="CP392" s="65">
        <f>'Special Corporate+ RI+TPS'!CP7</f>
        <v>0</v>
      </c>
      <c r="CQ392" s="65">
        <f>'Special Corporate+ RI+TPS'!CQ7</f>
        <v>0</v>
      </c>
      <c r="CR392" s="65">
        <f>'Special Corporate+ RI+TPS'!CR7</f>
        <v>0</v>
      </c>
      <c r="CS392" s="65">
        <f>'Special Corporate+ RI+TPS'!CS7</f>
        <v>0</v>
      </c>
      <c r="CT392" s="65">
        <f>'Special Corporate+ RI+TPS'!CT7</f>
        <v>0</v>
      </c>
      <c r="CU392" s="65">
        <f>'Special Corporate+ RI+TPS'!CU7</f>
        <v>0</v>
      </c>
      <c r="CV392" s="65" t="str">
        <f>'Special Corporate+ RI+TPS'!CV7</f>
        <v>Enter the name of the Account here</v>
      </c>
      <c r="CW392" s="65">
        <f>'Special Corporate+ RI+TPS'!CW7</f>
        <v>0</v>
      </c>
      <c r="CX392" s="65">
        <f>'Special Corporate+ RI+TPS'!CX7</f>
        <v>0</v>
      </c>
      <c r="CY392" s="65">
        <f>'Special Corporate+ RI+TPS'!CY7</f>
        <v>0</v>
      </c>
      <c r="CZ392" s="65">
        <f>'Special Corporate+ RI+TPS'!CZ7</f>
        <v>0</v>
      </c>
      <c r="DA392" s="65">
        <f>'Special Corporate+ RI+TPS'!DA7</f>
        <v>0</v>
      </c>
      <c r="DB392" s="65">
        <f>'Special Corporate+ RI+TPS'!DB7</f>
        <v>0</v>
      </c>
      <c r="DC392" s="65">
        <f>'Special Corporate+ RI+TPS'!DC7</f>
        <v>0</v>
      </c>
      <c r="DD392" s="65" t="str">
        <f>'Special Corporate+ RI+TPS'!DD7</f>
        <v>Enter the name of the Account here</v>
      </c>
      <c r="DE392" s="65">
        <f>'Special Corporate+ RI+TPS'!DE7</f>
        <v>0</v>
      </c>
      <c r="DF392" s="65">
        <f>'Special Corporate+ RI+TPS'!DF7</f>
        <v>0</v>
      </c>
      <c r="DG392" s="65">
        <f>'Special Corporate+ RI+TPS'!DG7</f>
        <v>0</v>
      </c>
      <c r="DH392" s="65">
        <f>'Special Corporate+ RI+TPS'!DH7</f>
        <v>0</v>
      </c>
      <c r="DI392" s="65">
        <f>'Special Corporate+ RI+TPS'!DI7</f>
        <v>0</v>
      </c>
      <c r="DJ392" s="65">
        <f>'Special Corporate+ RI+TPS'!DJ7</f>
        <v>0</v>
      </c>
      <c r="DK392" s="65">
        <f>'Special Corporate+ RI+TPS'!DK7</f>
        <v>0</v>
      </c>
      <c r="DL392" s="65" t="str">
        <f>'Special Corporate+ RI+TPS'!DL7</f>
        <v>Enter the name of the Account here</v>
      </c>
      <c r="DM392" s="65">
        <f>'Special Corporate+ RI+TPS'!DM7</f>
        <v>0</v>
      </c>
      <c r="DN392" s="65">
        <f>'Special Corporate+ RI+TPS'!DN7</f>
        <v>0</v>
      </c>
      <c r="DO392" s="65">
        <f>'Special Corporate+ RI+TPS'!DO7</f>
        <v>0</v>
      </c>
      <c r="DP392" s="65">
        <f>'Special Corporate+ RI+TPS'!DP7</f>
        <v>0</v>
      </c>
      <c r="DQ392" s="65">
        <f>'Special Corporate+ RI+TPS'!DQ7</f>
        <v>0</v>
      </c>
      <c r="DR392" s="65">
        <f>'Special Corporate+ RI+TPS'!DR7</f>
        <v>0</v>
      </c>
      <c r="DS392" s="65">
        <f>'Special Corporate+ RI+TPS'!DS7</f>
        <v>0</v>
      </c>
      <c r="DT392" s="65" t="str">
        <f>'Special Corporate+ RI+TPS'!DT7</f>
        <v>Enter the name of the Account here</v>
      </c>
      <c r="DU392" s="65">
        <f>'Special Corporate+ RI+TPS'!DU7</f>
        <v>0</v>
      </c>
      <c r="DV392" s="65">
        <f>'Special Corporate+ RI+TPS'!DV7</f>
        <v>0</v>
      </c>
      <c r="DW392" s="65">
        <f>'Special Corporate+ RI+TPS'!DW7</f>
        <v>0</v>
      </c>
      <c r="DX392" s="65">
        <f>'Special Corporate+ RI+TPS'!DX7</f>
        <v>0</v>
      </c>
      <c r="DY392" s="65">
        <f>'Special Corporate+ RI+TPS'!DY7</f>
        <v>0</v>
      </c>
      <c r="DZ392" s="65">
        <f>'Special Corporate+ RI+TPS'!DZ7</f>
        <v>0</v>
      </c>
      <c r="EA392" s="65">
        <f>'Special Corporate+ RI+TPS'!EA7</f>
        <v>0</v>
      </c>
      <c r="EB392" s="68"/>
    </row>
    <row r="393" spans="1:132" x14ac:dyDescent="0.2">
      <c r="A393" s="152"/>
      <c r="B393" s="65" t="str">
        <f>'Special Corporate+ RI+TPS'!B8</f>
        <v>Availability</v>
      </c>
      <c r="C393" s="65">
        <f>'Special Corporate+ RI+TPS'!C8</f>
        <v>0</v>
      </c>
      <c r="D393" s="65">
        <f>'Special Corporate+ RI+TPS'!D8</f>
        <v>0</v>
      </c>
      <c r="E393" s="65">
        <f>'Special Corporate+ RI+TPS'!E8</f>
        <v>0</v>
      </c>
      <c r="F393" s="65">
        <f>'Special Corporate+ RI+TPS'!F8</f>
        <v>0</v>
      </c>
      <c r="G393" s="65">
        <f>'Special Corporate+ RI+TPS'!G8</f>
        <v>0</v>
      </c>
      <c r="H393" s="65">
        <f>'Special Corporate+ RI+TPS'!H8</f>
        <v>0</v>
      </c>
      <c r="I393" s="65">
        <f>'Special Corporate+ RI+TPS'!I8</f>
        <v>0</v>
      </c>
      <c r="J393" s="65">
        <f>'Special Corporate+ RI+TPS'!J8</f>
        <v>0</v>
      </c>
      <c r="K393" s="65">
        <f>'Special Corporate+ RI+TPS'!K8</f>
        <v>0</v>
      </c>
      <c r="L393" s="65">
        <f>'Special Corporate+ RI+TPS'!L8</f>
        <v>0</v>
      </c>
      <c r="M393" s="65">
        <f>'Special Corporate+ RI+TPS'!M8</f>
        <v>0</v>
      </c>
      <c r="N393" s="65">
        <f>'Special Corporate+ RI+TPS'!N8</f>
        <v>0</v>
      </c>
      <c r="O393" s="65">
        <f>'Special Corporate+ RI+TPS'!O8</f>
        <v>0</v>
      </c>
      <c r="P393" s="65">
        <f>'Special Corporate+ RI+TPS'!P8</f>
        <v>0</v>
      </c>
      <c r="Q393" s="65">
        <f>'Special Corporate+ RI+TPS'!Q8</f>
        <v>0</v>
      </c>
      <c r="R393" s="65">
        <f>'Special Corporate+ RI+TPS'!R8</f>
        <v>0</v>
      </c>
      <c r="S393" s="65">
        <f>'Special Corporate+ RI+TPS'!S8</f>
        <v>0</v>
      </c>
      <c r="T393" s="65">
        <f>'Special Corporate+ RI+TPS'!T8</f>
        <v>0</v>
      </c>
      <c r="U393" s="65">
        <f>'Special Corporate+ RI+TPS'!U8</f>
        <v>0</v>
      </c>
      <c r="V393" s="65">
        <f>'Special Corporate+ RI+TPS'!V8</f>
        <v>0</v>
      </c>
      <c r="W393" s="65">
        <f>'Special Corporate+ RI+TPS'!W8</f>
        <v>0</v>
      </c>
      <c r="X393" s="65">
        <f>'Special Corporate+ RI+TPS'!X8</f>
        <v>0</v>
      </c>
      <c r="Y393" s="65">
        <f>'Special Corporate+ RI+TPS'!Y8</f>
        <v>0</v>
      </c>
      <c r="Z393" s="65">
        <f>'Special Corporate+ RI+TPS'!Z8</f>
        <v>0</v>
      </c>
      <c r="AA393" s="65">
        <f>'Special Corporate+ RI+TPS'!AA8</f>
        <v>0</v>
      </c>
      <c r="AB393" s="65">
        <f>'Special Corporate+ RI+TPS'!AB8</f>
        <v>0</v>
      </c>
      <c r="AC393" s="65">
        <f>'Special Corporate+ RI+TPS'!AC8</f>
        <v>0</v>
      </c>
      <c r="AD393" s="65">
        <f>'Special Corporate+ RI+TPS'!AD8</f>
        <v>0</v>
      </c>
      <c r="AE393" s="65">
        <f>'Special Corporate+ RI+TPS'!AE8</f>
        <v>0</v>
      </c>
      <c r="AF393" s="65">
        <f>'Special Corporate+ RI+TPS'!AF8</f>
        <v>0</v>
      </c>
      <c r="AG393" s="65">
        <f>'Special Corporate+ RI+TPS'!AG8</f>
        <v>0</v>
      </c>
      <c r="AH393" s="65">
        <f>'Special Corporate+ RI+TPS'!AH8</f>
        <v>0</v>
      </c>
      <c r="AI393" s="65">
        <f>'Special Corporate+ RI+TPS'!AI8</f>
        <v>0</v>
      </c>
      <c r="AJ393" s="65">
        <f>'Special Corporate+ RI+TPS'!AJ8</f>
        <v>0</v>
      </c>
      <c r="AK393" s="65">
        <f>'Special Corporate+ RI+TPS'!AK8</f>
        <v>0</v>
      </c>
      <c r="AL393" s="65">
        <f>'Special Corporate+ RI+TPS'!AL8</f>
        <v>0</v>
      </c>
      <c r="AM393" s="65">
        <f>'Special Corporate+ RI+TPS'!AM8</f>
        <v>0</v>
      </c>
      <c r="AN393" s="65">
        <f>'Special Corporate+ RI+TPS'!AN8</f>
        <v>0</v>
      </c>
      <c r="AO393" s="65">
        <f>'Special Corporate+ RI+TPS'!AO8</f>
        <v>0</v>
      </c>
      <c r="AP393" s="65">
        <f>'Special Corporate+ RI+TPS'!AP8</f>
        <v>0</v>
      </c>
      <c r="AQ393" s="65">
        <f>'Special Corporate+ RI+TPS'!AQ8</f>
        <v>0</v>
      </c>
      <c r="AR393" s="65">
        <f>'Special Corporate+ RI+TPS'!AR8</f>
        <v>0</v>
      </c>
      <c r="AS393" s="65">
        <f>'Special Corporate+ RI+TPS'!AS8</f>
        <v>0</v>
      </c>
      <c r="AT393" s="65">
        <f>'Special Corporate+ RI+TPS'!AT8</f>
        <v>0</v>
      </c>
      <c r="AU393" s="65">
        <f>'Special Corporate+ RI+TPS'!AU8</f>
        <v>0</v>
      </c>
      <c r="AV393" s="65">
        <f>'Special Corporate+ RI+TPS'!AV8</f>
        <v>0</v>
      </c>
      <c r="AW393" s="65">
        <f>'Special Corporate+ RI+TPS'!AW8</f>
        <v>0</v>
      </c>
      <c r="AX393" s="65">
        <f>'Special Corporate+ RI+TPS'!AX8</f>
        <v>0</v>
      </c>
      <c r="AY393" s="65">
        <f>'Special Corporate+ RI+TPS'!AY8</f>
        <v>0</v>
      </c>
      <c r="AZ393" s="65">
        <f>'Special Corporate+ RI+TPS'!AZ8</f>
        <v>0</v>
      </c>
      <c r="BA393" s="65">
        <f>'Special Corporate+ RI+TPS'!BA8</f>
        <v>0</v>
      </c>
      <c r="BB393" s="65">
        <f>'Special Corporate+ RI+TPS'!BB8</f>
        <v>0</v>
      </c>
      <c r="BC393" s="65">
        <f>'Special Corporate+ RI+TPS'!BC8</f>
        <v>0</v>
      </c>
      <c r="BD393" s="65">
        <f>'Special Corporate+ RI+TPS'!BD8</f>
        <v>0</v>
      </c>
      <c r="BE393" s="65">
        <f>'Special Corporate+ RI+TPS'!BE8</f>
        <v>0</v>
      </c>
      <c r="BF393" s="65">
        <f>'Special Corporate+ RI+TPS'!BF8</f>
        <v>0</v>
      </c>
      <c r="BG393" s="65">
        <f>'Special Corporate+ RI+TPS'!BG8</f>
        <v>0</v>
      </c>
      <c r="BH393" s="65">
        <f>'Special Corporate+ RI+TPS'!BH8</f>
        <v>0</v>
      </c>
      <c r="BI393" s="65">
        <f>'Special Corporate+ RI+TPS'!BI8</f>
        <v>0</v>
      </c>
      <c r="BJ393" s="65">
        <f>'Special Corporate+ RI+TPS'!BJ8</f>
        <v>0</v>
      </c>
      <c r="BK393" s="65">
        <f>'Special Corporate+ RI+TPS'!BK8</f>
        <v>0</v>
      </c>
      <c r="BL393" s="65">
        <f>'Special Corporate+ RI+TPS'!BL8</f>
        <v>0</v>
      </c>
      <c r="BM393" s="65">
        <f>'Special Corporate+ RI+TPS'!BM8</f>
        <v>0</v>
      </c>
      <c r="BN393" s="65">
        <f>'Special Corporate+ RI+TPS'!BN8</f>
        <v>0</v>
      </c>
      <c r="BO393" s="65">
        <f>'Special Corporate+ RI+TPS'!BO8</f>
        <v>0</v>
      </c>
      <c r="BP393" s="65">
        <f>'Special Corporate+ RI+TPS'!BP8</f>
        <v>0</v>
      </c>
      <c r="BQ393" s="65">
        <f>'Special Corporate+ RI+TPS'!BQ8</f>
        <v>0</v>
      </c>
      <c r="BR393" s="65">
        <f>'Special Corporate+ RI+TPS'!BR8</f>
        <v>0</v>
      </c>
      <c r="BS393" s="65">
        <f>'Special Corporate+ RI+TPS'!BS8</f>
        <v>0</v>
      </c>
      <c r="BT393" s="65">
        <f>'Special Corporate+ RI+TPS'!BT8</f>
        <v>0</v>
      </c>
      <c r="BU393" s="65">
        <f>'Special Corporate+ RI+TPS'!BU8</f>
        <v>0</v>
      </c>
      <c r="BV393" s="65">
        <f>'Special Corporate+ RI+TPS'!BV8</f>
        <v>0</v>
      </c>
      <c r="BW393" s="65">
        <f>'Special Corporate+ RI+TPS'!BW8</f>
        <v>0</v>
      </c>
      <c r="BX393" s="65">
        <f>'Special Corporate+ RI+TPS'!BX8</f>
        <v>0</v>
      </c>
      <c r="BY393" s="65">
        <f>'Special Corporate+ RI+TPS'!BY8</f>
        <v>0</v>
      </c>
      <c r="BZ393" s="65">
        <f>'Special Corporate+ RI+TPS'!BZ8</f>
        <v>0</v>
      </c>
      <c r="CA393" s="65">
        <f>'Special Corporate+ RI+TPS'!CA8</f>
        <v>0</v>
      </c>
      <c r="CB393" s="65">
        <f>'Special Corporate+ RI+TPS'!CB8</f>
        <v>0</v>
      </c>
      <c r="CC393" s="65">
        <f>'Special Corporate+ RI+TPS'!CC8</f>
        <v>0</v>
      </c>
      <c r="CD393" s="65">
        <f>'Special Corporate+ RI+TPS'!CD8</f>
        <v>0</v>
      </c>
      <c r="CE393" s="65">
        <f>'Special Corporate+ RI+TPS'!CE8</f>
        <v>0</v>
      </c>
      <c r="CF393" s="65">
        <f>'Special Corporate+ RI+TPS'!CF8</f>
        <v>0</v>
      </c>
      <c r="CG393" s="65">
        <f>'Special Corporate+ RI+TPS'!CG8</f>
        <v>0</v>
      </c>
      <c r="CH393" s="65">
        <f>'Special Corporate+ RI+TPS'!CH8</f>
        <v>0</v>
      </c>
      <c r="CI393" s="65">
        <f>'Special Corporate+ RI+TPS'!CI8</f>
        <v>0</v>
      </c>
      <c r="CJ393" s="65">
        <f>'Special Corporate+ RI+TPS'!CJ8</f>
        <v>0</v>
      </c>
      <c r="CK393" s="65">
        <f>'Special Corporate+ RI+TPS'!CK8</f>
        <v>0</v>
      </c>
      <c r="CL393" s="65">
        <f>'Special Corporate+ RI+TPS'!CL8</f>
        <v>0</v>
      </c>
      <c r="CM393" s="65">
        <f>'Special Corporate+ RI+TPS'!CM8</f>
        <v>0</v>
      </c>
      <c r="CN393" s="65">
        <f>'Special Corporate+ RI+TPS'!CN8</f>
        <v>0</v>
      </c>
      <c r="CO393" s="65">
        <f>'Special Corporate+ RI+TPS'!CO8</f>
        <v>0</v>
      </c>
      <c r="CP393" s="65">
        <f>'Special Corporate+ RI+TPS'!CP8</f>
        <v>0</v>
      </c>
      <c r="CQ393" s="65">
        <f>'Special Corporate+ RI+TPS'!CQ8</f>
        <v>0</v>
      </c>
      <c r="CR393" s="65">
        <f>'Special Corporate+ RI+TPS'!CR8</f>
        <v>0</v>
      </c>
      <c r="CS393" s="65">
        <f>'Special Corporate+ RI+TPS'!CS8</f>
        <v>0</v>
      </c>
      <c r="CT393" s="65">
        <f>'Special Corporate+ RI+TPS'!CT8</f>
        <v>0</v>
      </c>
      <c r="CU393" s="65">
        <f>'Special Corporate+ RI+TPS'!CU8</f>
        <v>0</v>
      </c>
      <c r="CV393" s="65">
        <f>'Special Corporate+ RI+TPS'!CV8</f>
        <v>0</v>
      </c>
      <c r="CW393" s="65">
        <f>'Special Corporate+ RI+TPS'!CW8</f>
        <v>0</v>
      </c>
      <c r="CX393" s="65">
        <f>'Special Corporate+ RI+TPS'!CX8</f>
        <v>0</v>
      </c>
      <c r="CY393" s="65">
        <f>'Special Corporate+ RI+TPS'!CY8</f>
        <v>0</v>
      </c>
      <c r="CZ393" s="65">
        <f>'Special Corporate+ RI+TPS'!CZ8</f>
        <v>0</v>
      </c>
      <c r="DA393" s="65">
        <f>'Special Corporate+ RI+TPS'!DA8</f>
        <v>0</v>
      </c>
      <c r="DB393" s="65">
        <f>'Special Corporate+ RI+TPS'!DB8</f>
        <v>0</v>
      </c>
      <c r="DC393" s="65">
        <f>'Special Corporate+ RI+TPS'!DC8</f>
        <v>0</v>
      </c>
      <c r="DD393" s="65">
        <f>'Special Corporate+ RI+TPS'!DD8</f>
        <v>0</v>
      </c>
      <c r="DE393" s="65">
        <f>'Special Corporate+ RI+TPS'!DE8</f>
        <v>0</v>
      </c>
      <c r="DF393" s="65">
        <f>'Special Corporate+ RI+TPS'!DF8</f>
        <v>0</v>
      </c>
      <c r="DG393" s="65">
        <f>'Special Corporate+ RI+TPS'!DG8</f>
        <v>0</v>
      </c>
      <c r="DH393" s="65">
        <f>'Special Corporate+ RI+TPS'!DH8</f>
        <v>0</v>
      </c>
      <c r="DI393" s="65">
        <f>'Special Corporate+ RI+TPS'!DI8</f>
        <v>0</v>
      </c>
      <c r="DJ393" s="65">
        <f>'Special Corporate+ RI+TPS'!DJ8</f>
        <v>0</v>
      </c>
      <c r="DK393" s="65">
        <f>'Special Corporate+ RI+TPS'!DK8</f>
        <v>0</v>
      </c>
      <c r="DL393" s="65">
        <f>'Special Corporate+ RI+TPS'!DL8</f>
        <v>0</v>
      </c>
      <c r="DM393" s="65">
        <f>'Special Corporate+ RI+TPS'!DM8</f>
        <v>0</v>
      </c>
      <c r="DN393" s="65">
        <f>'Special Corporate+ RI+TPS'!DN8</f>
        <v>0</v>
      </c>
      <c r="DO393" s="65">
        <f>'Special Corporate+ RI+TPS'!DO8</f>
        <v>0</v>
      </c>
      <c r="DP393" s="65">
        <f>'Special Corporate+ RI+TPS'!DP8</f>
        <v>0</v>
      </c>
      <c r="DQ393" s="65">
        <f>'Special Corporate+ RI+TPS'!DQ8</f>
        <v>0</v>
      </c>
      <c r="DR393" s="65">
        <f>'Special Corporate+ RI+TPS'!DR8</f>
        <v>0</v>
      </c>
      <c r="DS393" s="65">
        <f>'Special Corporate+ RI+TPS'!DS8</f>
        <v>0</v>
      </c>
      <c r="DT393" s="65">
        <f>'Special Corporate+ RI+TPS'!DT8</f>
        <v>0</v>
      </c>
      <c r="DU393" s="65">
        <f>'Special Corporate+ RI+TPS'!DU8</f>
        <v>0</v>
      </c>
      <c r="DV393" s="65">
        <f>'Special Corporate+ RI+TPS'!DV8</f>
        <v>0</v>
      </c>
      <c r="DW393" s="65">
        <f>'Special Corporate+ RI+TPS'!DW8</f>
        <v>0</v>
      </c>
      <c r="DX393" s="65">
        <f>'Special Corporate+ RI+TPS'!DX8</f>
        <v>0</v>
      </c>
      <c r="DY393" s="65">
        <f>'Special Corporate+ RI+TPS'!DY8</f>
        <v>0</v>
      </c>
      <c r="DZ393" s="65">
        <f>'Special Corporate+ RI+TPS'!DZ8</f>
        <v>0</v>
      </c>
      <c r="EA393" s="65">
        <f>'Special Corporate+ RI+TPS'!EA8</f>
        <v>0</v>
      </c>
      <c r="EB393" s="68"/>
    </row>
    <row r="394" spans="1:132" x14ac:dyDescent="0.2">
      <c r="A394" s="152"/>
      <c r="B394" s="65" t="str">
        <f>'Special Corporate+ RI+TPS'!B9</f>
        <v>Commissionable</v>
      </c>
      <c r="C394" s="65">
        <f>'Special Corporate+ RI+TPS'!C9</f>
        <v>0</v>
      </c>
      <c r="D394" s="65" t="str">
        <f>'Special Corporate+ RI+TPS'!D9</f>
        <v>NO</v>
      </c>
      <c r="E394" s="65">
        <f>'Special Corporate+ RI+TPS'!E9</f>
        <v>0</v>
      </c>
      <c r="F394" s="65">
        <f>'Special Corporate+ RI+TPS'!F9</f>
        <v>0</v>
      </c>
      <c r="G394" s="65">
        <f>'Special Corporate+ RI+TPS'!G9</f>
        <v>0</v>
      </c>
      <c r="H394" s="65">
        <f>'Special Corporate+ RI+TPS'!H9</f>
        <v>0</v>
      </c>
      <c r="I394" s="65">
        <f>'Special Corporate+ RI+TPS'!I9</f>
        <v>0</v>
      </c>
      <c r="J394" s="65">
        <f>'Special Corporate+ RI+TPS'!J9</f>
        <v>0</v>
      </c>
      <c r="K394" s="65">
        <f>'Special Corporate+ RI+TPS'!K9</f>
        <v>0</v>
      </c>
      <c r="L394" s="65" t="str">
        <f>'Special Corporate+ RI+TPS'!L9</f>
        <v>NO</v>
      </c>
      <c r="M394" s="65">
        <f>'Special Corporate+ RI+TPS'!M9</f>
        <v>0</v>
      </c>
      <c r="N394" s="65">
        <f>'Special Corporate+ RI+TPS'!N9</f>
        <v>0</v>
      </c>
      <c r="O394" s="65">
        <f>'Special Corporate+ RI+TPS'!O9</f>
        <v>0</v>
      </c>
      <c r="P394" s="65">
        <f>'Special Corporate+ RI+TPS'!P9</f>
        <v>0</v>
      </c>
      <c r="Q394" s="65">
        <f>'Special Corporate+ RI+TPS'!Q9</f>
        <v>0</v>
      </c>
      <c r="R394" s="65">
        <f>'Special Corporate+ RI+TPS'!R9</f>
        <v>0</v>
      </c>
      <c r="S394" s="65">
        <f>'Special Corporate+ RI+TPS'!S9</f>
        <v>0</v>
      </c>
      <c r="T394" s="65" t="str">
        <f>'Special Corporate+ RI+TPS'!T9</f>
        <v>NO</v>
      </c>
      <c r="U394" s="65">
        <f>'Special Corporate+ RI+TPS'!U9</f>
        <v>0</v>
      </c>
      <c r="V394" s="65">
        <f>'Special Corporate+ RI+TPS'!V9</f>
        <v>0</v>
      </c>
      <c r="W394" s="65">
        <f>'Special Corporate+ RI+TPS'!W9</f>
        <v>0</v>
      </c>
      <c r="X394" s="65">
        <f>'Special Corporate+ RI+TPS'!X9</f>
        <v>0</v>
      </c>
      <c r="Y394" s="65">
        <f>'Special Corporate+ RI+TPS'!Y9</f>
        <v>0</v>
      </c>
      <c r="Z394" s="65">
        <f>'Special Corporate+ RI+TPS'!Z9</f>
        <v>0</v>
      </c>
      <c r="AA394" s="65">
        <f>'Special Corporate+ RI+TPS'!AA9</f>
        <v>0</v>
      </c>
      <c r="AB394" s="65" t="str">
        <f>'Special Corporate+ RI+TPS'!AB9</f>
        <v>NO</v>
      </c>
      <c r="AC394" s="65">
        <f>'Special Corporate+ RI+TPS'!AC9</f>
        <v>0</v>
      </c>
      <c r="AD394" s="65">
        <f>'Special Corporate+ RI+TPS'!AD9</f>
        <v>0</v>
      </c>
      <c r="AE394" s="65">
        <f>'Special Corporate+ RI+TPS'!AE9</f>
        <v>0</v>
      </c>
      <c r="AF394" s="65">
        <f>'Special Corporate+ RI+TPS'!AF9</f>
        <v>0</v>
      </c>
      <c r="AG394" s="65">
        <f>'Special Corporate+ RI+TPS'!AG9</f>
        <v>0</v>
      </c>
      <c r="AH394" s="65">
        <f>'Special Corporate+ RI+TPS'!AH9</f>
        <v>0</v>
      </c>
      <c r="AI394" s="65">
        <f>'Special Corporate+ RI+TPS'!AI9</f>
        <v>0</v>
      </c>
      <c r="AJ394" s="65" t="str">
        <f>'Special Corporate+ RI+TPS'!AJ9</f>
        <v>NO</v>
      </c>
      <c r="AK394" s="65">
        <f>'Special Corporate+ RI+TPS'!AK9</f>
        <v>0</v>
      </c>
      <c r="AL394" s="65">
        <f>'Special Corporate+ RI+TPS'!AL9</f>
        <v>0</v>
      </c>
      <c r="AM394" s="65">
        <f>'Special Corporate+ RI+TPS'!AM9</f>
        <v>0</v>
      </c>
      <c r="AN394" s="65">
        <f>'Special Corporate+ RI+TPS'!AN9</f>
        <v>0</v>
      </c>
      <c r="AO394" s="65">
        <f>'Special Corporate+ RI+TPS'!AO9</f>
        <v>0</v>
      </c>
      <c r="AP394" s="65">
        <f>'Special Corporate+ RI+TPS'!AP9</f>
        <v>0</v>
      </c>
      <c r="AQ394" s="65">
        <f>'Special Corporate+ RI+TPS'!AQ9</f>
        <v>0</v>
      </c>
      <c r="AR394" s="65" t="str">
        <f>'Special Corporate+ RI+TPS'!AR9</f>
        <v>NO</v>
      </c>
      <c r="AS394" s="65">
        <f>'Special Corporate+ RI+TPS'!AS9</f>
        <v>0</v>
      </c>
      <c r="AT394" s="65">
        <f>'Special Corporate+ RI+TPS'!AT9</f>
        <v>0</v>
      </c>
      <c r="AU394" s="65">
        <f>'Special Corporate+ RI+TPS'!AU9</f>
        <v>0</v>
      </c>
      <c r="AV394" s="65">
        <f>'Special Corporate+ RI+TPS'!AV9</f>
        <v>0</v>
      </c>
      <c r="AW394" s="65">
        <f>'Special Corporate+ RI+TPS'!AW9</f>
        <v>0</v>
      </c>
      <c r="AX394" s="65">
        <f>'Special Corporate+ RI+TPS'!AX9</f>
        <v>0</v>
      </c>
      <c r="AY394" s="65">
        <f>'Special Corporate+ RI+TPS'!AY9</f>
        <v>0</v>
      </c>
      <c r="AZ394" s="65" t="str">
        <f>'Special Corporate+ RI+TPS'!AZ9</f>
        <v>NO</v>
      </c>
      <c r="BA394" s="65">
        <f>'Special Corporate+ RI+TPS'!BA9</f>
        <v>0</v>
      </c>
      <c r="BB394" s="65">
        <f>'Special Corporate+ RI+TPS'!BB9</f>
        <v>0</v>
      </c>
      <c r="BC394" s="65">
        <f>'Special Corporate+ RI+TPS'!BC9</f>
        <v>0</v>
      </c>
      <c r="BD394" s="65">
        <f>'Special Corporate+ RI+TPS'!BD9</f>
        <v>0</v>
      </c>
      <c r="BE394" s="65">
        <f>'Special Corporate+ RI+TPS'!BE9</f>
        <v>0</v>
      </c>
      <c r="BF394" s="65">
        <f>'Special Corporate+ RI+TPS'!BF9</f>
        <v>0</v>
      </c>
      <c r="BG394" s="65">
        <f>'Special Corporate+ RI+TPS'!BG9</f>
        <v>0</v>
      </c>
      <c r="BH394" s="65" t="str">
        <f>'Special Corporate+ RI+TPS'!BH9</f>
        <v>NO</v>
      </c>
      <c r="BI394" s="65">
        <f>'Special Corporate+ RI+TPS'!BI9</f>
        <v>0</v>
      </c>
      <c r="BJ394" s="65">
        <f>'Special Corporate+ RI+TPS'!BJ9</f>
        <v>0</v>
      </c>
      <c r="BK394" s="65">
        <f>'Special Corporate+ RI+TPS'!BK9</f>
        <v>0</v>
      </c>
      <c r="BL394" s="65">
        <f>'Special Corporate+ RI+TPS'!BL9</f>
        <v>0</v>
      </c>
      <c r="BM394" s="65">
        <f>'Special Corporate+ RI+TPS'!BM9</f>
        <v>0</v>
      </c>
      <c r="BN394" s="65">
        <f>'Special Corporate+ RI+TPS'!BN9</f>
        <v>0</v>
      </c>
      <c r="BO394" s="65">
        <f>'Special Corporate+ RI+TPS'!BO9</f>
        <v>0</v>
      </c>
      <c r="BP394" s="65" t="str">
        <f>'Special Corporate+ RI+TPS'!BP9</f>
        <v>NO</v>
      </c>
      <c r="BQ394" s="65">
        <f>'Special Corporate+ RI+TPS'!BQ9</f>
        <v>0</v>
      </c>
      <c r="BR394" s="65">
        <f>'Special Corporate+ RI+TPS'!BR9</f>
        <v>0</v>
      </c>
      <c r="BS394" s="65">
        <f>'Special Corporate+ RI+TPS'!BS9</f>
        <v>0</v>
      </c>
      <c r="BT394" s="65">
        <f>'Special Corporate+ RI+TPS'!BT9</f>
        <v>0</v>
      </c>
      <c r="BU394" s="65">
        <f>'Special Corporate+ RI+TPS'!BU9</f>
        <v>0</v>
      </c>
      <c r="BV394" s="65">
        <f>'Special Corporate+ RI+TPS'!BV9</f>
        <v>0</v>
      </c>
      <c r="BW394" s="65">
        <f>'Special Corporate+ RI+TPS'!BW9</f>
        <v>0</v>
      </c>
      <c r="BX394" s="65" t="str">
        <f>'Special Corporate+ RI+TPS'!BX9</f>
        <v>NO</v>
      </c>
      <c r="BY394" s="65">
        <f>'Special Corporate+ RI+TPS'!BY9</f>
        <v>0</v>
      </c>
      <c r="BZ394" s="65">
        <f>'Special Corporate+ RI+TPS'!BZ9</f>
        <v>0</v>
      </c>
      <c r="CA394" s="65">
        <f>'Special Corporate+ RI+TPS'!CA9</f>
        <v>0</v>
      </c>
      <c r="CB394" s="65">
        <f>'Special Corporate+ RI+TPS'!CB9</f>
        <v>0</v>
      </c>
      <c r="CC394" s="65">
        <f>'Special Corporate+ RI+TPS'!CC9</f>
        <v>0</v>
      </c>
      <c r="CD394" s="65">
        <f>'Special Corporate+ RI+TPS'!CD9</f>
        <v>0</v>
      </c>
      <c r="CE394" s="65">
        <f>'Special Corporate+ RI+TPS'!CE9</f>
        <v>0</v>
      </c>
      <c r="CF394" s="65" t="str">
        <f>'Special Corporate+ RI+TPS'!CF9</f>
        <v>NO</v>
      </c>
      <c r="CG394" s="65">
        <f>'Special Corporate+ RI+TPS'!CG9</f>
        <v>0</v>
      </c>
      <c r="CH394" s="65">
        <f>'Special Corporate+ RI+TPS'!CH9</f>
        <v>0</v>
      </c>
      <c r="CI394" s="65">
        <f>'Special Corporate+ RI+TPS'!CI9</f>
        <v>0</v>
      </c>
      <c r="CJ394" s="65">
        <f>'Special Corporate+ RI+TPS'!CJ9</f>
        <v>0</v>
      </c>
      <c r="CK394" s="65">
        <f>'Special Corporate+ RI+TPS'!CK9</f>
        <v>0</v>
      </c>
      <c r="CL394" s="65">
        <f>'Special Corporate+ RI+TPS'!CL9</f>
        <v>0</v>
      </c>
      <c r="CM394" s="65">
        <f>'Special Corporate+ RI+TPS'!CM9</f>
        <v>0</v>
      </c>
      <c r="CN394" s="65" t="str">
        <f>'Special Corporate+ RI+TPS'!CN9</f>
        <v>NO</v>
      </c>
      <c r="CO394" s="65">
        <f>'Special Corporate+ RI+TPS'!CO9</f>
        <v>0</v>
      </c>
      <c r="CP394" s="65">
        <f>'Special Corporate+ RI+TPS'!CP9</f>
        <v>0</v>
      </c>
      <c r="CQ394" s="65">
        <f>'Special Corporate+ RI+TPS'!CQ9</f>
        <v>0</v>
      </c>
      <c r="CR394" s="65">
        <f>'Special Corporate+ RI+TPS'!CR9</f>
        <v>0</v>
      </c>
      <c r="CS394" s="65">
        <f>'Special Corporate+ RI+TPS'!CS9</f>
        <v>0</v>
      </c>
      <c r="CT394" s="65">
        <f>'Special Corporate+ RI+TPS'!CT9</f>
        <v>0</v>
      </c>
      <c r="CU394" s="65">
        <f>'Special Corporate+ RI+TPS'!CU9</f>
        <v>0</v>
      </c>
      <c r="CV394" s="65" t="str">
        <f>'Special Corporate+ RI+TPS'!CV9</f>
        <v>NO</v>
      </c>
      <c r="CW394" s="65">
        <f>'Special Corporate+ RI+TPS'!CW9</f>
        <v>0</v>
      </c>
      <c r="CX394" s="65">
        <f>'Special Corporate+ RI+TPS'!CX9</f>
        <v>0</v>
      </c>
      <c r="CY394" s="65">
        <f>'Special Corporate+ RI+TPS'!CY9</f>
        <v>0</v>
      </c>
      <c r="CZ394" s="65">
        <f>'Special Corporate+ RI+TPS'!CZ9</f>
        <v>0</v>
      </c>
      <c r="DA394" s="65">
        <f>'Special Corporate+ RI+TPS'!DA9</f>
        <v>0</v>
      </c>
      <c r="DB394" s="65">
        <f>'Special Corporate+ RI+TPS'!DB9</f>
        <v>0</v>
      </c>
      <c r="DC394" s="65">
        <f>'Special Corporate+ RI+TPS'!DC9</f>
        <v>0</v>
      </c>
      <c r="DD394" s="65" t="str">
        <f>'Special Corporate+ RI+TPS'!DD9</f>
        <v>NO</v>
      </c>
      <c r="DE394" s="65">
        <f>'Special Corporate+ RI+TPS'!DE9</f>
        <v>0</v>
      </c>
      <c r="DF394" s="65">
        <f>'Special Corporate+ RI+TPS'!DF9</f>
        <v>0</v>
      </c>
      <c r="DG394" s="65">
        <f>'Special Corporate+ RI+TPS'!DG9</f>
        <v>0</v>
      </c>
      <c r="DH394" s="65">
        <f>'Special Corporate+ RI+TPS'!DH9</f>
        <v>0</v>
      </c>
      <c r="DI394" s="65">
        <f>'Special Corporate+ RI+TPS'!DI9</f>
        <v>0</v>
      </c>
      <c r="DJ394" s="65">
        <f>'Special Corporate+ RI+TPS'!DJ9</f>
        <v>0</v>
      </c>
      <c r="DK394" s="65">
        <f>'Special Corporate+ RI+TPS'!DK9</f>
        <v>0</v>
      </c>
      <c r="DL394" s="65" t="str">
        <f>'Special Corporate+ RI+TPS'!DL9</f>
        <v>NO</v>
      </c>
      <c r="DM394" s="65">
        <f>'Special Corporate+ RI+TPS'!DM9</f>
        <v>0</v>
      </c>
      <c r="DN394" s="65">
        <f>'Special Corporate+ RI+TPS'!DN9</f>
        <v>0</v>
      </c>
      <c r="DO394" s="65">
        <f>'Special Corporate+ RI+TPS'!DO9</f>
        <v>0</v>
      </c>
      <c r="DP394" s="65">
        <f>'Special Corporate+ RI+TPS'!DP9</f>
        <v>0</v>
      </c>
      <c r="DQ394" s="65">
        <f>'Special Corporate+ RI+TPS'!DQ9</f>
        <v>0</v>
      </c>
      <c r="DR394" s="65">
        <f>'Special Corporate+ RI+TPS'!DR9</f>
        <v>0</v>
      </c>
      <c r="DS394" s="65">
        <f>'Special Corporate+ RI+TPS'!DS9</f>
        <v>0</v>
      </c>
      <c r="DT394" s="65" t="str">
        <f>'Special Corporate+ RI+TPS'!DT9</f>
        <v>NO</v>
      </c>
      <c r="DU394" s="65">
        <f>'Special Corporate+ RI+TPS'!DU9</f>
        <v>0</v>
      </c>
      <c r="DV394" s="65">
        <f>'Special Corporate+ RI+TPS'!DV9</f>
        <v>0</v>
      </c>
      <c r="DW394" s="65">
        <f>'Special Corporate+ RI+TPS'!DW9</f>
        <v>0</v>
      </c>
      <c r="DX394" s="65">
        <f>'Special Corporate+ RI+TPS'!DX9</f>
        <v>0</v>
      </c>
      <c r="DY394" s="65">
        <f>'Special Corporate+ RI+TPS'!DY9</f>
        <v>0</v>
      </c>
      <c r="DZ394" s="65">
        <f>'Special Corporate+ RI+TPS'!DZ9</f>
        <v>0</v>
      </c>
      <c r="EA394" s="65">
        <f>'Special Corporate+ RI+TPS'!EA9</f>
        <v>0</v>
      </c>
      <c r="EB394" s="68"/>
    </row>
    <row r="395" spans="1:132" x14ac:dyDescent="0.2">
      <c r="A395" s="152"/>
      <c r="B395" s="65" t="str">
        <f>'Special Corporate+ RI+TPS'!B10</f>
        <v>Website</v>
      </c>
      <c r="C395" s="65">
        <f>'Special Corporate+ RI+TPS'!C10</f>
        <v>0</v>
      </c>
      <c r="D395" s="65">
        <f>'Special Corporate+ RI+TPS'!D10</f>
        <v>0</v>
      </c>
      <c r="E395" s="65">
        <f>'Special Corporate+ RI+TPS'!E10</f>
        <v>0</v>
      </c>
      <c r="F395" s="65">
        <f>'Special Corporate+ RI+TPS'!F10</f>
        <v>0</v>
      </c>
      <c r="G395" s="65">
        <f>'Special Corporate+ RI+TPS'!G10</f>
        <v>0</v>
      </c>
      <c r="H395" s="65">
        <f>'Special Corporate+ RI+TPS'!H10</f>
        <v>0</v>
      </c>
      <c r="I395" s="65">
        <f>'Special Corporate+ RI+TPS'!I10</f>
        <v>0</v>
      </c>
      <c r="J395" s="65">
        <f>'Special Corporate+ RI+TPS'!J10</f>
        <v>0</v>
      </c>
      <c r="K395" s="65">
        <f>'Special Corporate+ RI+TPS'!K10</f>
        <v>0</v>
      </c>
      <c r="L395" s="65">
        <f>'Special Corporate+ RI+TPS'!L10</f>
        <v>0</v>
      </c>
      <c r="M395" s="65">
        <f>'Special Corporate+ RI+TPS'!M10</f>
        <v>0</v>
      </c>
      <c r="N395" s="65">
        <f>'Special Corporate+ RI+TPS'!N10</f>
        <v>0</v>
      </c>
      <c r="O395" s="65">
        <f>'Special Corporate+ RI+TPS'!O10</f>
        <v>0</v>
      </c>
      <c r="P395" s="65">
        <f>'Special Corporate+ RI+TPS'!P10</f>
        <v>0</v>
      </c>
      <c r="Q395" s="65">
        <f>'Special Corporate+ RI+TPS'!Q10</f>
        <v>0</v>
      </c>
      <c r="R395" s="65">
        <f>'Special Corporate+ RI+TPS'!R10</f>
        <v>0</v>
      </c>
      <c r="S395" s="65">
        <f>'Special Corporate+ RI+TPS'!S10</f>
        <v>0</v>
      </c>
      <c r="T395" s="65">
        <f>'Special Corporate+ RI+TPS'!T10</f>
        <v>0</v>
      </c>
      <c r="U395" s="65">
        <f>'Special Corporate+ RI+TPS'!U10</f>
        <v>0</v>
      </c>
      <c r="V395" s="65">
        <f>'Special Corporate+ RI+TPS'!V10</f>
        <v>0</v>
      </c>
      <c r="W395" s="65">
        <f>'Special Corporate+ RI+TPS'!W10</f>
        <v>0</v>
      </c>
      <c r="X395" s="65">
        <f>'Special Corporate+ RI+TPS'!X10</f>
        <v>0</v>
      </c>
      <c r="Y395" s="65">
        <f>'Special Corporate+ RI+TPS'!Y10</f>
        <v>0</v>
      </c>
      <c r="Z395" s="65">
        <f>'Special Corporate+ RI+TPS'!Z10</f>
        <v>0</v>
      </c>
      <c r="AA395" s="65">
        <f>'Special Corporate+ RI+TPS'!AA10</f>
        <v>0</v>
      </c>
      <c r="AB395" s="65">
        <f>'Special Corporate+ RI+TPS'!AB10</f>
        <v>0</v>
      </c>
      <c r="AC395" s="65">
        <f>'Special Corporate+ RI+TPS'!AC10</f>
        <v>0</v>
      </c>
      <c r="AD395" s="65">
        <f>'Special Corporate+ RI+TPS'!AD10</f>
        <v>0</v>
      </c>
      <c r="AE395" s="65">
        <f>'Special Corporate+ RI+TPS'!AE10</f>
        <v>0</v>
      </c>
      <c r="AF395" s="65">
        <f>'Special Corporate+ RI+TPS'!AF10</f>
        <v>0</v>
      </c>
      <c r="AG395" s="65">
        <f>'Special Corporate+ RI+TPS'!AG10</f>
        <v>0</v>
      </c>
      <c r="AH395" s="65">
        <f>'Special Corporate+ RI+TPS'!AH10</f>
        <v>0</v>
      </c>
      <c r="AI395" s="65">
        <f>'Special Corporate+ RI+TPS'!AI10</f>
        <v>0</v>
      </c>
      <c r="AJ395" s="65">
        <f>'Special Corporate+ RI+TPS'!AJ10</f>
        <v>0</v>
      </c>
      <c r="AK395" s="65">
        <f>'Special Corporate+ RI+TPS'!AK10</f>
        <v>0</v>
      </c>
      <c r="AL395" s="65">
        <f>'Special Corporate+ RI+TPS'!AL10</f>
        <v>0</v>
      </c>
      <c r="AM395" s="65">
        <f>'Special Corporate+ RI+TPS'!AM10</f>
        <v>0</v>
      </c>
      <c r="AN395" s="65">
        <f>'Special Corporate+ RI+TPS'!AN10</f>
        <v>0</v>
      </c>
      <c r="AO395" s="65">
        <f>'Special Corporate+ RI+TPS'!AO10</f>
        <v>0</v>
      </c>
      <c r="AP395" s="65">
        <f>'Special Corporate+ RI+TPS'!AP10</f>
        <v>0</v>
      </c>
      <c r="AQ395" s="65">
        <f>'Special Corporate+ RI+TPS'!AQ10</f>
        <v>0</v>
      </c>
      <c r="AR395" s="65">
        <f>'Special Corporate+ RI+TPS'!AR10</f>
        <v>0</v>
      </c>
      <c r="AS395" s="65">
        <f>'Special Corporate+ RI+TPS'!AS10</f>
        <v>0</v>
      </c>
      <c r="AT395" s="65">
        <f>'Special Corporate+ RI+TPS'!AT10</f>
        <v>0</v>
      </c>
      <c r="AU395" s="65">
        <f>'Special Corporate+ RI+TPS'!AU10</f>
        <v>0</v>
      </c>
      <c r="AV395" s="65">
        <f>'Special Corporate+ RI+TPS'!AV10</f>
        <v>0</v>
      </c>
      <c r="AW395" s="65">
        <f>'Special Corporate+ RI+TPS'!AW10</f>
        <v>0</v>
      </c>
      <c r="AX395" s="65">
        <f>'Special Corporate+ RI+TPS'!AX10</f>
        <v>0</v>
      </c>
      <c r="AY395" s="65">
        <f>'Special Corporate+ RI+TPS'!AY10</f>
        <v>0</v>
      </c>
      <c r="AZ395" s="65">
        <f>'Special Corporate+ RI+TPS'!AZ10</f>
        <v>0</v>
      </c>
      <c r="BA395" s="65">
        <f>'Special Corporate+ RI+TPS'!BA10</f>
        <v>0</v>
      </c>
      <c r="BB395" s="65">
        <f>'Special Corporate+ RI+TPS'!BB10</f>
        <v>0</v>
      </c>
      <c r="BC395" s="65">
        <f>'Special Corporate+ RI+TPS'!BC10</f>
        <v>0</v>
      </c>
      <c r="BD395" s="65">
        <f>'Special Corporate+ RI+TPS'!BD10</f>
        <v>0</v>
      </c>
      <c r="BE395" s="65">
        <f>'Special Corporate+ RI+TPS'!BE10</f>
        <v>0</v>
      </c>
      <c r="BF395" s="65">
        <f>'Special Corporate+ RI+TPS'!BF10</f>
        <v>0</v>
      </c>
      <c r="BG395" s="65">
        <f>'Special Corporate+ RI+TPS'!BG10</f>
        <v>0</v>
      </c>
      <c r="BH395" s="65">
        <f>'Special Corporate+ RI+TPS'!BH10</f>
        <v>0</v>
      </c>
      <c r="BI395" s="65">
        <f>'Special Corporate+ RI+TPS'!BI10</f>
        <v>0</v>
      </c>
      <c r="BJ395" s="65">
        <f>'Special Corporate+ RI+TPS'!BJ10</f>
        <v>0</v>
      </c>
      <c r="BK395" s="65">
        <f>'Special Corporate+ RI+TPS'!BK10</f>
        <v>0</v>
      </c>
      <c r="BL395" s="65">
        <f>'Special Corporate+ RI+TPS'!BL10</f>
        <v>0</v>
      </c>
      <c r="BM395" s="65">
        <f>'Special Corporate+ RI+TPS'!BM10</f>
        <v>0</v>
      </c>
      <c r="BN395" s="65">
        <f>'Special Corporate+ RI+TPS'!BN10</f>
        <v>0</v>
      </c>
      <c r="BO395" s="65">
        <f>'Special Corporate+ RI+TPS'!BO10</f>
        <v>0</v>
      </c>
      <c r="BP395" s="65">
        <f>'Special Corporate+ RI+TPS'!BP10</f>
        <v>0</v>
      </c>
      <c r="BQ395" s="65">
        <f>'Special Corporate+ RI+TPS'!BQ10</f>
        <v>0</v>
      </c>
      <c r="BR395" s="65">
        <f>'Special Corporate+ RI+TPS'!BR10</f>
        <v>0</v>
      </c>
      <c r="BS395" s="65">
        <f>'Special Corporate+ RI+TPS'!BS10</f>
        <v>0</v>
      </c>
      <c r="BT395" s="65">
        <f>'Special Corporate+ RI+TPS'!BT10</f>
        <v>0</v>
      </c>
      <c r="BU395" s="65">
        <f>'Special Corporate+ RI+TPS'!BU10</f>
        <v>0</v>
      </c>
      <c r="BV395" s="65">
        <f>'Special Corporate+ RI+TPS'!BV10</f>
        <v>0</v>
      </c>
      <c r="BW395" s="65">
        <f>'Special Corporate+ RI+TPS'!BW10</f>
        <v>0</v>
      </c>
      <c r="BX395" s="65">
        <f>'Special Corporate+ RI+TPS'!BX10</f>
        <v>0</v>
      </c>
      <c r="BY395" s="65">
        <f>'Special Corporate+ RI+TPS'!BY10</f>
        <v>0</v>
      </c>
      <c r="BZ395" s="65">
        <f>'Special Corporate+ RI+TPS'!BZ10</f>
        <v>0</v>
      </c>
      <c r="CA395" s="65">
        <f>'Special Corporate+ RI+TPS'!CA10</f>
        <v>0</v>
      </c>
      <c r="CB395" s="65">
        <f>'Special Corporate+ RI+TPS'!CB10</f>
        <v>0</v>
      </c>
      <c r="CC395" s="65">
        <f>'Special Corporate+ RI+TPS'!CC10</f>
        <v>0</v>
      </c>
      <c r="CD395" s="65">
        <f>'Special Corporate+ RI+TPS'!CD10</f>
        <v>0</v>
      </c>
      <c r="CE395" s="65">
        <f>'Special Corporate+ RI+TPS'!CE10</f>
        <v>0</v>
      </c>
      <c r="CF395" s="65">
        <f>'Special Corporate+ RI+TPS'!CF10</f>
        <v>0</v>
      </c>
      <c r="CG395" s="65">
        <f>'Special Corporate+ RI+TPS'!CG10</f>
        <v>0</v>
      </c>
      <c r="CH395" s="65">
        <f>'Special Corporate+ RI+TPS'!CH10</f>
        <v>0</v>
      </c>
      <c r="CI395" s="65">
        <f>'Special Corporate+ RI+TPS'!CI10</f>
        <v>0</v>
      </c>
      <c r="CJ395" s="65">
        <f>'Special Corporate+ RI+TPS'!CJ10</f>
        <v>0</v>
      </c>
      <c r="CK395" s="65">
        <f>'Special Corporate+ RI+TPS'!CK10</f>
        <v>0</v>
      </c>
      <c r="CL395" s="65">
        <f>'Special Corporate+ RI+TPS'!CL10</f>
        <v>0</v>
      </c>
      <c r="CM395" s="65">
        <f>'Special Corporate+ RI+TPS'!CM10</f>
        <v>0</v>
      </c>
      <c r="CN395" s="65">
        <f>'Special Corporate+ RI+TPS'!CN10</f>
        <v>0</v>
      </c>
      <c r="CO395" s="65">
        <f>'Special Corporate+ RI+TPS'!CO10</f>
        <v>0</v>
      </c>
      <c r="CP395" s="65">
        <f>'Special Corporate+ RI+TPS'!CP10</f>
        <v>0</v>
      </c>
      <c r="CQ395" s="65">
        <f>'Special Corporate+ RI+TPS'!CQ10</f>
        <v>0</v>
      </c>
      <c r="CR395" s="65">
        <f>'Special Corporate+ RI+TPS'!CR10</f>
        <v>0</v>
      </c>
      <c r="CS395" s="65">
        <f>'Special Corporate+ RI+TPS'!CS10</f>
        <v>0</v>
      </c>
      <c r="CT395" s="65">
        <f>'Special Corporate+ RI+TPS'!CT10</f>
        <v>0</v>
      </c>
      <c r="CU395" s="65">
        <f>'Special Corporate+ RI+TPS'!CU10</f>
        <v>0</v>
      </c>
      <c r="CV395" s="65">
        <f>'Special Corporate+ RI+TPS'!CV10</f>
        <v>0</v>
      </c>
      <c r="CW395" s="65">
        <f>'Special Corporate+ RI+TPS'!CW10</f>
        <v>0</v>
      </c>
      <c r="CX395" s="65">
        <f>'Special Corporate+ RI+TPS'!CX10</f>
        <v>0</v>
      </c>
      <c r="CY395" s="65">
        <f>'Special Corporate+ RI+TPS'!CY10</f>
        <v>0</v>
      </c>
      <c r="CZ395" s="65">
        <f>'Special Corporate+ RI+TPS'!CZ10</f>
        <v>0</v>
      </c>
      <c r="DA395" s="65">
        <f>'Special Corporate+ RI+TPS'!DA10</f>
        <v>0</v>
      </c>
      <c r="DB395" s="65">
        <f>'Special Corporate+ RI+TPS'!DB10</f>
        <v>0</v>
      </c>
      <c r="DC395" s="65">
        <f>'Special Corporate+ RI+TPS'!DC10</f>
        <v>0</v>
      </c>
      <c r="DD395" s="65">
        <f>'Special Corporate+ RI+TPS'!DD10</f>
        <v>0</v>
      </c>
      <c r="DE395" s="65">
        <f>'Special Corporate+ RI+TPS'!DE10</f>
        <v>0</v>
      </c>
      <c r="DF395" s="65">
        <f>'Special Corporate+ RI+TPS'!DF10</f>
        <v>0</v>
      </c>
      <c r="DG395" s="65">
        <f>'Special Corporate+ RI+TPS'!DG10</f>
        <v>0</v>
      </c>
      <c r="DH395" s="65">
        <f>'Special Corporate+ RI+TPS'!DH10</f>
        <v>0</v>
      </c>
      <c r="DI395" s="65">
        <f>'Special Corporate+ RI+TPS'!DI10</f>
        <v>0</v>
      </c>
      <c r="DJ395" s="65">
        <f>'Special Corporate+ RI+TPS'!DJ10</f>
        <v>0</v>
      </c>
      <c r="DK395" s="65">
        <f>'Special Corporate+ RI+TPS'!DK10</f>
        <v>0</v>
      </c>
      <c r="DL395" s="65">
        <f>'Special Corporate+ RI+TPS'!DL10</f>
        <v>0</v>
      </c>
      <c r="DM395" s="65">
        <f>'Special Corporate+ RI+TPS'!DM10</f>
        <v>0</v>
      </c>
      <c r="DN395" s="65">
        <f>'Special Corporate+ RI+TPS'!DN10</f>
        <v>0</v>
      </c>
      <c r="DO395" s="65">
        <f>'Special Corporate+ RI+TPS'!DO10</f>
        <v>0</v>
      </c>
      <c r="DP395" s="65">
        <f>'Special Corporate+ RI+TPS'!DP10</f>
        <v>0</v>
      </c>
      <c r="DQ395" s="65">
        <f>'Special Corporate+ RI+TPS'!DQ10</f>
        <v>0</v>
      </c>
      <c r="DR395" s="65">
        <f>'Special Corporate+ RI+TPS'!DR10</f>
        <v>0</v>
      </c>
      <c r="DS395" s="65">
        <f>'Special Corporate+ RI+TPS'!DS10</f>
        <v>0</v>
      </c>
      <c r="DT395" s="65">
        <f>'Special Corporate+ RI+TPS'!DT10</f>
        <v>0</v>
      </c>
      <c r="DU395" s="65">
        <f>'Special Corporate+ RI+TPS'!DU10</f>
        <v>0</v>
      </c>
      <c r="DV395" s="65">
        <f>'Special Corporate+ RI+TPS'!DV10</f>
        <v>0</v>
      </c>
      <c r="DW395" s="65">
        <f>'Special Corporate+ RI+TPS'!DW10</f>
        <v>0</v>
      </c>
      <c r="DX395" s="65">
        <f>'Special Corporate+ RI+TPS'!DX10</f>
        <v>0</v>
      </c>
      <c r="DY395" s="65">
        <f>'Special Corporate+ RI+TPS'!DY10</f>
        <v>0</v>
      </c>
      <c r="DZ395" s="65">
        <f>'Special Corporate+ RI+TPS'!DZ10</f>
        <v>0</v>
      </c>
      <c r="EA395" s="65">
        <f>'Special Corporate+ RI+TPS'!EA10</f>
        <v>0</v>
      </c>
      <c r="EB395" s="68"/>
    </row>
    <row r="396" spans="1:132" x14ac:dyDescent="0.2">
      <c r="A396" s="152"/>
      <c r="B396" s="65" t="str">
        <f>'Special Corporate+ RI+TPS'!B11</f>
        <v>Rate Seasons / Room pools</v>
      </c>
      <c r="C396" s="65">
        <f>'Special Corporate+ RI+TPS'!C11</f>
        <v>0</v>
      </c>
      <c r="D396" s="65" t="str">
        <f>'Special Corporate+ RI+TPS'!D11</f>
        <v>Season 1 "Default"</v>
      </c>
      <c r="E396" s="65">
        <f>'Special Corporate+ RI+TPS'!E11</f>
        <v>0</v>
      </c>
      <c r="F396" s="65">
        <f>'Special Corporate+ RI+TPS'!F11</f>
        <v>0</v>
      </c>
      <c r="G396" s="65">
        <f>'Special Corporate+ RI+TPS'!G11</f>
        <v>0</v>
      </c>
      <c r="H396" s="65" t="str">
        <f>'Special Corporate+ RI+TPS'!H11</f>
        <v>Alternate Season</v>
      </c>
      <c r="I396" s="65">
        <f>'Special Corporate+ RI+TPS'!I11</f>
        <v>0</v>
      </c>
      <c r="J396" s="65">
        <f>'Special Corporate+ RI+TPS'!J11</f>
        <v>0</v>
      </c>
      <c r="K396" s="65">
        <f>'Special Corporate+ RI+TPS'!K11</f>
        <v>0</v>
      </c>
      <c r="L396" s="65" t="str">
        <f>'Special Corporate+ RI+TPS'!L11</f>
        <v>Season 1 "Default"</v>
      </c>
      <c r="M396" s="65">
        <f>'Special Corporate+ RI+TPS'!M11</f>
        <v>0</v>
      </c>
      <c r="N396" s="65">
        <f>'Special Corporate+ RI+TPS'!N11</f>
        <v>0</v>
      </c>
      <c r="O396" s="65">
        <f>'Special Corporate+ RI+TPS'!O11</f>
        <v>0</v>
      </c>
      <c r="P396" s="65" t="str">
        <f>'Special Corporate+ RI+TPS'!P11</f>
        <v>Alternate Season</v>
      </c>
      <c r="Q396" s="65">
        <f>'Special Corporate+ RI+TPS'!Q11</f>
        <v>0</v>
      </c>
      <c r="R396" s="65">
        <f>'Special Corporate+ RI+TPS'!R11</f>
        <v>0</v>
      </c>
      <c r="S396" s="65">
        <f>'Special Corporate+ RI+TPS'!S11</f>
        <v>0</v>
      </c>
      <c r="T396" s="65" t="str">
        <f>'Special Corporate+ RI+TPS'!T11</f>
        <v>Season 1 "Default"</v>
      </c>
      <c r="U396" s="65">
        <f>'Special Corporate+ RI+TPS'!U11</f>
        <v>0</v>
      </c>
      <c r="V396" s="65">
        <f>'Special Corporate+ RI+TPS'!V11</f>
        <v>0</v>
      </c>
      <c r="W396" s="65">
        <f>'Special Corporate+ RI+TPS'!W11</f>
        <v>0</v>
      </c>
      <c r="X396" s="65" t="str">
        <f>'Special Corporate+ RI+TPS'!X11</f>
        <v>Alternate Season</v>
      </c>
      <c r="Y396" s="65">
        <f>'Special Corporate+ RI+TPS'!Y11</f>
        <v>0</v>
      </c>
      <c r="Z396" s="65">
        <f>'Special Corporate+ RI+TPS'!Z11</f>
        <v>0</v>
      </c>
      <c r="AA396" s="65">
        <f>'Special Corporate+ RI+TPS'!AA11</f>
        <v>0</v>
      </c>
      <c r="AB396" s="65" t="str">
        <f>'Special Corporate+ RI+TPS'!AB11</f>
        <v>Season 1 "Default"</v>
      </c>
      <c r="AC396" s="65">
        <f>'Special Corporate+ RI+TPS'!AC11</f>
        <v>0</v>
      </c>
      <c r="AD396" s="65">
        <f>'Special Corporate+ RI+TPS'!AD11</f>
        <v>0</v>
      </c>
      <c r="AE396" s="65">
        <f>'Special Corporate+ RI+TPS'!AE11</f>
        <v>0</v>
      </c>
      <c r="AF396" s="65" t="str">
        <f>'Special Corporate+ RI+TPS'!AF11</f>
        <v>Alternate Season</v>
      </c>
      <c r="AG396" s="65">
        <f>'Special Corporate+ RI+TPS'!AG11</f>
        <v>0</v>
      </c>
      <c r="AH396" s="65">
        <f>'Special Corporate+ RI+TPS'!AH11</f>
        <v>0</v>
      </c>
      <c r="AI396" s="65">
        <f>'Special Corporate+ RI+TPS'!AI11</f>
        <v>0</v>
      </c>
      <c r="AJ396" s="65" t="str">
        <f>'Special Corporate+ RI+TPS'!AJ11</f>
        <v>Season 1 "Default"</v>
      </c>
      <c r="AK396" s="65">
        <f>'Special Corporate+ RI+TPS'!AK11</f>
        <v>0</v>
      </c>
      <c r="AL396" s="65">
        <f>'Special Corporate+ RI+TPS'!AL11</f>
        <v>0</v>
      </c>
      <c r="AM396" s="65">
        <f>'Special Corporate+ RI+TPS'!AM11</f>
        <v>0</v>
      </c>
      <c r="AN396" s="65" t="str">
        <f>'Special Corporate+ RI+TPS'!AN11</f>
        <v>Alternate Season</v>
      </c>
      <c r="AO396" s="65">
        <f>'Special Corporate+ RI+TPS'!AO11</f>
        <v>0</v>
      </c>
      <c r="AP396" s="65">
        <f>'Special Corporate+ RI+TPS'!AP11</f>
        <v>0</v>
      </c>
      <c r="AQ396" s="65">
        <f>'Special Corporate+ RI+TPS'!AQ11</f>
        <v>0</v>
      </c>
      <c r="AR396" s="65" t="str">
        <f>'Special Corporate+ RI+TPS'!AR11</f>
        <v>Season 1 "Default"</v>
      </c>
      <c r="AS396" s="65">
        <f>'Special Corporate+ RI+TPS'!AS11</f>
        <v>0</v>
      </c>
      <c r="AT396" s="65">
        <f>'Special Corporate+ RI+TPS'!AT11</f>
        <v>0</v>
      </c>
      <c r="AU396" s="65">
        <f>'Special Corporate+ RI+TPS'!AU11</f>
        <v>0</v>
      </c>
      <c r="AV396" s="65" t="str">
        <f>'Special Corporate+ RI+TPS'!AV11</f>
        <v>Alternate Season</v>
      </c>
      <c r="AW396" s="65">
        <f>'Special Corporate+ RI+TPS'!AW11</f>
        <v>0</v>
      </c>
      <c r="AX396" s="65">
        <f>'Special Corporate+ RI+TPS'!AX11</f>
        <v>0</v>
      </c>
      <c r="AY396" s="65">
        <f>'Special Corporate+ RI+TPS'!AY11</f>
        <v>0</v>
      </c>
      <c r="AZ396" s="65" t="str">
        <f>'Special Corporate+ RI+TPS'!AZ11</f>
        <v>Season 1 "Default"</v>
      </c>
      <c r="BA396" s="65">
        <f>'Special Corporate+ RI+TPS'!BA11</f>
        <v>0</v>
      </c>
      <c r="BB396" s="65">
        <f>'Special Corporate+ RI+TPS'!BB11</f>
        <v>0</v>
      </c>
      <c r="BC396" s="65">
        <f>'Special Corporate+ RI+TPS'!BC11</f>
        <v>0</v>
      </c>
      <c r="BD396" s="65" t="str">
        <f>'Special Corporate+ RI+TPS'!BD11</f>
        <v>Alternate Season</v>
      </c>
      <c r="BE396" s="65">
        <f>'Special Corporate+ RI+TPS'!BE11</f>
        <v>0</v>
      </c>
      <c r="BF396" s="65">
        <f>'Special Corporate+ RI+TPS'!BF11</f>
        <v>0</v>
      </c>
      <c r="BG396" s="65">
        <f>'Special Corporate+ RI+TPS'!BG11</f>
        <v>0</v>
      </c>
      <c r="BH396" s="65" t="str">
        <f>'Special Corporate+ RI+TPS'!BH11</f>
        <v>Season 1 "Default"</v>
      </c>
      <c r="BI396" s="65">
        <f>'Special Corporate+ RI+TPS'!BI11</f>
        <v>0</v>
      </c>
      <c r="BJ396" s="65">
        <f>'Special Corporate+ RI+TPS'!BJ11</f>
        <v>0</v>
      </c>
      <c r="BK396" s="65">
        <f>'Special Corporate+ RI+TPS'!BK11</f>
        <v>0</v>
      </c>
      <c r="BL396" s="65" t="str">
        <f>'Special Corporate+ RI+TPS'!BL11</f>
        <v>Alternate Season</v>
      </c>
      <c r="BM396" s="65">
        <f>'Special Corporate+ RI+TPS'!BM11</f>
        <v>0</v>
      </c>
      <c r="BN396" s="65">
        <f>'Special Corporate+ RI+TPS'!BN11</f>
        <v>0</v>
      </c>
      <c r="BO396" s="65">
        <f>'Special Corporate+ RI+TPS'!BO11</f>
        <v>0</v>
      </c>
      <c r="BP396" s="65" t="str">
        <f>'Special Corporate+ RI+TPS'!BP11</f>
        <v>Season 1 "Default"</v>
      </c>
      <c r="BQ396" s="65">
        <f>'Special Corporate+ RI+TPS'!BQ11</f>
        <v>0</v>
      </c>
      <c r="BR396" s="65">
        <f>'Special Corporate+ RI+TPS'!BR11</f>
        <v>0</v>
      </c>
      <c r="BS396" s="65">
        <f>'Special Corporate+ RI+TPS'!BS11</f>
        <v>0</v>
      </c>
      <c r="BT396" s="65" t="str">
        <f>'Special Corporate+ RI+TPS'!BT11</f>
        <v>Alternate Season</v>
      </c>
      <c r="BU396" s="65">
        <f>'Special Corporate+ RI+TPS'!BU11</f>
        <v>0</v>
      </c>
      <c r="BV396" s="65">
        <f>'Special Corporate+ RI+TPS'!BV11</f>
        <v>0</v>
      </c>
      <c r="BW396" s="65">
        <f>'Special Corporate+ RI+TPS'!BW11</f>
        <v>0</v>
      </c>
      <c r="BX396" s="65" t="str">
        <f>'Special Corporate+ RI+TPS'!BX11</f>
        <v>Season 1 "Default"</v>
      </c>
      <c r="BY396" s="65">
        <f>'Special Corporate+ RI+TPS'!BY11</f>
        <v>0</v>
      </c>
      <c r="BZ396" s="65">
        <f>'Special Corporate+ RI+TPS'!BZ11</f>
        <v>0</v>
      </c>
      <c r="CA396" s="65">
        <f>'Special Corporate+ RI+TPS'!CA11</f>
        <v>0</v>
      </c>
      <c r="CB396" s="65" t="str">
        <f>'Special Corporate+ RI+TPS'!CB11</f>
        <v>Alternate Season</v>
      </c>
      <c r="CC396" s="65">
        <f>'Special Corporate+ RI+TPS'!CC11</f>
        <v>0</v>
      </c>
      <c r="CD396" s="65">
        <f>'Special Corporate+ RI+TPS'!CD11</f>
        <v>0</v>
      </c>
      <c r="CE396" s="65">
        <f>'Special Corporate+ RI+TPS'!CE11</f>
        <v>0</v>
      </c>
      <c r="CF396" s="65" t="str">
        <f>'Special Corporate+ RI+TPS'!CF11</f>
        <v>Season 1 "Default"</v>
      </c>
      <c r="CG396" s="65">
        <f>'Special Corporate+ RI+TPS'!CG11</f>
        <v>0</v>
      </c>
      <c r="CH396" s="65">
        <f>'Special Corporate+ RI+TPS'!CH11</f>
        <v>0</v>
      </c>
      <c r="CI396" s="65">
        <f>'Special Corporate+ RI+TPS'!CI11</f>
        <v>0</v>
      </c>
      <c r="CJ396" s="65" t="str">
        <f>'Special Corporate+ RI+TPS'!CJ11</f>
        <v>Alternate Season</v>
      </c>
      <c r="CK396" s="65">
        <f>'Special Corporate+ RI+TPS'!CK11</f>
        <v>0</v>
      </c>
      <c r="CL396" s="65">
        <f>'Special Corporate+ RI+TPS'!CL11</f>
        <v>0</v>
      </c>
      <c r="CM396" s="65">
        <f>'Special Corporate+ RI+TPS'!CM11</f>
        <v>0</v>
      </c>
      <c r="CN396" s="65" t="str">
        <f>'Special Corporate+ RI+TPS'!CN11</f>
        <v>Season 1 "Default"</v>
      </c>
      <c r="CO396" s="65">
        <f>'Special Corporate+ RI+TPS'!CO11</f>
        <v>0</v>
      </c>
      <c r="CP396" s="65">
        <f>'Special Corporate+ RI+TPS'!CP11</f>
        <v>0</v>
      </c>
      <c r="CQ396" s="65">
        <f>'Special Corporate+ RI+TPS'!CQ11</f>
        <v>0</v>
      </c>
      <c r="CR396" s="65" t="str">
        <f>'Special Corporate+ RI+TPS'!CR11</f>
        <v>Alternate Season</v>
      </c>
      <c r="CS396" s="65">
        <f>'Special Corporate+ RI+TPS'!CS11</f>
        <v>0</v>
      </c>
      <c r="CT396" s="65">
        <f>'Special Corporate+ RI+TPS'!CT11</f>
        <v>0</v>
      </c>
      <c r="CU396" s="65">
        <f>'Special Corporate+ RI+TPS'!CU11</f>
        <v>0</v>
      </c>
      <c r="CV396" s="65" t="str">
        <f>'Special Corporate+ RI+TPS'!CV11</f>
        <v>Season 1 "Default"</v>
      </c>
      <c r="CW396" s="65">
        <f>'Special Corporate+ RI+TPS'!CW11</f>
        <v>0</v>
      </c>
      <c r="CX396" s="65">
        <f>'Special Corporate+ RI+TPS'!CX11</f>
        <v>0</v>
      </c>
      <c r="CY396" s="65">
        <f>'Special Corporate+ RI+TPS'!CY11</f>
        <v>0</v>
      </c>
      <c r="CZ396" s="65" t="str">
        <f>'Special Corporate+ RI+TPS'!CZ11</f>
        <v>Alternate Season</v>
      </c>
      <c r="DA396" s="65">
        <f>'Special Corporate+ RI+TPS'!DA11</f>
        <v>0</v>
      </c>
      <c r="DB396" s="65">
        <f>'Special Corporate+ RI+TPS'!DB11</f>
        <v>0</v>
      </c>
      <c r="DC396" s="65">
        <f>'Special Corporate+ RI+TPS'!DC11</f>
        <v>0</v>
      </c>
      <c r="DD396" s="65" t="str">
        <f>'Special Corporate+ RI+TPS'!DD11</f>
        <v>Season 1 "Default"</v>
      </c>
      <c r="DE396" s="65">
        <f>'Special Corporate+ RI+TPS'!DE11</f>
        <v>0</v>
      </c>
      <c r="DF396" s="65">
        <f>'Special Corporate+ RI+TPS'!DF11</f>
        <v>0</v>
      </c>
      <c r="DG396" s="65">
        <f>'Special Corporate+ RI+TPS'!DG11</f>
        <v>0</v>
      </c>
      <c r="DH396" s="65" t="str">
        <f>'Special Corporate+ RI+TPS'!DH11</f>
        <v>Alternate Season</v>
      </c>
      <c r="DI396" s="65">
        <f>'Special Corporate+ RI+TPS'!DI11</f>
        <v>0</v>
      </c>
      <c r="DJ396" s="65">
        <f>'Special Corporate+ RI+TPS'!DJ11</f>
        <v>0</v>
      </c>
      <c r="DK396" s="65">
        <f>'Special Corporate+ RI+TPS'!DK11</f>
        <v>0</v>
      </c>
      <c r="DL396" s="65" t="str">
        <f>'Special Corporate+ RI+TPS'!DL11</f>
        <v>Season 1 "Default"</v>
      </c>
      <c r="DM396" s="65">
        <f>'Special Corporate+ RI+TPS'!DM11</f>
        <v>0</v>
      </c>
      <c r="DN396" s="65">
        <f>'Special Corporate+ RI+TPS'!DN11</f>
        <v>0</v>
      </c>
      <c r="DO396" s="65">
        <f>'Special Corporate+ RI+TPS'!DO11</f>
        <v>0</v>
      </c>
      <c r="DP396" s="65" t="str">
        <f>'Special Corporate+ RI+TPS'!DP11</f>
        <v>Alternate Season</v>
      </c>
      <c r="DQ396" s="65">
        <f>'Special Corporate+ RI+TPS'!DQ11</f>
        <v>0</v>
      </c>
      <c r="DR396" s="65">
        <f>'Special Corporate+ RI+TPS'!DR11</f>
        <v>0</v>
      </c>
      <c r="DS396" s="65">
        <f>'Special Corporate+ RI+TPS'!DS11</f>
        <v>0</v>
      </c>
      <c r="DT396" s="65" t="str">
        <f>'Special Corporate+ RI+TPS'!DT11</f>
        <v>Season 1 "Default"</v>
      </c>
      <c r="DU396" s="65">
        <f>'Special Corporate+ RI+TPS'!DU11</f>
        <v>0</v>
      </c>
      <c r="DV396" s="65">
        <f>'Special Corporate+ RI+TPS'!DV11</f>
        <v>0</v>
      </c>
      <c r="DW396" s="65">
        <f>'Special Corporate+ RI+TPS'!DW11</f>
        <v>0</v>
      </c>
      <c r="DX396" s="65" t="str">
        <f>'Special Corporate+ RI+TPS'!DX11</f>
        <v>Alternate Season</v>
      </c>
      <c r="DY396" s="65">
        <f>'Special Corporate+ RI+TPS'!DY11</f>
        <v>0</v>
      </c>
      <c r="DZ396" s="65">
        <f>'Special Corporate+ RI+TPS'!DZ11</f>
        <v>0</v>
      </c>
      <c r="EA396" s="65">
        <f>'Special Corporate+ RI+TPS'!EA11</f>
        <v>0</v>
      </c>
      <c r="EB396" s="68"/>
    </row>
    <row r="397" spans="1:132" x14ac:dyDescent="0.2">
      <c r="A397" s="152"/>
      <c r="B397" s="65">
        <f>'Special Corporate+ RI+TPS'!B12</f>
        <v>0</v>
      </c>
      <c r="C397" s="65">
        <f>'Special Corporate+ RI+TPS'!C12</f>
        <v>0</v>
      </c>
      <c r="D397" s="65" t="str">
        <f>'Special Corporate+ RI+TPS'!D12</f>
        <v>Tier 1</v>
      </c>
      <c r="E397" s="65" t="str">
        <f>'Special Corporate+ RI+TPS'!E12</f>
        <v>Tier 2</v>
      </c>
      <c r="F397" s="65" t="str">
        <f>'Special Corporate+ RI+TPS'!F12</f>
        <v>Tier 3</v>
      </c>
      <c r="G397" s="65" t="str">
        <f>'Special Corporate+ RI+TPS'!G12</f>
        <v>Tier 4</v>
      </c>
      <c r="H397" s="65" t="str">
        <f>'Special Corporate+ RI+TPS'!H12</f>
        <v>Tier 1</v>
      </c>
      <c r="I397" s="65" t="str">
        <f>'Special Corporate+ RI+TPS'!I12</f>
        <v>Tier 2</v>
      </c>
      <c r="J397" s="65" t="str">
        <f>'Special Corporate+ RI+TPS'!J12</f>
        <v>Tier 3</v>
      </c>
      <c r="K397" s="65" t="str">
        <f>'Special Corporate+ RI+TPS'!K12</f>
        <v>Tier 4</v>
      </c>
      <c r="L397" s="65" t="str">
        <f>'Special Corporate+ RI+TPS'!L12</f>
        <v>Tier 1</v>
      </c>
      <c r="M397" s="65" t="str">
        <f>'Special Corporate+ RI+TPS'!M12</f>
        <v>Tier 2</v>
      </c>
      <c r="N397" s="65" t="str">
        <f>'Special Corporate+ RI+TPS'!N12</f>
        <v>Tier 3</v>
      </c>
      <c r="O397" s="65" t="str">
        <f>'Special Corporate+ RI+TPS'!O12</f>
        <v>Tier 4</v>
      </c>
      <c r="P397" s="65" t="str">
        <f>'Special Corporate+ RI+TPS'!P12</f>
        <v>Tier 1</v>
      </c>
      <c r="Q397" s="65" t="str">
        <f>'Special Corporate+ RI+TPS'!Q12</f>
        <v>Tier 2</v>
      </c>
      <c r="R397" s="65" t="str">
        <f>'Special Corporate+ RI+TPS'!R12</f>
        <v>Tier 3</v>
      </c>
      <c r="S397" s="65" t="str">
        <f>'Special Corporate+ RI+TPS'!S12</f>
        <v>Tier 4</v>
      </c>
      <c r="T397" s="65" t="str">
        <f>'Special Corporate+ RI+TPS'!T12</f>
        <v>Tier 1</v>
      </c>
      <c r="U397" s="65" t="str">
        <f>'Special Corporate+ RI+TPS'!U12</f>
        <v>Tier 2</v>
      </c>
      <c r="V397" s="65" t="str">
        <f>'Special Corporate+ RI+TPS'!V12</f>
        <v>Tier 3</v>
      </c>
      <c r="W397" s="65" t="str">
        <f>'Special Corporate+ RI+TPS'!W12</f>
        <v>Tier 4</v>
      </c>
      <c r="X397" s="65" t="str">
        <f>'Special Corporate+ RI+TPS'!X12</f>
        <v>Tier 1</v>
      </c>
      <c r="Y397" s="65" t="str">
        <f>'Special Corporate+ RI+TPS'!Y12</f>
        <v>Tier 2</v>
      </c>
      <c r="Z397" s="65" t="str">
        <f>'Special Corporate+ RI+TPS'!Z12</f>
        <v>Tier 3</v>
      </c>
      <c r="AA397" s="65" t="str">
        <f>'Special Corporate+ RI+TPS'!AA12</f>
        <v>Tier 4</v>
      </c>
      <c r="AB397" s="65" t="str">
        <f>'Special Corporate+ RI+TPS'!AB12</f>
        <v>Tier 1</v>
      </c>
      <c r="AC397" s="65" t="str">
        <f>'Special Corporate+ RI+TPS'!AC12</f>
        <v>Tier 2</v>
      </c>
      <c r="AD397" s="65" t="str">
        <f>'Special Corporate+ RI+TPS'!AD12</f>
        <v>Tier 3</v>
      </c>
      <c r="AE397" s="65" t="str">
        <f>'Special Corporate+ RI+TPS'!AE12</f>
        <v>Tier 4</v>
      </c>
      <c r="AF397" s="65" t="str">
        <f>'Special Corporate+ RI+TPS'!AF12</f>
        <v>Tier 1</v>
      </c>
      <c r="AG397" s="65" t="str">
        <f>'Special Corporate+ RI+TPS'!AG12</f>
        <v>Tier 2</v>
      </c>
      <c r="AH397" s="65" t="str">
        <f>'Special Corporate+ RI+TPS'!AH12</f>
        <v>Tier 3</v>
      </c>
      <c r="AI397" s="65" t="str">
        <f>'Special Corporate+ RI+TPS'!AI12</f>
        <v>Tier 4</v>
      </c>
      <c r="AJ397" s="65" t="str">
        <f>'Special Corporate+ RI+TPS'!AJ12</f>
        <v>Tier 1</v>
      </c>
      <c r="AK397" s="65" t="str">
        <f>'Special Corporate+ RI+TPS'!AK12</f>
        <v>Tier 2</v>
      </c>
      <c r="AL397" s="65" t="str">
        <f>'Special Corporate+ RI+TPS'!AL12</f>
        <v>Tier 3</v>
      </c>
      <c r="AM397" s="65" t="str">
        <f>'Special Corporate+ RI+TPS'!AM12</f>
        <v>Tier 4</v>
      </c>
      <c r="AN397" s="65" t="str">
        <f>'Special Corporate+ RI+TPS'!AN12</f>
        <v>Tier 1</v>
      </c>
      <c r="AO397" s="65" t="str">
        <f>'Special Corporate+ RI+TPS'!AO12</f>
        <v>Tier 2</v>
      </c>
      <c r="AP397" s="65" t="str">
        <f>'Special Corporate+ RI+TPS'!AP12</f>
        <v>Tier 3</v>
      </c>
      <c r="AQ397" s="65" t="str">
        <f>'Special Corporate+ RI+TPS'!AQ12</f>
        <v>Tier 4</v>
      </c>
      <c r="AR397" s="65" t="str">
        <f>'Special Corporate+ RI+TPS'!AR12</f>
        <v>Tier 1</v>
      </c>
      <c r="AS397" s="65" t="str">
        <f>'Special Corporate+ RI+TPS'!AS12</f>
        <v>Tier 2</v>
      </c>
      <c r="AT397" s="65" t="str">
        <f>'Special Corporate+ RI+TPS'!AT12</f>
        <v>Tier 3</v>
      </c>
      <c r="AU397" s="65" t="str">
        <f>'Special Corporate+ RI+TPS'!AU12</f>
        <v>Tier 4</v>
      </c>
      <c r="AV397" s="65" t="str">
        <f>'Special Corporate+ RI+TPS'!AV12</f>
        <v>Tier 1</v>
      </c>
      <c r="AW397" s="65" t="str">
        <f>'Special Corporate+ RI+TPS'!AW12</f>
        <v>Tier 2</v>
      </c>
      <c r="AX397" s="65" t="str">
        <f>'Special Corporate+ RI+TPS'!AX12</f>
        <v>Tier 3</v>
      </c>
      <c r="AY397" s="65" t="str">
        <f>'Special Corporate+ RI+TPS'!AY12</f>
        <v>Tier 4</v>
      </c>
      <c r="AZ397" s="65" t="str">
        <f>'Special Corporate+ RI+TPS'!AZ12</f>
        <v>Tier 1</v>
      </c>
      <c r="BA397" s="65" t="str">
        <f>'Special Corporate+ RI+TPS'!BA12</f>
        <v>Tier 2</v>
      </c>
      <c r="BB397" s="65" t="str">
        <f>'Special Corporate+ RI+TPS'!BB12</f>
        <v>Tier 3</v>
      </c>
      <c r="BC397" s="65" t="str">
        <f>'Special Corporate+ RI+TPS'!BC12</f>
        <v>Tier 4</v>
      </c>
      <c r="BD397" s="65" t="str">
        <f>'Special Corporate+ RI+TPS'!BD12</f>
        <v>Tier 1</v>
      </c>
      <c r="BE397" s="65" t="str">
        <f>'Special Corporate+ RI+TPS'!BE12</f>
        <v>Tier 2</v>
      </c>
      <c r="BF397" s="65" t="str">
        <f>'Special Corporate+ RI+TPS'!BF12</f>
        <v>Tier 3</v>
      </c>
      <c r="BG397" s="65" t="str">
        <f>'Special Corporate+ RI+TPS'!BG12</f>
        <v>Tier 4</v>
      </c>
      <c r="BH397" s="65" t="str">
        <f>'Special Corporate+ RI+TPS'!BH12</f>
        <v>Tier 1</v>
      </c>
      <c r="BI397" s="65" t="str">
        <f>'Special Corporate+ RI+TPS'!BI12</f>
        <v>Tier 2</v>
      </c>
      <c r="BJ397" s="65" t="str">
        <f>'Special Corporate+ RI+TPS'!BJ12</f>
        <v>Tier 3</v>
      </c>
      <c r="BK397" s="65" t="str">
        <f>'Special Corporate+ RI+TPS'!BK12</f>
        <v>Tier 4</v>
      </c>
      <c r="BL397" s="65" t="str">
        <f>'Special Corporate+ RI+TPS'!BL12</f>
        <v>Tier 1</v>
      </c>
      <c r="BM397" s="65" t="str">
        <f>'Special Corporate+ RI+TPS'!BM12</f>
        <v>Tier 2</v>
      </c>
      <c r="BN397" s="65" t="str">
        <f>'Special Corporate+ RI+TPS'!BN12</f>
        <v>Tier 3</v>
      </c>
      <c r="BO397" s="65" t="str">
        <f>'Special Corporate+ RI+TPS'!BO12</f>
        <v>Tier 4</v>
      </c>
      <c r="BP397" s="65" t="str">
        <f>'Special Corporate+ RI+TPS'!BP12</f>
        <v>Tier 1</v>
      </c>
      <c r="BQ397" s="65" t="str">
        <f>'Special Corporate+ RI+TPS'!BQ12</f>
        <v>Tier 2</v>
      </c>
      <c r="BR397" s="65" t="str">
        <f>'Special Corporate+ RI+TPS'!BR12</f>
        <v>Tier 3</v>
      </c>
      <c r="BS397" s="65" t="str">
        <f>'Special Corporate+ RI+TPS'!BS12</f>
        <v>Tier 4</v>
      </c>
      <c r="BT397" s="65" t="str">
        <f>'Special Corporate+ RI+TPS'!BT12</f>
        <v>Tier 1</v>
      </c>
      <c r="BU397" s="65" t="str">
        <f>'Special Corporate+ RI+TPS'!BU12</f>
        <v>Tier 2</v>
      </c>
      <c r="BV397" s="65" t="str">
        <f>'Special Corporate+ RI+TPS'!BV12</f>
        <v>Tier 3</v>
      </c>
      <c r="BW397" s="65" t="str">
        <f>'Special Corporate+ RI+TPS'!BW12</f>
        <v>Tier 4</v>
      </c>
      <c r="BX397" s="65" t="str">
        <f>'Special Corporate+ RI+TPS'!BX12</f>
        <v>Tier 1</v>
      </c>
      <c r="BY397" s="65" t="str">
        <f>'Special Corporate+ RI+TPS'!BY12</f>
        <v>Tier 2</v>
      </c>
      <c r="BZ397" s="65" t="str">
        <f>'Special Corporate+ RI+TPS'!BZ12</f>
        <v>Tier 3</v>
      </c>
      <c r="CA397" s="65" t="str">
        <f>'Special Corporate+ RI+TPS'!CA12</f>
        <v>Tier 4</v>
      </c>
      <c r="CB397" s="65" t="str">
        <f>'Special Corporate+ RI+TPS'!CB12</f>
        <v>Tier 1</v>
      </c>
      <c r="CC397" s="65" t="str">
        <f>'Special Corporate+ RI+TPS'!CC12</f>
        <v>Tier 2</v>
      </c>
      <c r="CD397" s="65" t="str">
        <f>'Special Corporate+ RI+TPS'!CD12</f>
        <v>Tier 3</v>
      </c>
      <c r="CE397" s="65" t="str">
        <f>'Special Corporate+ RI+TPS'!CE12</f>
        <v>Tier 4</v>
      </c>
      <c r="CF397" s="65" t="str">
        <f>'Special Corporate+ RI+TPS'!CF12</f>
        <v>Tier 1</v>
      </c>
      <c r="CG397" s="65" t="str">
        <f>'Special Corporate+ RI+TPS'!CG12</f>
        <v>Tier 2</v>
      </c>
      <c r="CH397" s="65" t="str">
        <f>'Special Corporate+ RI+TPS'!CH12</f>
        <v>Tier 3</v>
      </c>
      <c r="CI397" s="65" t="str">
        <f>'Special Corporate+ RI+TPS'!CI12</f>
        <v>Tier 4</v>
      </c>
      <c r="CJ397" s="65" t="str">
        <f>'Special Corporate+ RI+TPS'!CJ12</f>
        <v>Tier 1</v>
      </c>
      <c r="CK397" s="65" t="str">
        <f>'Special Corporate+ RI+TPS'!CK12</f>
        <v>Tier 2</v>
      </c>
      <c r="CL397" s="65" t="str">
        <f>'Special Corporate+ RI+TPS'!CL12</f>
        <v>Tier 3</v>
      </c>
      <c r="CM397" s="65" t="str">
        <f>'Special Corporate+ RI+TPS'!CM12</f>
        <v>Tier 4</v>
      </c>
      <c r="CN397" s="65" t="str">
        <f>'Special Corporate+ RI+TPS'!CN12</f>
        <v>Tier 1</v>
      </c>
      <c r="CO397" s="65" t="str">
        <f>'Special Corporate+ RI+TPS'!CO12</f>
        <v>Tier 2</v>
      </c>
      <c r="CP397" s="65" t="str">
        <f>'Special Corporate+ RI+TPS'!CP12</f>
        <v>Tier 3</v>
      </c>
      <c r="CQ397" s="65" t="str">
        <f>'Special Corporate+ RI+TPS'!CQ12</f>
        <v>Tier 4</v>
      </c>
      <c r="CR397" s="65" t="str">
        <f>'Special Corporate+ RI+TPS'!CR12</f>
        <v>Tier 1</v>
      </c>
      <c r="CS397" s="65" t="str">
        <f>'Special Corporate+ RI+TPS'!CS12</f>
        <v>Tier 2</v>
      </c>
      <c r="CT397" s="65" t="str">
        <f>'Special Corporate+ RI+TPS'!CT12</f>
        <v>Tier 3</v>
      </c>
      <c r="CU397" s="65" t="str">
        <f>'Special Corporate+ RI+TPS'!CU12</f>
        <v>Tier 4</v>
      </c>
      <c r="CV397" s="65" t="str">
        <f>'Special Corporate+ RI+TPS'!CV12</f>
        <v>Tier 1</v>
      </c>
      <c r="CW397" s="65" t="str">
        <f>'Special Corporate+ RI+TPS'!CW12</f>
        <v>Tier 2</v>
      </c>
      <c r="CX397" s="65" t="str">
        <f>'Special Corporate+ RI+TPS'!CX12</f>
        <v>Tier 3</v>
      </c>
      <c r="CY397" s="65" t="str">
        <f>'Special Corporate+ RI+TPS'!CY12</f>
        <v>Tier 4</v>
      </c>
      <c r="CZ397" s="65" t="str">
        <f>'Special Corporate+ RI+TPS'!CZ12</f>
        <v>Tier 1</v>
      </c>
      <c r="DA397" s="65" t="str">
        <f>'Special Corporate+ RI+TPS'!DA12</f>
        <v>Tier 2</v>
      </c>
      <c r="DB397" s="65" t="str">
        <f>'Special Corporate+ RI+TPS'!DB12</f>
        <v>Tier 3</v>
      </c>
      <c r="DC397" s="65" t="str">
        <f>'Special Corporate+ RI+TPS'!DC12</f>
        <v>Tier 4</v>
      </c>
      <c r="DD397" s="65" t="str">
        <f>'Special Corporate+ RI+TPS'!DD12</f>
        <v>Tier 1</v>
      </c>
      <c r="DE397" s="65" t="str">
        <f>'Special Corporate+ RI+TPS'!DE12</f>
        <v>Tier 2</v>
      </c>
      <c r="DF397" s="65" t="str">
        <f>'Special Corporate+ RI+TPS'!DF12</f>
        <v>Tier 3</v>
      </c>
      <c r="DG397" s="65" t="str">
        <f>'Special Corporate+ RI+TPS'!DG12</f>
        <v>Tier 4</v>
      </c>
      <c r="DH397" s="65" t="str">
        <f>'Special Corporate+ RI+TPS'!DH12</f>
        <v>Tier 1</v>
      </c>
      <c r="DI397" s="65" t="str">
        <f>'Special Corporate+ RI+TPS'!DI12</f>
        <v>Tier 2</v>
      </c>
      <c r="DJ397" s="65" t="str">
        <f>'Special Corporate+ RI+TPS'!DJ12</f>
        <v>Tier 3</v>
      </c>
      <c r="DK397" s="65" t="str">
        <f>'Special Corporate+ RI+TPS'!DK12</f>
        <v>Tier 4</v>
      </c>
      <c r="DL397" s="65" t="str">
        <f>'Special Corporate+ RI+TPS'!DL12</f>
        <v>Tier 1</v>
      </c>
      <c r="DM397" s="65" t="str">
        <f>'Special Corporate+ RI+TPS'!DM12</f>
        <v>Tier 2</v>
      </c>
      <c r="DN397" s="65" t="str">
        <f>'Special Corporate+ RI+TPS'!DN12</f>
        <v>Tier 3</v>
      </c>
      <c r="DO397" s="65" t="str">
        <f>'Special Corporate+ RI+TPS'!DO12</f>
        <v>Tier 4</v>
      </c>
      <c r="DP397" s="65" t="str">
        <f>'Special Corporate+ RI+TPS'!DP12</f>
        <v>Tier 1</v>
      </c>
      <c r="DQ397" s="65" t="str">
        <f>'Special Corporate+ RI+TPS'!DQ12</f>
        <v>Tier 2</v>
      </c>
      <c r="DR397" s="65" t="str">
        <f>'Special Corporate+ RI+TPS'!DR12</f>
        <v>Tier 3</v>
      </c>
      <c r="DS397" s="65" t="str">
        <f>'Special Corporate+ RI+TPS'!DS12</f>
        <v>Tier 4</v>
      </c>
      <c r="DT397" s="65" t="str">
        <f>'Special Corporate+ RI+TPS'!DT12</f>
        <v>Tier 1</v>
      </c>
      <c r="DU397" s="65" t="str">
        <f>'Special Corporate+ RI+TPS'!DU12</f>
        <v>Tier 2</v>
      </c>
      <c r="DV397" s="65" t="str">
        <f>'Special Corporate+ RI+TPS'!DV12</f>
        <v>Tier 3</v>
      </c>
      <c r="DW397" s="65" t="str">
        <f>'Special Corporate+ RI+TPS'!DW12</f>
        <v>Tier 4</v>
      </c>
      <c r="DX397" s="65" t="str">
        <f>'Special Corporate+ RI+TPS'!DX12</f>
        <v>Tier 1</v>
      </c>
      <c r="DY397" s="65" t="str">
        <f>'Special Corporate+ RI+TPS'!DY12</f>
        <v>Tier 2</v>
      </c>
      <c r="DZ397" s="65" t="str">
        <f>'Special Corporate+ RI+TPS'!DZ12</f>
        <v>Tier 3</v>
      </c>
      <c r="EA397" s="65" t="str">
        <f>'Special Corporate+ RI+TPS'!EA12</f>
        <v>Tier 4</v>
      </c>
      <c r="EB397" s="68"/>
    </row>
    <row r="398" spans="1:132" x14ac:dyDescent="0.2">
      <c r="A398" s="152"/>
      <c r="B398" s="65" t="str">
        <f>'Special Corporate+ RI+TPS'!B13</f>
        <v>KING</v>
      </c>
      <c r="C398" s="65">
        <f>'Special Corporate+ RI+TPS'!C13</f>
        <v>0</v>
      </c>
      <c r="D398" s="65">
        <f>'Special Corporate+ RI+TPS'!D13</f>
        <v>0</v>
      </c>
      <c r="E398" s="65">
        <f>'Special Corporate+ RI+TPS'!E13</f>
        <v>0</v>
      </c>
      <c r="F398" s="65">
        <f>'Special Corporate+ RI+TPS'!F13</f>
        <v>0</v>
      </c>
      <c r="G398" s="65">
        <f>'Special Corporate+ RI+TPS'!G13</f>
        <v>0</v>
      </c>
      <c r="H398" s="65">
        <f>'Special Corporate+ RI+TPS'!H13</f>
        <v>0</v>
      </c>
      <c r="I398" s="65">
        <f>'Special Corporate+ RI+TPS'!I13</f>
        <v>0</v>
      </c>
      <c r="J398" s="65">
        <f>'Special Corporate+ RI+TPS'!J13</f>
        <v>0</v>
      </c>
      <c r="K398" s="65">
        <f>'Special Corporate+ RI+TPS'!K13</f>
        <v>0</v>
      </c>
      <c r="L398" s="65">
        <f>'Special Corporate+ RI+TPS'!L13</f>
        <v>0</v>
      </c>
      <c r="M398" s="65">
        <f>'Special Corporate+ RI+TPS'!M13</f>
        <v>0</v>
      </c>
      <c r="N398" s="65">
        <f>'Special Corporate+ RI+TPS'!N13</f>
        <v>0</v>
      </c>
      <c r="O398" s="65">
        <f>'Special Corporate+ RI+TPS'!O13</f>
        <v>0</v>
      </c>
      <c r="P398" s="65">
        <f>'Special Corporate+ RI+TPS'!P13</f>
        <v>0</v>
      </c>
      <c r="Q398" s="65">
        <f>'Special Corporate+ RI+TPS'!Q13</f>
        <v>0</v>
      </c>
      <c r="R398" s="65">
        <f>'Special Corporate+ RI+TPS'!R13</f>
        <v>0</v>
      </c>
      <c r="S398" s="65">
        <f>'Special Corporate+ RI+TPS'!S13</f>
        <v>0</v>
      </c>
      <c r="T398" s="65">
        <f>'Special Corporate+ RI+TPS'!T13</f>
        <v>0</v>
      </c>
      <c r="U398" s="65">
        <f>'Special Corporate+ RI+TPS'!U13</f>
        <v>0</v>
      </c>
      <c r="V398" s="65">
        <f>'Special Corporate+ RI+TPS'!V13</f>
        <v>0</v>
      </c>
      <c r="W398" s="65">
        <f>'Special Corporate+ RI+TPS'!W13</f>
        <v>0</v>
      </c>
      <c r="X398" s="65">
        <f>'Special Corporate+ RI+TPS'!X13</f>
        <v>0</v>
      </c>
      <c r="Y398" s="65">
        <f>'Special Corporate+ RI+TPS'!Y13</f>
        <v>0</v>
      </c>
      <c r="Z398" s="65">
        <f>'Special Corporate+ RI+TPS'!Z13</f>
        <v>0</v>
      </c>
      <c r="AA398" s="65">
        <f>'Special Corporate+ RI+TPS'!AA13</f>
        <v>0</v>
      </c>
      <c r="AB398" s="65">
        <f>'Special Corporate+ RI+TPS'!AB13</f>
        <v>0</v>
      </c>
      <c r="AC398" s="65">
        <f>'Special Corporate+ RI+TPS'!AC13</f>
        <v>0</v>
      </c>
      <c r="AD398" s="65">
        <f>'Special Corporate+ RI+TPS'!AD13</f>
        <v>0</v>
      </c>
      <c r="AE398" s="65">
        <f>'Special Corporate+ RI+TPS'!AE13</f>
        <v>0</v>
      </c>
      <c r="AF398" s="65">
        <f>'Special Corporate+ RI+TPS'!AF13</f>
        <v>0</v>
      </c>
      <c r="AG398" s="65">
        <f>'Special Corporate+ RI+TPS'!AG13</f>
        <v>0</v>
      </c>
      <c r="AH398" s="65">
        <f>'Special Corporate+ RI+TPS'!AH13</f>
        <v>0</v>
      </c>
      <c r="AI398" s="65">
        <f>'Special Corporate+ RI+TPS'!AI13</f>
        <v>0</v>
      </c>
      <c r="AJ398" s="65">
        <f>'Special Corporate+ RI+TPS'!AJ13</f>
        <v>0</v>
      </c>
      <c r="AK398" s="65">
        <f>'Special Corporate+ RI+TPS'!AK13</f>
        <v>0</v>
      </c>
      <c r="AL398" s="65">
        <f>'Special Corporate+ RI+TPS'!AL13</f>
        <v>0</v>
      </c>
      <c r="AM398" s="65">
        <f>'Special Corporate+ RI+TPS'!AM13</f>
        <v>0</v>
      </c>
      <c r="AN398" s="65">
        <f>'Special Corporate+ RI+TPS'!AN13</f>
        <v>0</v>
      </c>
      <c r="AO398" s="65">
        <f>'Special Corporate+ RI+TPS'!AO13</f>
        <v>0</v>
      </c>
      <c r="AP398" s="65">
        <f>'Special Corporate+ RI+TPS'!AP13</f>
        <v>0</v>
      </c>
      <c r="AQ398" s="65">
        <f>'Special Corporate+ RI+TPS'!AQ13</f>
        <v>0</v>
      </c>
      <c r="AR398" s="65">
        <f>'Special Corporate+ RI+TPS'!AR13</f>
        <v>0</v>
      </c>
      <c r="AS398" s="65">
        <f>'Special Corporate+ RI+TPS'!AS13</f>
        <v>0</v>
      </c>
      <c r="AT398" s="65">
        <f>'Special Corporate+ RI+TPS'!AT13</f>
        <v>0</v>
      </c>
      <c r="AU398" s="65">
        <f>'Special Corporate+ RI+TPS'!AU13</f>
        <v>0</v>
      </c>
      <c r="AV398" s="65">
        <f>'Special Corporate+ RI+TPS'!AV13</f>
        <v>0</v>
      </c>
      <c r="AW398" s="65">
        <f>'Special Corporate+ RI+TPS'!AW13</f>
        <v>0</v>
      </c>
      <c r="AX398" s="65">
        <f>'Special Corporate+ RI+TPS'!AX13</f>
        <v>0</v>
      </c>
      <c r="AY398" s="65">
        <f>'Special Corporate+ RI+TPS'!AY13</f>
        <v>0</v>
      </c>
      <c r="AZ398" s="65">
        <f>'Special Corporate+ RI+TPS'!AZ13</f>
        <v>0</v>
      </c>
      <c r="BA398" s="65">
        <f>'Special Corporate+ RI+TPS'!BA13</f>
        <v>0</v>
      </c>
      <c r="BB398" s="65">
        <f>'Special Corporate+ RI+TPS'!BB13</f>
        <v>0</v>
      </c>
      <c r="BC398" s="65">
        <f>'Special Corporate+ RI+TPS'!BC13</f>
        <v>0</v>
      </c>
      <c r="BD398" s="65">
        <f>'Special Corporate+ RI+TPS'!BD13</f>
        <v>0</v>
      </c>
      <c r="BE398" s="65">
        <f>'Special Corporate+ RI+TPS'!BE13</f>
        <v>0</v>
      </c>
      <c r="BF398" s="65">
        <f>'Special Corporate+ RI+TPS'!BF13</f>
        <v>0</v>
      </c>
      <c r="BG398" s="65">
        <f>'Special Corporate+ RI+TPS'!BG13</f>
        <v>0</v>
      </c>
      <c r="BH398" s="65">
        <f>'Special Corporate+ RI+TPS'!BH13</f>
        <v>0</v>
      </c>
      <c r="BI398" s="65">
        <f>'Special Corporate+ RI+TPS'!BI13</f>
        <v>0</v>
      </c>
      <c r="BJ398" s="65">
        <f>'Special Corporate+ RI+TPS'!BJ13</f>
        <v>0</v>
      </c>
      <c r="BK398" s="65">
        <f>'Special Corporate+ RI+TPS'!BK13</f>
        <v>0</v>
      </c>
      <c r="BL398" s="65">
        <f>'Special Corporate+ RI+TPS'!BL13</f>
        <v>0</v>
      </c>
      <c r="BM398" s="65">
        <f>'Special Corporate+ RI+TPS'!BM13</f>
        <v>0</v>
      </c>
      <c r="BN398" s="65">
        <f>'Special Corporate+ RI+TPS'!BN13</f>
        <v>0</v>
      </c>
      <c r="BO398" s="65">
        <f>'Special Corporate+ RI+TPS'!BO13</f>
        <v>0</v>
      </c>
      <c r="BP398" s="65">
        <f>'Special Corporate+ RI+TPS'!BP13</f>
        <v>0</v>
      </c>
      <c r="BQ398" s="65">
        <f>'Special Corporate+ RI+TPS'!BQ13</f>
        <v>0</v>
      </c>
      <c r="BR398" s="65">
        <f>'Special Corporate+ RI+TPS'!BR13</f>
        <v>0</v>
      </c>
      <c r="BS398" s="65">
        <f>'Special Corporate+ RI+TPS'!BS13</f>
        <v>0</v>
      </c>
      <c r="BT398" s="65">
        <f>'Special Corporate+ RI+TPS'!BT13</f>
        <v>0</v>
      </c>
      <c r="BU398" s="65">
        <f>'Special Corporate+ RI+TPS'!BU13</f>
        <v>0</v>
      </c>
      <c r="BV398" s="65">
        <f>'Special Corporate+ RI+TPS'!BV13</f>
        <v>0</v>
      </c>
      <c r="BW398" s="65">
        <f>'Special Corporate+ RI+TPS'!BW13</f>
        <v>0</v>
      </c>
      <c r="BX398" s="65">
        <f>'Special Corporate+ RI+TPS'!BX13</f>
        <v>0</v>
      </c>
      <c r="BY398" s="65">
        <f>'Special Corporate+ RI+TPS'!BY13</f>
        <v>0</v>
      </c>
      <c r="BZ398" s="65">
        <f>'Special Corporate+ RI+TPS'!BZ13</f>
        <v>0</v>
      </c>
      <c r="CA398" s="65">
        <f>'Special Corporate+ RI+TPS'!CA13</f>
        <v>0</v>
      </c>
      <c r="CB398" s="65">
        <f>'Special Corporate+ RI+TPS'!CB13</f>
        <v>0</v>
      </c>
      <c r="CC398" s="65">
        <f>'Special Corporate+ RI+TPS'!CC13</f>
        <v>0</v>
      </c>
      <c r="CD398" s="65">
        <f>'Special Corporate+ RI+TPS'!CD13</f>
        <v>0</v>
      </c>
      <c r="CE398" s="65">
        <f>'Special Corporate+ RI+TPS'!CE13</f>
        <v>0</v>
      </c>
      <c r="CF398" s="65">
        <f>'Special Corporate+ RI+TPS'!CF13</f>
        <v>0</v>
      </c>
      <c r="CG398" s="65">
        <f>'Special Corporate+ RI+TPS'!CG13</f>
        <v>0</v>
      </c>
      <c r="CH398" s="65">
        <f>'Special Corporate+ RI+TPS'!CH13</f>
        <v>0</v>
      </c>
      <c r="CI398" s="65">
        <f>'Special Corporate+ RI+TPS'!CI13</f>
        <v>0</v>
      </c>
      <c r="CJ398" s="65">
        <f>'Special Corporate+ RI+TPS'!CJ13</f>
        <v>0</v>
      </c>
      <c r="CK398" s="65">
        <f>'Special Corporate+ RI+TPS'!CK13</f>
        <v>0</v>
      </c>
      <c r="CL398" s="65">
        <f>'Special Corporate+ RI+TPS'!CL13</f>
        <v>0</v>
      </c>
      <c r="CM398" s="65">
        <f>'Special Corporate+ RI+TPS'!CM13</f>
        <v>0</v>
      </c>
      <c r="CN398" s="65">
        <f>'Special Corporate+ RI+TPS'!CN13</f>
        <v>0</v>
      </c>
      <c r="CO398" s="65">
        <f>'Special Corporate+ RI+TPS'!CO13</f>
        <v>0</v>
      </c>
      <c r="CP398" s="65">
        <f>'Special Corporate+ RI+TPS'!CP13</f>
        <v>0</v>
      </c>
      <c r="CQ398" s="65">
        <f>'Special Corporate+ RI+TPS'!CQ13</f>
        <v>0</v>
      </c>
      <c r="CR398" s="65">
        <f>'Special Corporate+ RI+TPS'!CR13</f>
        <v>0</v>
      </c>
      <c r="CS398" s="65">
        <f>'Special Corporate+ RI+TPS'!CS13</f>
        <v>0</v>
      </c>
      <c r="CT398" s="65">
        <f>'Special Corporate+ RI+TPS'!CT13</f>
        <v>0</v>
      </c>
      <c r="CU398" s="65">
        <f>'Special Corporate+ RI+TPS'!CU13</f>
        <v>0</v>
      </c>
      <c r="CV398" s="65">
        <f>'Special Corporate+ RI+TPS'!CV13</f>
        <v>0</v>
      </c>
      <c r="CW398" s="65">
        <f>'Special Corporate+ RI+TPS'!CW13</f>
        <v>0</v>
      </c>
      <c r="CX398" s="65">
        <f>'Special Corporate+ RI+TPS'!CX13</f>
        <v>0</v>
      </c>
      <c r="CY398" s="65">
        <f>'Special Corporate+ RI+TPS'!CY13</f>
        <v>0</v>
      </c>
      <c r="CZ398" s="65">
        <f>'Special Corporate+ RI+TPS'!CZ13</f>
        <v>0</v>
      </c>
      <c r="DA398" s="65">
        <f>'Special Corporate+ RI+TPS'!DA13</f>
        <v>0</v>
      </c>
      <c r="DB398" s="65">
        <f>'Special Corporate+ RI+TPS'!DB13</f>
        <v>0</v>
      </c>
      <c r="DC398" s="65">
        <f>'Special Corporate+ RI+TPS'!DC13</f>
        <v>0</v>
      </c>
      <c r="DD398" s="65">
        <f>'Special Corporate+ RI+TPS'!DD13</f>
        <v>0</v>
      </c>
      <c r="DE398" s="65">
        <f>'Special Corporate+ RI+TPS'!DE13</f>
        <v>0</v>
      </c>
      <c r="DF398" s="65">
        <f>'Special Corporate+ RI+TPS'!DF13</f>
        <v>0</v>
      </c>
      <c r="DG398" s="65">
        <f>'Special Corporate+ RI+TPS'!DG13</f>
        <v>0</v>
      </c>
      <c r="DH398" s="65">
        <f>'Special Corporate+ RI+TPS'!DH13</f>
        <v>0</v>
      </c>
      <c r="DI398" s="65">
        <f>'Special Corporate+ RI+TPS'!DI13</f>
        <v>0</v>
      </c>
      <c r="DJ398" s="65">
        <f>'Special Corporate+ RI+TPS'!DJ13</f>
        <v>0</v>
      </c>
      <c r="DK398" s="65">
        <f>'Special Corporate+ RI+TPS'!DK13</f>
        <v>0</v>
      </c>
      <c r="DL398" s="65">
        <f>'Special Corporate+ RI+TPS'!DL13</f>
        <v>0</v>
      </c>
      <c r="DM398" s="65">
        <f>'Special Corporate+ RI+TPS'!DM13</f>
        <v>0</v>
      </c>
      <c r="DN398" s="65">
        <f>'Special Corporate+ RI+TPS'!DN13</f>
        <v>0</v>
      </c>
      <c r="DO398" s="65">
        <f>'Special Corporate+ RI+TPS'!DO13</f>
        <v>0</v>
      </c>
      <c r="DP398" s="65">
        <f>'Special Corporate+ RI+TPS'!DP13</f>
        <v>0</v>
      </c>
      <c r="DQ398" s="65">
        <f>'Special Corporate+ RI+TPS'!DQ13</f>
        <v>0</v>
      </c>
      <c r="DR398" s="65">
        <f>'Special Corporate+ RI+TPS'!DR13</f>
        <v>0</v>
      </c>
      <c r="DS398" s="65">
        <f>'Special Corporate+ RI+TPS'!DS13</f>
        <v>0</v>
      </c>
      <c r="DT398" s="65">
        <f>'Special Corporate+ RI+TPS'!DT13</f>
        <v>0</v>
      </c>
      <c r="DU398" s="65">
        <f>'Special Corporate+ RI+TPS'!DU13</f>
        <v>0</v>
      </c>
      <c r="DV398" s="65">
        <f>'Special Corporate+ RI+TPS'!DV13</f>
        <v>0</v>
      </c>
      <c r="DW398" s="65">
        <f>'Special Corporate+ RI+TPS'!DW13</f>
        <v>0</v>
      </c>
      <c r="DX398" s="65">
        <f>'Special Corporate+ RI+TPS'!DX13</f>
        <v>0</v>
      </c>
      <c r="DY398" s="65">
        <f>'Special Corporate+ RI+TPS'!DY13</f>
        <v>0</v>
      </c>
      <c r="DZ398" s="65">
        <f>'Special Corporate+ RI+TPS'!DZ13</f>
        <v>0</v>
      </c>
      <c r="EA398" s="65">
        <f>'Special Corporate+ RI+TPS'!EA13</f>
        <v>0</v>
      </c>
      <c r="EB398" s="68"/>
    </row>
    <row r="399" spans="1:132" x14ac:dyDescent="0.2">
      <c r="A399" s="152"/>
      <c r="B399" s="65" t="str">
        <f>'Special Corporate+ RI+TPS'!B14</f>
        <v>DBDB</v>
      </c>
      <c r="C399" s="65">
        <f>'Special Corporate+ RI+TPS'!C14</f>
        <v>0</v>
      </c>
      <c r="D399" s="65">
        <f>'Special Corporate+ RI+TPS'!D14</f>
        <v>0</v>
      </c>
      <c r="E399" s="65">
        <f>'Special Corporate+ RI+TPS'!E14</f>
        <v>0</v>
      </c>
      <c r="F399" s="65">
        <f>'Special Corporate+ RI+TPS'!F14</f>
        <v>0</v>
      </c>
      <c r="G399" s="65">
        <f>'Special Corporate+ RI+TPS'!G14</f>
        <v>0</v>
      </c>
      <c r="H399" s="65">
        <f>'Special Corporate+ RI+TPS'!H14</f>
        <v>0</v>
      </c>
      <c r="I399" s="65">
        <f>'Special Corporate+ RI+TPS'!I14</f>
        <v>0</v>
      </c>
      <c r="J399" s="65">
        <f>'Special Corporate+ RI+TPS'!J14</f>
        <v>0</v>
      </c>
      <c r="K399" s="65">
        <f>'Special Corporate+ RI+TPS'!K14</f>
        <v>0</v>
      </c>
      <c r="L399" s="65">
        <f>'Special Corporate+ RI+TPS'!L14</f>
        <v>0</v>
      </c>
      <c r="M399" s="65">
        <f>'Special Corporate+ RI+TPS'!M14</f>
        <v>0</v>
      </c>
      <c r="N399" s="65">
        <f>'Special Corporate+ RI+TPS'!N14</f>
        <v>0</v>
      </c>
      <c r="O399" s="65">
        <f>'Special Corporate+ RI+TPS'!O14</f>
        <v>0</v>
      </c>
      <c r="P399" s="65">
        <f>'Special Corporate+ RI+TPS'!P14</f>
        <v>0</v>
      </c>
      <c r="Q399" s="65">
        <f>'Special Corporate+ RI+TPS'!Q14</f>
        <v>0</v>
      </c>
      <c r="R399" s="65">
        <f>'Special Corporate+ RI+TPS'!R14</f>
        <v>0</v>
      </c>
      <c r="S399" s="65">
        <f>'Special Corporate+ RI+TPS'!S14</f>
        <v>0</v>
      </c>
      <c r="T399" s="65">
        <f>'Special Corporate+ RI+TPS'!T14</f>
        <v>0</v>
      </c>
      <c r="U399" s="65">
        <f>'Special Corporate+ RI+TPS'!U14</f>
        <v>0</v>
      </c>
      <c r="V399" s="65">
        <f>'Special Corporate+ RI+TPS'!V14</f>
        <v>0</v>
      </c>
      <c r="W399" s="65">
        <f>'Special Corporate+ RI+TPS'!W14</f>
        <v>0</v>
      </c>
      <c r="X399" s="65">
        <f>'Special Corporate+ RI+TPS'!X14</f>
        <v>0</v>
      </c>
      <c r="Y399" s="65">
        <f>'Special Corporate+ RI+TPS'!Y14</f>
        <v>0</v>
      </c>
      <c r="Z399" s="65">
        <f>'Special Corporate+ RI+TPS'!Z14</f>
        <v>0</v>
      </c>
      <c r="AA399" s="65">
        <f>'Special Corporate+ RI+TPS'!AA14</f>
        <v>0</v>
      </c>
      <c r="AB399" s="65">
        <f>'Special Corporate+ RI+TPS'!AB14</f>
        <v>0</v>
      </c>
      <c r="AC399" s="65">
        <f>'Special Corporate+ RI+TPS'!AC14</f>
        <v>0</v>
      </c>
      <c r="AD399" s="65">
        <f>'Special Corporate+ RI+TPS'!AD14</f>
        <v>0</v>
      </c>
      <c r="AE399" s="65">
        <f>'Special Corporate+ RI+TPS'!AE14</f>
        <v>0</v>
      </c>
      <c r="AF399" s="65">
        <f>'Special Corporate+ RI+TPS'!AF14</f>
        <v>0</v>
      </c>
      <c r="AG399" s="65">
        <f>'Special Corporate+ RI+TPS'!AG14</f>
        <v>0</v>
      </c>
      <c r="AH399" s="65">
        <f>'Special Corporate+ RI+TPS'!AH14</f>
        <v>0</v>
      </c>
      <c r="AI399" s="65">
        <f>'Special Corporate+ RI+TPS'!AI14</f>
        <v>0</v>
      </c>
      <c r="AJ399" s="65">
        <f>'Special Corporate+ RI+TPS'!AJ14</f>
        <v>0</v>
      </c>
      <c r="AK399" s="65">
        <f>'Special Corporate+ RI+TPS'!AK14</f>
        <v>0</v>
      </c>
      <c r="AL399" s="65">
        <f>'Special Corporate+ RI+TPS'!AL14</f>
        <v>0</v>
      </c>
      <c r="AM399" s="65">
        <f>'Special Corporate+ RI+TPS'!AM14</f>
        <v>0</v>
      </c>
      <c r="AN399" s="65">
        <f>'Special Corporate+ RI+TPS'!AN14</f>
        <v>0</v>
      </c>
      <c r="AO399" s="65">
        <f>'Special Corporate+ RI+TPS'!AO14</f>
        <v>0</v>
      </c>
      <c r="AP399" s="65">
        <f>'Special Corporate+ RI+TPS'!AP14</f>
        <v>0</v>
      </c>
      <c r="AQ399" s="65">
        <f>'Special Corporate+ RI+TPS'!AQ14</f>
        <v>0</v>
      </c>
      <c r="AR399" s="65">
        <f>'Special Corporate+ RI+TPS'!AR14</f>
        <v>0</v>
      </c>
      <c r="AS399" s="65">
        <f>'Special Corporate+ RI+TPS'!AS14</f>
        <v>0</v>
      </c>
      <c r="AT399" s="65">
        <f>'Special Corporate+ RI+TPS'!AT14</f>
        <v>0</v>
      </c>
      <c r="AU399" s="65">
        <f>'Special Corporate+ RI+TPS'!AU14</f>
        <v>0</v>
      </c>
      <c r="AV399" s="65">
        <f>'Special Corporate+ RI+TPS'!AV14</f>
        <v>0</v>
      </c>
      <c r="AW399" s="65">
        <f>'Special Corporate+ RI+TPS'!AW14</f>
        <v>0</v>
      </c>
      <c r="AX399" s="65">
        <f>'Special Corporate+ RI+TPS'!AX14</f>
        <v>0</v>
      </c>
      <c r="AY399" s="65">
        <f>'Special Corporate+ RI+TPS'!AY14</f>
        <v>0</v>
      </c>
      <c r="AZ399" s="65">
        <f>'Special Corporate+ RI+TPS'!AZ14</f>
        <v>0</v>
      </c>
      <c r="BA399" s="65">
        <f>'Special Corporate+ RI+TPS'!BA14</f>
        <v>0</v>
      </c>
      <c r="BB399" s="65">
        <f>'Special Corporate+ RI+TPS'!BB14</f>
        <v>0</v>
      </c>
      <c r="BC399" s="65">
        <f>'Special Corporate+ RI+TPS'!BC14</f>
        <v>0</v>
      </c>
      <c r="BD399" s="65">
        <f>'Special Corporate+ RI+TPS'!BD14</f>
        <v>0</v>
      </c>
      <c r="BE399" s="65">
        <f>'Special Corporate+ RI+TPS'!BE14</f>
        <v>0</v>
      </c>
      <c r="BF399" s="65">
        <f>'Special Corporate+ RI+TPS'!BF14</f>
        <v>0</v>
      </c>
      <c r="BG399" s="65">
        <f>'Special Corporate+ RI+TPS'!BG14</f>
        <v>0</v>
      </c>
      <c r="BH399" s="65">
        <f>'Special Corporate+ RI+TPS'!BH14</f>
        <v>0</v>
      </c>
      <c r="BI399" s="65">
        <f>'Special Corporate+ RI+TPS'!BI14</f>
        <v>0</v>
      </c>
      <c r="BJ399" s="65">
        <f>'Special Corporate+ RI+TPS'!BJ14</f>
        <v>0</v>
      </c>
      <c r="BK399" s="65">
        <f>'Special Corporate+ RI+TPS'!BK14</f>
        <v>0</v>
      </c>
      <c r="BL399" s="65">
        <f>'Special Corporate+ RI+TPS'!BL14</f>
        <v>0</v>
      </c>
      <c r="BM399" s="65">
        <f>'Special Corporate+ RI+TPS'!BM14</f>
        <v>0</v>
      </c>
      <c r="BN399" s="65">
        <f>'Special Corporate+ RI+TPS'!BN14</f>
        <v>0</v>
      </c>
      <c r="BO399" s="65">
        <f>'Special Corporate+ RI+TPS'!BO14</f>
        <v>0</v>
      </c>
      <c r="BP399" s="65">
        <f>'Special Corporate+ RI+TPS'!BP14</f>
        <v>0</v>
      </c>
      <c r="BQ399" s="65">
        <f>'Special Corporate+ RI+TPS'!BQ14</f>
        <v>0</v>
      </c>
      <c r="BR399" s="65">
        <f>'Special Corporate+ RI+TPS'!BR14</f>
        <v>0</v>
      </c>
      <c r="BS399" s="65">
        <f>'Special Corporate+ RI+TPS'!BS14</f>
        <v>0</v>
      </c>
      <c r="BT399" s="65">
        <f>'Special Corporate+ RI+TPS'!BT14</f>
        <v>0</v>
      </c>
      <c r="BU399" s="65">
        <f>'Special Corporate+ RI+TPS'!BU14</f>
        <v>0</v>
      </c>
      <c r="BV399" s="65">
        <f>'Special Corporate+ RI+TPS'!BV14</f>
        <v>0</v>
      </c>
      <c r="BW399" s="65">
        <f>'Special Corporate+ RI+TPS'!BW14</f>
        <v>0</v>
      </c>
      <c r="BX399" s="65">
        <f>'Special Corporate+ RI+TPS'!BX14</f>
        <v>0</v>
      </c>
      <c r="BY399" s="65">
        <f>'Special Corporate+ RI+TPS'!BY14</f>
        <v>0</v>
      </c>
      <c r="BZ399" s="65">
        <f>'Special Corporate+ RI+TPS'!BZ14</f>
        <v>0</v>
      </c>
      <c r="CA399" s="65">
        <f>'Special Corporate+ RI+TPS'!CA14</f>
        <v>0</v>
      </c>
      <c r="CB399" s="65">
        <f>'Special Corporate+ RI+TPS'!CB14</f>
        <v>0</v>
      </c>
      <c r="CC399" s="65">
        <f>'Special Corporate+ RI+TPS'!CC14</f>
        <v>0</v>
      </c>
      <c r="CD399" s="65">
        <f>'Special Corporate+ RI+TPS'!CD14</f>
        <v>0</v>
      </c>
      <c r="CE399" s="65">
        <f>'Special Corporate+ RI+TPS'!CE14</f>
        <v>0</v>
      </c>
      <c r="CF399" s="65">
        <f>'Special Corporate+ RI+TPS'!CF14</f>
        <v>0</v>
      </c>
      <c r="CG399" s="65">
        <f>'Special Corporate+ RI+TPS'!CG14</f>
        <v>0</v>
      </c>
      <c r="CH399" s="65">
        <f>'Special Corporate+ RI+TPS'!CH14</f>
        <v>0</v>
      </c>
      <c r="CI399" s="65">
        <f>'Special Corporate+ RI+TPS'!CI14</f>
        <v>0</v>
      </c>
      <c r="CJ399" s="65">
        <f>'Special Corporate+ RI+TPS'!CJ14</f>
        <v>0</v>
      </c>
      <c r="CK399" s="65">
        <f>'Special Corporate+ RI+TPS'!CK14</f>
        <v>0</v>
      </c>
      <c r="CL399" s="65">
        <f>'Special Corporate+ RI+TPS'!CL14</f>
        <v>0</v>
      </c>
      <c r="CM399" s="65">
        <f>'Special Corporate+ RI+TPS'!CM14</f>
        <v>0</v>
      </c>
      <c r="CN399" s="65">
        <f>'Special Corporate+ RI+TPS'!CN14</f>
        <v>0</v>
      </c>
      <c r="CO399" s="65">
        <f>'Special Corporate+ RI+TPS'!CO14</f>
        <v>0</v>
      </c>
      <c r="CP399" s="65">
        <f>'Special Corporate+ RI+TPS'!CP14</f>
        <v>0</v>
      </c>
      <c r="CQ399" s="65">
        <f>'Special Corporate+ RI+TPS'!CQ14</f>
        <v>0</v>
      </c>
      <c r="CR399" s="65">
        <f>'Special Corporate+ RI+TPS'!CR14</f>
        <v>0</v>
      </c>
      <c r="CS399" s="65">
        <f>'Special Corporate+ RI+TPS'!CS14</f>
        <v>0</v>
      </c>
      <c r="CT399" s="65">
        <f>'Special Corporate+ RI+TPS'!CT14</f>
        <v>0</v>
      </c>
      <c r="CU399" s="65">
        <f>'Special Corporate+ RI+TPS'!CU14</f>
        <v>0</v>
      </c>
      <c r="CV399" s="65">
        <f>'Special Corporate+ RI+TPS'!CV14</f>
        <v>0</v>
      </c>
      <c r="CW399" s="65">
        <f>'Special Corporate+ RI+TPS'!CW14</f>
        <v>0</v>
      </c>
      <c r="CX399" s="65">
        <f>'Special Corporate+ RI+TPS'!CX14</f>
        <v>0</v>
      </c>
      <c r="CY399" s="65">
        <f>'Special Corporate+ RI+TPS'!CY14</f>
        <v>0</v>
      </c>
      <c r="CZ399" s="65">
        <f>'Special Corporate+ RI+TPS'!CZ14</f>
        <v>0</v>
      </c>
      <c r="DA399" s="65">
        <f>'Special Corporate+ RI+TPS'!DA14</f>
        <v>0</v>
      </c>
      <c r="DB399" s="65">
        <f>'Special Corporate+ RI+TPS'!DB14</f>
        <v>0</v>
      </c>
      <c r="DC399" s="65">
        <f>'Special Corporate+ RI+TPS'!DC14</f>
        <v>0</v>
      </c>
      <c r="DD399" s="65">
        <f>'Special Corporate+ RI+TPS'!DD14</f>
        <v>0</v>
      </c>
      <c r="DE399" s="65">
        <f>'Special Corporate+ RI+TPS'!DE14</f>
        <v>0</v>
      </c>
      <c r="DF399" s="65">
        <f>'Special Corporate+ RI+TPS'!DF14</f>
        <v>0</v>
      </c>
      <c r="DG399" s="65">
        <f>'Special Corporate+ RI+TPS'!DG14</f>
        <v>0</v>
      </c>
      <c r="DH399" s="65">
        <f>'Special Corporate+ RI+TPS'!DH14</f>
        <v>0</v>
      </c>
      <c r="DI399" s="65">
        <f>'Special Corporate+ RI+TPS'!DI14</f>
        <v>0</v>
      </c>
      <c r="DJ399" s="65">
        <f>'Special Corporate+ RI+TPS'!DJ14</f>
        <v>0</v>
      </c>
      <c r="DK399" s="65">
        <f>'Special Corporate+ RI+TPS'!DK14</f>
        <v>0</v>
      </c>
      <c r="DL399" s="65">
        <f>'Special Corporate+ RI+TPS'!DL14</f>
        <v>0</v>
      </c>
      <c r="DM399" s="65">
        <f>'Special Corporate+ RI+TPS'!DM14</f>
        <v>0</v>
      </c>
      <c r="DN399" s="65">
        <f>'Special Corporate+ RI+TPS'!DN14</f>
        <v>0</v>
      </c>
      <c r="DO399" s="65">
        <f>'Special Corporate+ RI+TPS'!DO14</f>
        <v>0</v>
      </c>
      <c r="DP399" s="65">
        <f>'Special Corporate+ RI+TPS'!DP14</f>
        <v>0</v>
      </c>
      <c r="DQ399" s="65">
        <f>'Special Corporate+ RI+TPS'!DQ14</f>
        <v>0</v>
      </c>
      <c r="DR399" s="65">
        <f>'Special Corporate+ RI+TPS'!DR14</f>
        <v>0</v>
      </c>
      <c r="DS399" s="65">
        <f>'Special Corporate+ RI+TPS'!DS14</f>
        <v>0</v>
      </c>
      <c r="DT399" s="65">
        <f>'Special Corporate+ RI+TPS'!DT14</f>
        <v>0</v>
      </c>
      <c r="DU399" s="65">
        <f>'Special Corporate+ RI+TPS'!DU14</f>
        <v>0</v>
      </c>
      <c r="DV399" s="65">
        <f>'Special Corporate+ RI+TPS'!DV14</f>
        <v>0</v>
      </c>
      <c r="DW399" s="65">
        <f>'Special Corporate+ RI+TPS'!DW14</f>
        <v>0</v>
      </c>
      <c r="DX399" s="65">
        <f>'Special Corporate+ RI+TPS'!DX14</f>
        <v>0</v>
      </c>
      <c r="DY399" s="65">
        <f>'Special Corporate+ RI+TPS'!DY14</f>
        <v>0</v>
      </c>
      <c r="DZ399" s="65">
        <f>'Special Corporate+ RI+TPS'!DZ14</f>
        <v>0</v>
      </c>
      <c r="EA399" s="65">
        <f>'Special Corporate+ RI+TPS'!EA14</f>
        <v>0</v>
      </c>
      <c r="EB399" s="68"/>
    </row>
    <row r="400" spans="1:132" x14ac:dyDescent="0.2">
      <c r="A400" s="152"/>
      <c r="B400" s="65" t="str">
        <f>'Special Corporate+ RI+TPS'!B15</f>
        <v>PMRS</v>
      </c>
      <c r="C400" s="65">
        <f>'Special Corporate+ RI+TPS'!C15</f>
        <v>0</v>
      </c>
      <c r="D400" s="65">
        <f>'Special Corporate+ RI+TPS'!D15</f>
        <v>0</v>
      </c>
      <c r="E400" s="65">
        <f>'Special Corporate+ RI+TPS'!E15</f>
        <v>0</v>
      </c>
      <c r="F400" s="65">
        <f>'Special Corporate+ RI+TPS'!F15</f>
        <v>0</v>
      </c>
      <c r="G400" s="65">
        <f>'Special Corporate+ RI+TPS'!G15</f>
        <v>0</v>
      </c>
      <c r="H400" s="65">
        <f>'Special Corporate+ RI+TPS'!H15</f>
        <v>0</v>
      </c>
      <c r="I400" s="65">
        <f>'Special Corporate+ RI+TPS'!I15</f>
        <v>0</v>
      </c>
      <c r="J400" s="65">
        <f>'Special Corporate+ RI+TPS'!J15</f>
        <v>0</v>
      </c>
      <c r="K400" s="65">
        <f>'Special Corporate+ RI+TPS'!K15</f>
        <v>0</v>
      </c>
      <c r="L400" s="65">
        <f>'Special Corporate+ RI+TPS'!L15</f>
        <v>0</v>
      </c>
      <c r="M400" s="65">
        <f>'Special Corporate+ RI+TPS'!M15</f>
        <v>0</v>
      </c>
      <c r="N400" s="65">
        <f>'Special Corporate+ RI+TPS'!N15</f>
        <v>0</v>
      </c>
      <c r="O400" s="65">
        <f>'Special Corporate+ RI+TPS'!O15</f>
        <v>0</v>
      </c>
      <c r="P400" s="65">
        <f>'Special Corporate+ RI+TPS'!P15</f>
        <v>0</v>
      </c>
      <c r="Q400" s="65">
        <f>'Special Corporate+ RI+TPS'!Q15</f>
        <v>0</v>
      </c>
      <c r="R400" s="65">
        <f>'Special Corporate+ RI+TPS'!R15</f>
        <v>0</v>
      </c>
      <c r="S400" s="65">
        <f>'Special Corporate+ RI+TPS'!S15</f>
        <v>0</v>
      </c>
      <c r="T400" s="65">
        <f>'Special Corporate+ RI+TPS'!T15</f>
        <v>0</v>
      </c>
      <c r="U400" s="65">
        <f>'Special Corporate+ RI+TPS'!U15</f>
        <v>0</v>
      </c>
      <c r="V400" s="65">
        <f>'Special Corporate+ RI+TPS'!V15</f>
        <v>0</v>
      </c>
      <c r="W400" s="65">
        <f>'Special Corporate+ RI+TPS'!W15</f>
        <v>0</v>
      </c>
      <c r="X400" s="65">
        <f>'Special Corporate+ RI+TPS'!X15</f>
        <v>0</v>
      </c>
      <c r="Y400" s="65">
        <f>'Special Corporate+ RI+TPS'!Y15</f>
        <v>0</v>
      </c>
      <c r="Z400" s="65">
        <f>'Special Corporate+ RI+TPS'!Z15</f>
        <v>0</v>
      </c>
      <c r="AA400" s="65">
        <f>'Special Corporate+ RI+TPS'!AA15</f>
        <v>0</v>
      </c>
      <c r="AB400" s="65">
        <f>'Special Corporate+ RI+TPS'!AB15</f>
        <v>0</v>
      </c>
      <c r="AC400" s="65">
        <f>'Special Corporate+ RI+TPS'!AC15</f>
        <v>0</v>
      </c>
      <c r="AD400" s="65">
        <f>'Special Corporate+ RI+TPS'!AD15</f>
        <v>0</v>
      </c>
      <c r="AE400" s="65">
        <f>'Special Corporate+ RI+TPS'!AE15</f>
        <v>0</v>
      </c>
      <c r="AF400" s="65">
        <f>'Special Corporate+ RI+TPS'!AF15</f>
        <v>0</v>
      </c>
      <c r="AG400" s="65">
        <f>'Special Corporate+ RI+TPS'!AG15</f>
        <v>0</v>
      </c>
      <c r="AH400" s="65">
        <f>'Special Corporate+ RI+TPS'!AH15</f>
        <v>0</v>
      </c>
      <c r="AI400" s="65">
        <f>'Special Corporate+ RI+TPS'!AI15</f>
        <v>0</v>
      </c>
      <c r="AJ400" s="65">
        <f>'Special Corporate+ RI+TPS'!AJ15</f>
        <v>0</v>
      </c>
      <c r="AK400" s="65">
        <f>'Special Corporate+ RI+TPS'!AK15</f>
        <v>0</v>
      </c>
      <c r="AL400" s="65">
        <f>'Special Corporate+ RI+TPS'!AL15</f>
        <v>0</v>
      </c>
      <c r="AM400" s="65">
        <f>'Special Corporate+ RI+TPS'!AM15</f>
        <v>0</v>
      </c>
      <c r="AN400" s="65">
        <f>'Special Corporate+ RI+TPS'!AN15</f>
        <v>0</v>
      </c>
      <c r="AO400" s="65">
        <f>'Special Corporate+ RI+TPS'!AO15</f>
        <v>0</v>
      </c>
      <c r="AP400" s="65">
        <f>'Special Corporate+ RI+TPS'!AP15</f>
        <v>0</v>
      </c>
      <c r="AQ400" s="65">
        <f>'Special Corporate+ RI+TPS'!AQ15</f>
        <v>0</v>
      </c>
      <c r="AR400" s="65">
        <f>'Special Corporate+ RI+TPS'!AR15</f>
        <v>0</v>
      </c>
      <c r="AS400" s="65">
        <f>'Special Corporate+ RI+TPS'!AS15</f>
        <v>0</v>
      </c>
      <c r="AT400" s="65">
        <f>'Special Corporate+ RI+TPS'!AT15</f>
        <v>0</v>
      </c>
      <c r="AU400" s="65">
        <f>'Special Corporate+ RI+TPS'!AU15</f>
        <v>0</v>
      </c>
      <c r="AV400" s="65">
        <f>'Special Corporate+ RI+TPS'!AV15</f>
        <v>0</v>
      </c>
      <c r="AW400" s="65">
        <f>'Special Corporate+ RI+TPS'!AW15</f>
        <v>0</v>
      </c>
      <c r="AX400" s="65">
        <f>'Special Corporate+ RI+TPS'!AX15</f>
        <v>0</v>
      </c>
      <c r="AY400" s="65">
        <f>'Special Corporate+ RI+TPS'!AY15</f>
        <v>0</v>
      </c>
      <c r="AZ400" s="65">
        <f>'Special Corporate+ RI+TPS'!AZ15</f>
        <v>0</v>
      </c>
      <c r="BA400" s="65">
        <f>'Special Corporate+ RI+TPS'!BA15</f>
        <v>0</v>
      </c>
      <c r="BB400" s="65">
        <f>'Special Corporate+ RI+TPS'!BB15</f>
        <v>0</v>
      </c>
      <c r="BC400" s="65">
        <f>'Special Corporate+ RI+TPS'!BC15</f>
        <v>0</v>
      </c>
      <c r="BD400" s="65">
        <f>'Special Corporate+ RI+TPS'!BD15</f>
        <v>0</v>
      </c>
      <c r="BE400" s="65">
        <f>'Special Corporate+ RI+TPS'!BE15</f>
        <v>0</v>
      </c>
      <c r="BF400" s="65">
        <f>'Special Corporate+ RI+TPS'!BF15</f>
        <v>0</v>
      </c>
      <c r="BG400" s="65">
        <f>'Special Corporate+ RI+TPS'!BG15</f>
        <v>0</v>
      </c>
      <c r="BH400" s="65">
        <f>'Special Corporate+ RI+TPS'!BH15</f>
        <v>0</v>
      </c>
      <c r="BI400" s="65">
        <f>'Special Corporate+ RI+TPS'!BI15</f>
        <v>0</v>
      </c>
      <c r="BJ400" s="65">
        <f>'Special Corporate+ RI+TPS'!BJ15</f>
        <v>0</v>
      </c>
      <c r="BK400" s="65">
        <f>'Special Corporate+ RI+TPS'!BK15</f>
        <v>0</v>
      </c>
      <c r="BL400" s="65">
        <f>'Special Corporate+ RI+TPS'!BL15</f>
        <v>0</v>
      </c>
      <c r="BM400" s="65">
        <f>'Special Corporate+ RI+TPS'!BM15</f>
        <v>0</v>
      </c>
      <c r="BN400" s="65">
        <f>'Special Corporate+ RI+TPS'!BN15</f>
        <v>0</v>
      </c>
      <c r="BO400" s="65">
        <f>'Special Corporate+ RI+TPS'!BO15</f>
        <v>0</v>
      </c>
      <c r="BP400" s="65">
        <f>'Special Corporate+ RI+TPS'!BP15</f>
        <v>0</v>
      </c>
      <c r="BQ400" s="65">
        <f>'Special Corporate+ RI+TPS'!BQ15</f>
        <v>0</v>
      </c>
      <c r="BR400" s="65">
        <f>'Special Corporate+ RI+TPS'!BR15</f>
        <v>0</v>
      </c>
      <c r="BS400" s="65">
        <f>'Special Corporate+ RI+TPS'!BS15</f>
        <v>0</v>
      </c>
      <c r="BT400" s="65">
        <f>'Special Corporate+ RI+TPS'!BT15</f>
        <v>0</v>
      </c>
      <c r="BU400" s="65">
        <f>'Special Corporate+ RI+TPS'!BU15</f>
        <v>0</v>
      </c>
      <c r="BV400" s="65">
        <f>'Special Corporate+ RI+TPS'!BV15</f>
        <v>0</v>
      </c>
      <c r="BW400" s="65">
        <f>'Special Corporate+ RI+TPS'!BW15</f>
        <v>0</v>
      </c>
      <c r="BX400" s="65">
        <f>'Special Corporate+ RI+TPS'!BX15</f>
        <v>0</v>
      </c>
      <c r="BY400" s="65">
        <f>'Special Corporate+ RI+TPS'!BY15</f>
        <v>0</v>
      </c>
      <c r="BZ400" s="65">
        <f>'Special Corporate+ RI+TPS'!BZ15</f>
        <v>0</v>
      </c>
      <c r="CA400" s="65">
        <f>'Special Corporate+ RI+TPS'!CA15</f>
        <v>0</v>
      </c>
      <c r="CB400" s="65">
        <f>'Special Corporate+ RI+TPS'!CB15</f>
        <v>0</v>
      </c>
      <c r="CC400" s="65">
        <f>'Special Corporate+ RI+TPS'!CC15</f>
        <v>0</v>
      </c>
      <c r="CD400" s="65">
        <f>'Special Corporate+ RI+TPS'!CD15</f>
        <v>0</v>
      </c>
      <c r="CE400" s="65">
        <f>'Special Corporate+ RI+TPS'!CE15</f>
        <v>0</v>
      </c>
      <c r="CF400" s="65">
        <f>'Special Corporate+ RI+TPS'!CF15</f>
        <v>0</v>
      </c>
      <c r="CG400" s="65">
        <f>'Special Corporate+ RI+TPS'!CG15</f>
        <v>0</v>
      </c>
      <c r="CH400" s="65">
        <f>'Special Corporate+ RI+TPS'!CH15</f>
        <v>0</v>
      </c>
      <c r="CI400" s="65">
        <f>'Special Corporate+ RI+TPS'!CI15</f>
        <v>0</v>
      </c>
      <c r="CJ400" s="65">
        <f>'Special Corporate+ RI+TPS'!CJ15</f>
        <v>0</v>
      </c>
      <c r="CK400" s="65">
        <f>'Special Corporate+ RI+TPS'!CK15</f>
        <v>0</v>
      </c>
      <c r="CL400" s="65">
        <f>'Special Corporate+ RI+TPS'!CL15</f>
        <v>0</v>
      </c>
      <c r="CM400" s="65">
        <f>'Special Corporate+ RI+TPS'!CM15</f>
        <v>0</v>
      </c>
      <c r="CN400" s="65">
        <f>'Special Corporate+ RI+TPS'!CN15</f>
        <v>0</v>
      </c>
      <c r="CO400" s="65">
        <f>'Special Corporate+ RI+TPS'!CO15</f>
        <v>0</v>
      </c>
      <c r="CP400" s="65">
        <f>'Special Corporate+ RI+TPS'!CP15</f>
        <v>0</v>
      </c>
      <c r="CQ400" s="65">
        <f>'Special Corporate+ RI+TPS'!CQ15</f>
        <v>0</v>
      </c>
      <c r="CR400" s="65">
        <f>'Special Corporate+ RI+TPS'!CR15</f>
        <v>0</v>
      </c>
      <c r="CS400" s="65">
        <f>'Special Corporate+ RI+TPS'!CS15</f>
        <v>0</v>
      </c>
      <c r="CT400" s="65">
        <f>'Special Corporate+ RI+TPS'!CT15</f>
        <v>0</v>
      </c>
      <c r="CU400" s="65">
        <f>'Special Corporate+ RI+TPS'!CU15</f>
        <v>0</v>
      </c>
      <c r="CV400" s="65">
        <f>'Special Corporate+ RI+TPS'!CV15</f>
        <v>0</v>
      </c>
      <c r="CW400" s="65">
        <f>'Special Corporate+ RI+TPS'!CW15</f>
        <v>0</v>
      </c>
      <c r="CX400" s="65">
        <f>'Special Corporate+ RI+TPS'!CX15</f>
        <v>0</v>
      </c>
      <c r="CY400" s="65">
        <f>'Special Corporate+ RI+TPS'!CY15</f>
        <v>0</v>
      </c>
      <c r="CZ400" s="65">
        <f>'Special Corporate+ RI+TPS'!CZ15</f>
        <v>0</v>
      </c>
      <c r="DA400" s="65">
        <f>'Special Corporate+ RI+TPS'!DA15</f>
        <v>0</v>
      </c>
      <c r="DB400" s="65">
        <f>'Special Corporate+ RI+TPS'!DB15</f>
        <v>0</v>
      </c>
      <c r="DC400" s="65">
        <f>'Special Corporate+ RI+TPS'!DC15</f>
        <v>0</v>
      </c>
      <c r="DD400" s="65">
        <f>'Special Corporate+ RI+TPS'!DD15</f>
        <v>0</v>
      </c>
      <c r="DE400" s="65">
        <f>'Special Corporate+ RI+TPS'!DE15</f>
        <v>0</v>
      </c>
      <c r="DF400" s="65">
        <f>'Special Corporate+ RI+TPS'!DF15</f>
        <v>0</v>
      </c>
      <c r="DG400" s="65">
        <f>'Special Corporate+ RI+TPS'!DG15</f>
        <v>0</v>
      </c>
      <c r="DH400" s="65">
        <f>'Special Corporate+ RI+TPS'!DH15</f>
        <v>0</v>
      </c>
      <c r="DI400" s="65">
        <f>'Special Corporate+ RI+TPS'!DI15</f>
        <v>0</v>
      </c>
      <c r="DJ400" s="65">
        <f>'Special Corporate+ RI+TPS'!DJ15</f>
        <v>0</v>
      </c>
      <c r="DK400" s="65">
        <f>'Special Corporate+ RI+TPS'!DK15</f>
        <v>0</v>
      </c>
      <c r="DL400" s="65">
        <f>'Special Corporate+ RI+TPS'!DL15</f>
        <v>0</v>
      </c>
      <c r="DM400" s="65">
        <f>'Special Corporate+ RI+TPS'!DM15</f>
        <v>0</v>
      </c>
      <c r="DN400" s="65">
        <f>'Special Corporate+ RI+TPS'!DN15</f>
        <v>0</v>
      </c>
      <c r="DO400" s="65">
        <f>'Special Corporate+ RI+TPS'!DO15</f>
        <v>0</v>
      </c>
      <c r="DP400" s="65">
        <f>'Special Corporate+ RI+TPS'!DP15</f>
        <v>0</v>
      </c>
      <c r="DQ400" s="65">
        <f>'Special Corporate+ RI+TPS'!DQ15</f>
        <v>0</v>
      </c>
      <c r="DR400" s="65">
        <f>'Special Corporate+ RI+TPS'!DR15</f>
        <v>0</v>
      </c>
      <c r="DS400" s="65">
        <f>'Special Corporate+ RI+TPS'!DS15</f>
        <v>0</v>
      </c>
      <c r="DT400" s="65">
        <f>'Special Corporate+ RI+TPS'!DT15</f>
        <v>0</v>
      </c>
      <c r="DU400" s="65">
        <f>'Special Corporate+ RI+TPS'!DU15</f>
        <v>0</v>
      </c>
      <c r="DV400" s="65">
        <f>'Special Corporate+ RI+TPS'!DV15</f>
        <v>0</v>
      </c>
      <c r="DW400" s="65">
        <f>'Special Corporate+ RI+TPS'!DW15</f>
        <v>0</v>
      </c>
      <c r="DX400" s="65">
        <f>'Special Corporate+ RI+TPS'!DX15</f>
        <v>0</v>
      </c>
      <c r="DY400" s="65">
        <f>'Special Corporate+ RI+TPS'!DY15</f>
        <v>0</v>
      </c>
      <c r="DZ400" s="65">
        <f>'Special Corporate+ RI+TPS'!DZ15</f>
        <v>0</v>
      </c>
      <c r="EA400" s="65">
        <f>'Special Corporate+ RI+TPS'!EA15</f>
        <v>0</v>
      </c>
      <c r="EB400" s="68"/>
    </row>
    <row r="401" spans="1:132" x14ac:dyDescent="0.2">
      <c r="A401" s="152"/>
      <c r="B401" s="65" t="str">
        <f>'Special Corporate+ RI+TPS'!B16</f>
        <v>PMRS</v>
      </c>
      <c r="C401" s="65">
        <f>'Special Corporate+ RI+TPS'!C16</f>
        <v>0</v>
      </c>
      <c r="D401" s="65">
        <f>'Special Corporate+ RI+TPS'!D16</f>
        <v>0</v>
      </c>
      <c r="E401" s="65">
        <f>'Special Corporate+ RI+TPS'!E16</f>
        <v>0</v>
      </c>
      <c r="F401" s="65">
        <f>'Special Corporate+ RI+TPS'!F16</f>
        <v>0</v>
      </c>
      <c r="G401" s="65">
        <f>'Special Corporate+ RI+TPS'!G16</f>
        <v>0</v>
      </c>
      <c r="H401" s="65">
        <f>'Special Corporate+ RI+TPS'!H16</f>
        <v>0</v>
      </c>
      <c r="I401" s="65">
        <f>'Special Corporate+ RI+TPS'!I16</f>
        <v>0</v>
      </c>
      <c r="J401" s="65">
        <f>'Special Corporate+ RI+TPS'!J16</f>
        <v>0</v>
      </c>
      <c r="K401" s="65">
        <f>'Special Corporate+ RI+TPS'!K16</f>
        <v>0</v>
      </c>
      <c r="L401" s="65">
        <f>'Special Corporate+ RI+TPS'!L16</f>
        <v>0</v>
      </c>
      <c r="M401" s="65">
        <f>'Special Corporate+ RI+TPS'!M16</f>
        <v>0</v>
      </c>
      <c r="N401" s="65">
        <f>'Special Corporate+ RI+TPS'!N16</f>
        <v>0</v>
      </c>
      <c r="O401" s="65">
        <f>'Special Corporate+ RI+TPS'!O16</f>
        <v>0</v>
      </c>
      <c r="P401" s="65">
        <f>'Special Corporate+ RI+TPS'!P16</f>
        <v>0</v>
      </c>
      <c r="Q401" s="65">
        <f>'Special Corporate+ RI+TPS'!Q16</f>
        <v>0</v>
      </c>
      <c r="R401" s="65">
        <f>'Special Corporate+ RI+TPS'!R16</f>
        <v>0</v>
      </c>
      <c r="S401" s="65">
        <f>'Special Corporate+ RI+TPS'!S16</f>
        <v>0</v>
      </c>
      <c r="T401" s="65">
        <f>'Special Corporate+ RI+TPS'!T16</f>
        <v>0</v>
      </c>
      <c r="U401" s="65">
        <f>'Special Corporate+ RI+TPS'!U16</f>
        <v>0</v>
      </c>
      <c r="V401" s="65">
        <f>'Special Corporate+ RI+TPS'!V16</f>
        <v>0</v>
      </c>
      <c r="W401" s="65">
        <f>'Special Corporate+ RI+TPS'!W16</f>
        <v>0</v>
      </c>
      <c r="X401" s="65">
        <f>'Special Corporate+ RI+TPS'!X16</f>
        <v>0</v>
      </c>
      <c r="Y401" s="65">
        <f>'Special Corporate+ RI+TPS'!Y16</f>
        <v>0</v>
      </c>
      <c r="Z401" s="65">
        <f>'Special Corporate+ RI+TPS'!Z16</f>
        <v>0</v>
      </c>
      <c r="AA401" s="65">
        <f>'Special Corporate+ RI+TPS'!AA16</f>
        <v>0</v>
      </c>
      <c r="AB401" s="65">
        <f>'Special Corporate+ RI+TPS'!AB16</f>
        <v>0</v>
      </c>
      <c r="AC401" s="65">
        <f>'Special Corporate+ RI+TPS'!AC16</f>
        <v>0</v>
      </c>
      <c r="AD401" s="65">
        <f>'Special Corporate+ RI+TPS'!AD16</f>
        <v>0</v>
      </c>
      <c r="AE401" s="65">
        <f>'Special Corporate+ RI+TPS'!AE16</f>
        <v>0</v>
      </c>
      <c r="AF401" s="65">
        <f>'Special Corporate+ RI+TPS'!AF16</f>
        <v>0</v>
      </c>
      <c r="AG401" s="65">
        <f>'Special Corporate+ RI+TPS'!AG16</f>
        <v>0</v>
      </c>
      <c r="AH401" s="65">
        <f>'Special Corporate+ RI+TPS'!AH16</f>
        <v>0</v>
      </c>
      <c r="AI401" s="65">
        <f>'Special Corporate+ RI+TPS'!AI16</f>
        <v>0</v>
      </c>
      <c r="AJ401" s="65">
        <f>'Special Corporate+ RI+TPS'!AJ16</f>
        <v>0</v>
      </c>
      <c r="AK401" s="65">
        <f>'Special Corporate+ RI+TPS'!AK16</f>
        <v>0</v>
      </c>
      <c r="AL401" s="65">
        <f>'Special Corporate+ RI+TPS'!AL16</f>
        <v>0</v>
      </c>
      <c r="AM401" s="65">
        <f>'Special Corporate+ RI+TPS'!AM16</f>
        <v>0</v>
      </c>
      <c r="AN401" s="65">
        <f>'Special Corporate+ RI+TPS'!AN16</f>
        <v>0</v>
      </c>
      <c r="AO401" s="65">
        <f>'Special Corporate+ RI+TPS'!AO16</f>
        <v>0</v>
      </c>
      <c r="AP401" s="65">
        <f>'Special Corporate+ RI+TPS'!AP16</f>
        <v>0</v>
      </c>
      <c r="AQ401" s="65">
        <f>'Special Corporate+ RI+TPS'!AQ16</f>
        <v>0</v>
      </c>
      <c r="AR401" s="65">
        <f>'Special Corporate+ RI+TPS'!AR16</f>
        <v>0</v>
      </c>
      <c r="AS401" s="65">
        <f>'Special Corporate+ RI+TPS'!AS16</f>
        <v>0</v>
      </c>
      <c r="AT401" s="65">
        <f>'Special Corporate+ RI+TPS'!AT16</f>
        <v>0</v>
      </c>
      <c r="AU401" s="65">
        <f>'Special Corporate+ RI+TPS'!AU16</f>
        <v>0</v>
      </c>
      <c r="AV401" s="65">
        <f>'Special Corporate+ RI+TPS'!AV16</f>
        <v>0</v>
      </c>
      <c r="AW401" s="65">
        <f>'Special Corporate+ RI+TPS'!AW16</f>
        <v>0</v>
      </c>
      <c r="AX401" s="65">
        <f>'Special Corporate+ RI+TPS'!AX16</f>
        <v>0</v>
      </c>
      <c r="AY401" s="65">
        <f>'Special Corporate+ RI+TPS'!AY16</f>
        <v>0</v>
      </c>
      <c r="AZ401" s="65">
        <f>'Special Corporate+ RI+TPS'!AZ16</f>
        <v>0</v>
      </c>
      <c r="BA401" s="65">
        <f>'Special Corporate+ RI+TPS'!BA16</f>
        <v>0</v>
      </c>
      <c r="BB401" s="65">
        <f>'Special Corporate+ RI+TPS'!BB16</f>
        <v>0</v>
      </c>
      <c r="BC401" s="65">
        <f>'Special Corporate+ RI+TPS'!BC16</f>
        <v>0</v>
      </c>
      <c r="BD401" s="65">
        <f>'Special Corporate+ RI+TPS'!BD16</f>
        <v>0</v>
      </c>
      <c r="BE401" s="65">
        <f>'Special Corporate+ RI+TPS'!BE16</f>
        <v>0</v>
      </c>
      <c r="BF401" s="65">
        <f>'Special Corporate+ RI+TPS'!BF16</f>
        <v>0</v>
      </c>
      <c r="BG401" s="65">
        <f>'Special Corporate+ RI+TPS'!BG16</f>
        <v>0</v>
      </c>
      <c r="BH401" s="65">
        <f>'Special Corporate+ RI+TPS'!BH16</f>
        <v>0</v>
      </c>
      <c r="BI401" s="65">
        <f>'Special Corporate+ RI+TPS'!BI16</f>
        <v>0</v>
      </c>
      <c r="BJ401" s="65">
        <f>'Special Corporate+ RI+TPS'!BJ16</f>
        <v>0</v>
      </c>
      <c r="BK401" s="65">
        <f>'Special Corporate+ RI+TPS'!BK16</f>
        <v>0</v>
      </c>
      <c r="BL401" s="65">
        <f>'Special Corporate+ RI+TPS'!BL16</f>
        <v>0</v>
      </c>
      <c r="BM401" s="65">
        <f>'Special Corporate+ RI+TPS'!BM16</f>
        <v>0</v>
      </c>
      <c r="BN401" s="65">
        <f>'Special Corporate+ RI+TPS'!BN16</f>
        <v>0</v>
      </c>
      <c r="BO401" s="65">
        <f>'Special Corporate+ RI+TPS'!BO16</f>
        <v>0</v>
      </c>
      <c r="BP401" s="65">
        <f>'Special Corporate+ RI+TPS'!BP16</f>
        <v>0</v>
      </c>
      <c r="BQ401" s="65">
        <f>'Special Corporate+ RI+TPS'!BQ16</f>
        <v>0</v>
      </c>
      <c r="BR401" s="65">
        <f>'Special Corporate+ RI+TPS'!BR16</f>
        <v>0</v>
      </c>
      <c r="BS401" s="65">
        <f>'Special Corporate+ RI+TPS'!BS16</f>
        <v>0</v>
      </c>
      <c r="BT401" s="65">
        <f>'Special Corporate+ RI+TPS'!BT16</f>
        <v>0</v>
      </c>
      <c r="BU401" s="65">
        <f>'Special Corporate+ RI+TPS'!BU16</f>
        <v>0</v>
      </c>
      <c r="BV401" s="65">
        <f>'Special Corporate+ RI+TPS'!BV16</f>
        <v>0</v>
      </c>
      <c r="BW401" s="65">
        <f>'Special Corporate+ RI+TPS'!BW16</f>
        <v>0</v>
      </c>
      <c r="BX401" s="65">
        <f>'Special Corporate+ RI+TPS'!BX16</f>
        <v>0</v>
      </c>
      <c r="BY401" s="65">
        <f>'Special Corporate+ RI+TPS'!BY16</f>
        <v>0</v>
      </c>
      <c r="BZ401" s="65">
        <f>'Special Corporate+ RI+TPS'!BZ16</f>
        <v>0</v>
      </c>
      <c r="CA401" s="65">
        <f>'Special Corporate+ RI+TPS'!CA16</f>
        <v>0</v>
      </c>
      <c r="CB401" s="65">
        <f>'Special Corporate+ RI+TPS'!CB16</f>
        <v>0</v>
      </c>
      <c r="CC401" s="65">
        <f>'Special Corporate+ RI+TPS'!CC16</f>
        <v>0</v>
      </c>
      <c r="CD401" s="65">
        <f>'Special Corporate+ RI+TPS'!CD16</f>
        <v>0</v>
      </c>
      <c r="CE401" s="65">
        <f>'Special Corporate+ RI+TPS'!CE16</f>
        <v>0</v>
      </c>
      <c r="CF401" s="65">
        <f>'Special Corporate+ RI+TPS'!CF16</f>
        <v>0</v>
      </c>
      <c r="CG401" s="65">
        <f>'Special Corporate+ RI+TPS'!CG16</f>
        <v>0</v>
      </c>
      <c r="CH401" s="65">
        <f>'Special Corporate+ RI+TPS'!CH16</f>
        <v>0</v>
      </c>
      <c r="CI401" s="65">
        <f>'Special Corporate+ RI+TPS'!CI16</f>
        <v>0</v>
      </c>
      <c r="CJ401" s="65">
        <f>'Special Corporate+ RI+TPS'!CJ16</f>
        <v>0</v>
      </c>
      <c r="CK401" s="65">
        <f>'Special Corporate+ RI+TPS'!CK16</f>
        <v>0</v>
      </c>
      <c r="CL401" s="65">
        <f>'Special Corporate+ RI+TPS'!CL16</f>
        <v>0</v>
      </c>
      <c r="CM401" s="65">
        <f>'Special Corporate+ RI+TPS'!CM16</f>
        <v>0</v>
      </c>
      <c r="CN401" s="65">
        <f>'Special Corporate+ RI+TPS'!CN16</f>
        <v>0</v>
      </c>
      <c r="CO401" s="65">
        <f>'Special Corporate+ RI+TPS'!CO16</f>
        <v>0</v>
      </c>
      <c r="CP401" s="65">
        <f>'Special Corporate+ RI+TPS'!CP16</f>
        <v>0</v>
      </c>
      <c r="CQ401" s="65">
        <f>'Special Corporate+ RI+TPS'!CQ16</f>
        <v>0</v>
      </c>
      <c r="CR401" s="65">
        <f>'Special Corporate+ RI+TPS'!CR16</f>
        <v>0</v>
      </c>
      <c r="CS401" s="65">
        <f>'Special Corporate+ RI+TPS'!CS16</f>
        <v>0</v>
      </c>
      <c r="CT401" s="65">
        <f>'Special Corporate+ RI+TPS'!CT16</f>
        <v>0</v>
      </c>
      <c r="CU401" s="65">
        <f>'Special Corporate+ RI+TPS'!CU16</f>
        <v>0</v>
      </c>
      <c r="CV401" s="65">
        <f>'Special Corporate+ RI+TPS'!CV16</f>
        <v>0</v>
      </c>
      <c r="CW401" s="65">
        <f>'Special Corporate+ RI+TPS'!CW16</f>
        <v>0</v>
      </c>
      <c r="CX401" s="65">
        <f>'Special Corporate+ RI+TPS'!CX16</f>
        <v>0</v>
      </c>
      <c r="CY401" s="65">
        <f>'Special Corporate+ RI+TPS'!CY16</f>
        <v>0</v>
      </c>
      <c r="CZ401" s="65">
        <f>'Special Corporate+ RI+TPS'!CZ16</f>
        <v>0</v>
      </c>
      <c r="DA401" s="65">
        <f>'Special Corporate+ RI+TPS'!DA16</f>
        <v>0</v>
      </c>
      <c r="DB401" s="65">
        <f>'Special Corporate+ RI+TPS'!DB16</f>
        <v>0</v>
      </c>
      <c r="DC401" s="65">
        <f>'Special Corporate+ RI+TPS'!DC16</f>
        <v>0</v>
      </c>
      <c r="DD401" s="65">
        <f>'Special Corporate+ RI+TPS'!DD16</f>
        <v>0</v>
      </c>
      <c r="DE401" s="65">
        <f>'Special Corporate+ RI+TPS'!DE16</f>
        <v>0</v>
      </c>
      <c r="DF401" s="65">
        <f>'Special Corporate+ RI+TPS'!DF16</f>
        <v>0</v>
      </c>
      <c r="DG401" s="65">
        <f>'Special Corporate+ RI+TPS'!DG16</f>
        <v>0</v>
      </c>
      <c r="DH401" s="65">
        <f>'Special Corporate+ RI+TPS'!DH16</f>
        <v>0</v>
      </c>
      <c r="DI401" s="65">
        <f>'Special Corporate+ RI+TPS'!DI16</f>
        <v>0</v>
      </c>
      <c r="DJ401" s="65">
        <f>'Special Corporate+ RI+TPS'!DJ16</f>
        <v>0</v>
      </c>
      <c r="DK401" s="65">
        <f>'Special Corporate+ RI+TPS'!DK16</f>
        <v>0</v>
      </c>
      <c r="DL401" s="65">
        <f>'Special Corporate+ RI+TPS'!DL16</f>
        <v>0</v>
      </c>
      <c r="DM401" s="65">
        <f>'Special Corporate+ RI+TPS'!DM16</f>
        <v>0</v>
      </c>
      <c r="DN401" s="65">
        <f>'Special Corporate+ RI+TPS'!DN16</f>
        <v>0</v>
      </c>
      <c r="DO401" s="65">
        <f>'Special Corporate+ RI+TPS'!DO16</f>
        <v>0</v>
      </c>
      <c r="DP401" s="65">
        <f>'Special Corporate+ RI+TPS'!DP16</f>
        <v>0</v>
      </c>
      <c r="DQ401" s="65">
        <f>'Special Corporate+ RI+TPS'!DQ16</f>
        <v>0</v>
      </c>
      <c r="DR401" s="65">
        <f>'Special Corporate+ RI+TPS'!DR16</f>
        <v>0</v>
      </c>
      <c r="DS401" s="65">
        <f>'Special Corporate+ RI+TPS'!DS16</f>
        <v>0</v>
      </c>
      <c r="DT401" s="65">
        <f>'Special Corporate+ RI+TPS'!DT16</f>
        <v>0</v>
      </c>
      <c r="DU401" s="65">
        <f>'Special Corporate+ RI+TPS'!DU16</f>
        <v>0</v>
      </c>
      <c r="DV401" s="65">
        <f>'Special Corporate+ RI+TPS'!DV16</f>
        <v>0</v>
      </c>
      <c r="DW401" s="65">
        <f>'Special Corporate+ RI+TPS'!DW16</f>
        <v>0</v>
      </c>
      <c r="DX401" s="65">
        <f>'Special Corporate+ RI+TPS'!DX16</f>
        <v>0</v>
      </c>
      <c r="DY401" s="65">
        <f>'Special Corporate+ RI+TPS'!DY16</f>
        <v>0</v>
      </c>
      <c r="DZ401" s="65">
        <f>'Special Corporate+ RI+TPS'!DZ16</f>
        <v>0</v>
      </c>
      <c r="EA401" s="65">
        <f>'Special Corporate+ RI+TPS'!EA16</f>
        <v>0</v>
      </c>
      <c r="EB401" s="68"/>
    </row>
    <row r="402" spans="1:132" x14ac:dyDescent="0.2">
      <c r="A402" s="152"/>
      <c r="B402" s="65">
        <f>'Special Corporate+ RI+TPS'!B17</f>
        <v>0</v>
      </c>
      <c r="C402" s="65">
        <f>'Special Corporate+ RI+TPS'!C17</f>
        <v>0</v>
      </c>
      <c r="D402" s="65">
        <f>'Special Corporate+ RI+TPS'!D17</f>
        <v>0</v>
      </c>
      <c r="E402" s="65">
        <f>'Special Corporate+ RI+TPS'!E17</f>
        <v>0</v>
      </c>
      <c r="F402" s="65">
        <f>'Special Corporate+ RI+TPS'!F17</f>
        <v>0</v>
      </c>
      <c r="G402" s="65">
        <f>'Special Corporate+ RI+TPS'!G17</f>
        <v>0</v>
      </c>
      <c r="H402" s="65">
        <f>'Special Corporate+ RI+TPS'!H17</f>
        <v>0</v>
      </c>
      <c r="I402" s="65">
        <f>'Special Corporate+ RI+TPS'!I17</f>
        <v>0</v>
      </c>
      <c r="J402" s="65">
        <f>'Special Corporate+ RI+TPS'!J17</f>
        <v>0</v>
      </c>
      <c r="K402" s="65">
        <f>'Special Corporate+ RI+TPS'!K17</f>
        <v>0</v>
      </c>
      <c r="L402" s="65">
        <f>'Special Corporate+ RI+TPS'!L17</f>
        <v>0</v>
      </c>
      <c r="M402" s="65">
        <f>'Special Corporate+ RI+TPS'!M17</f>
        <v>0</v>
      </c>
      <c r="N402" s="65">
        <f>'Special Corporate+ RI+TPS'!N17</f>
        <v>0</v>
      </c>
      <c r="O402" s="65">
        <f>'Special Corporate+ RI+TPS'!O17</f>
        <v>0</v>
      </c>
      <c r="P402" s="65">
        <f>'Special Corporate+ RI+TPS'!P17</f>
        <v>0</v>
      </c>
      <c r="Q402" s="65">
        <f>'Special Corporate+ RI+TPS'!Q17</f>
        <v>0</v>
      </c>
      <c r="R402" s="65">
        <f>'Special Corporate+ RI+TPS'!R17</f>
        <v>0</v>
      </c>
      <c r="S402" s="65">
        <f>'Special Corporate+ RI+TPS'!S17</f>
        <v>0</v>
      </c>
      <c r="T402" s="65">
        <f>'Special Corporate+ RI+TPS'!T17</f>
        <v>0</v>
      </c>
      <c r="U402" s="65">
        <f>'Special Corporate+ RI+TPS'!U17</f>
        <v>0</v>
      </c>
      <c r="V402" s="65">
        <f>'Special Corporate+ RI+TPS'!V17</f>
        <v>0</v>
      </c>
      <c r="W402" s="65">
        <f>'Special Corporate+ RI+TPS'!W17</f>
        <v>0</v>
      </c>
      <c r="X402" s="65">
        <f>'Special Corporate+ RI+TPS'!X17</f>
        <v>0</v>
      </c>
      <c r="Y402" s="65">
        <f>'Special Corporate+ RI+TPS'!Y17</f>
        <v>0</v>
      </c>
      <c r="Z402" s="65">
        <f>'Special Corporate+ RI+TPS'!Z17</f>
        <v>0</v>
      </c>
      <c r="AA402" s="65">
        <f>'Special Corporate+ RI+TPS'!AA17</f>
        <v>0</v>
      </c>
      <c r="AB402" s="65">
        <f>'Special Corporate+ RI+TPS'!AB17</f>
        <v>0</v>
      </c>
      <c r="AC402" s="65">
        <f>'Special Corporate+ RI+TPS'!AC17</f>
        <v>0</v>
      </c>
      <c r="AD402" s="65">
        <f>'Special Corporate+ RI+TPS'!AD17</f>
        <v>0</v>
      </c>
      <c r="AE402" s="65">
        <f>'Special Corporate+ RI+TPS'!AE17</f>
        <v>0</v>
      </c>
      <c r="AF402" s="65">
        <f>'Special Corporate+ RI+TPS'!AF17</f>
        <v>0</v>
      </c>
      <c r="AG402" s="65">
        <f>'Special Corporate+ RI+TPS'!AG17</f>
        <v>0</v>
      </c>
      <c r="AH402" s="65">
        <f>'Special Corporate+ RI+TPS'!AH17</f>
        <v>0</v>
      </c>
      <c r="AI402" s="65">
        <f>'Special Corporate+ RI+TPS'!AI17</f>
        <v>0</v>
      </c>
      <c r="AJ402" s="65">
        <f>'Special Corporate+ RI+TPS'!AJ17</f>
        <v>0</v>
      </c>
      <c r="AK402" s="65">
        <f>'Special Corporate+ RI+TPS'!AK17</f>
        <v>0</v>
      </c>
      <c r="AL402" s="65">
        <f>'Special Corporate+ RI+TPS'!AL17</f>
        <v>0</v>
      </c>
      <c r="AM402" s="65">
        <f>'Special Corporate+ RI+TPS'!AM17</f>
        <v>0</v>
      </c>
      <c r="AN402" s="65">
        <f>'Special Corporate+ RI+TPS'!AN17</f>
        <v>0</v>
      </c>
      <c r="AO402" s="65">
        <f>'Special Corporate+ RI+TPS'!AO17</f>
        <v>0</v>
      </c>
      <c r="AP402" s="65">
        <f>'Special Corporate+ RI+TPS'!AP17</f>
        <v>0</v>
      </c>
      <c r="AQ402" s="65">
        <f>'Special Corporate+ RI+TPS'!AQ17</f>
        <v>0</v>
      </c>
      <c r="AR402" s="65">
        <f>'Special Corporate+ RI+TPS'!AR17</f>
        <v>0</v>
      </c>
      <c r="AS402" s="65">
        <f>'Special Corporate+ RI+TPS'!AS17</f>
        <v>0</v>
      </c>
      <c r="AT402" s="65">
        <f>'Special Corporate+ RI+TPS'!AT17</f>
        <v>0</v>
      </c>
      <c r="AU402" s="65">
        <f>'Special Corporate+ RI+TPS'!AU17</f>
        <v>0</v>
      </c>
      <c r="AV402" s="65">
        <f>'Special Corporate+ RI+TPS'!AV17</f>
        <v>0</v>
      </c>
      <c r="AW402" s="65">
        <f>'Special Corporate+ RI+TPS'!AW17</f>
        <v>0</v>
      </c>
      <c r="AX402" s="65">
        <f>'Special Corporate+ RI+TPS'!AX17</f>
        <v>0</v>
      </c>
      <c r="AY402" s="65">
        <f>'Special Corporate+ RI+TPS'!AY17</f>
        <v>0</v>
      </c>
      <c r="AZ402" s="65">
        <f>'Special Corporate+ RI+TPS'!AZ17</f>
        <v>0</v>
      </c>
      <c r="BA402" s="65">
        <f>'Special Corporate+ RI+TPS'!BA17</f>
        <v>0</v>
      </c>
      <c r="BB402" s="65">
        <f>'Special Corporate+ RI+TPS'!BB17</f>
        <v>0</v>
      </c>
      <c r="BC402" s="65">
        <f>'Special Corporate+ RI+TPS'!BC17</f>
        <v>0</v>
      </c>
      <c r="BD402" s="65">
        <f>'Special Corporate+ RI+TPS'!BD17</f>
        <v>0</v>
      </c>
      <c r="BE402" s="65">
        <f>'Special Corporate+ RI+TPS'!BE17</f>
        <v>0</v>
      </c>
      <c r="BF402" s="65">
        <f>'Special Corporate+ RI+TPS'!BF17</f>
        <v>0</v>
      </c>
      <c r="BG402" s="65">
        <f>'Special Corporate+ RI+TPS'!BG17</f>
        <v>0</v>
      </c>
      <c r="BH402" s="65">
        <f>'Special Corporate+ RI+TPS'!BH17</f>
        <v>0</v>
      </c>
      <c r="BI402" s="65">
        <f>'Special Corporate+ RI+TPS'!BI17</f>
        <v>0</v>
      </c>
      <c r="BJ402" s="65">
        <f>'Special Corporate+ RI+TPS'!BJ17</f>
        <v>0</v>
      </c>
      <c r="BK402" s="65">
        <f>'Special Corporate+ RI+TPS'!BK17</f>
        <v>0</v>
      </c>
      <c r="BL402" s="65">
        <f>'Special Corporate+ RI+TPS'!BL17</f>
        <v>0</v>
      </c>
      <c r="BM402" s="65">
        <f>'Special Corporate+ RI+TPS'!BM17</f>
        <v>0</v>
      </c>
      <c r="BN402" s="65">
        <f>'Special Corporate+ RI+TPS'!BN17</f>
        <v>0</v>
      </c>
      <c r="BO402" s="65">
        <f>'Special Corporate+ RI+TPS'!BO17</f>
        <v>0</v>
      </c>
      <c r="BP402" s="65">
        <f>'Special Corporate+ RI+TPS'!BP17</f>
        <v>0</v>
      </c>
      <c r="BQ402" s="65">
        <f>'Special Corporate+ RI+TPS'!BQ17</f>
        <v>0</v>
      </c>
      <c r="BR402" s="65">
        <f>'Special Corporate+ RI+TPS'!BR17</f>
        <v>0</v>
      </c>
      <c r="BS402" s="65">
        <f>'Special Corporate+ RI+TPS'!BS17</f>
        <v>0</v>
      </c>
      <c r="BT402" s="65">
        <f>'Special Corporate+ RI+TPS'!BT17</f>
        <v>0</v>
      </c>
      <c r="BU402" s="65">
        <f>'Special Corporate+ RI+TPS'!BU17</f>
        <v>0</v>
      </c>
      <c r="BV402" s="65">
        <f>'Special Corporate+ RI+TPS'!BV17</f>
        <v>0</v>
      </c>
      <c r="BW402" s="65">
        <f>'Special Corporate+ RI+TPS'!BW17</f>
        <v>0</v>
      </c>
      <c r="BX402" s="65">
        <f>'Special Corporate+ RI+TPS'!BX17</f>
        <v>0</v>
      </c>
      <c r="BY402" s="65">
        <f>'Special Corporate+ RI+TPS'!BY17</f>
        <v>0</v>
      </c>
      <c r="BZ402" s="65">
        <f>'Special Corporate+ RI+TPS'!BZ17</f>
        <v>0</v>
      </c>
      <c r="CA402" s="65">
        <f>'Special Corporate+ RI+TPS'!CA17</f>
        <v>0</v>
      </c>
      <c r="CB402" s="65">
        <f>'Special Corporate+ RI+TPS'!CB17</f>
        <v>0</v>
      </c>
      <c r="CC402" s="65">
        <f>'Special Corporate+ RI+TPS'!CC17</f>
        <v>0</v>
      </c>
      <c r="CD402" s="65">
        <f>'Special Corporate+ RI+TPS'!CD17</f>
        <v>0</v>
      </c>
      <c r="CE402" s="65">
        <f>'Special Corporate+ RI+TPS'!CE17</f>
        <v>0</v>
      </c>
      <c r="CF402" s="65">
        <f>'Special Corporate+ RI+TPS'!CF17</f>
        <v>0</v>
      </c>
      <c r="CG402" s="65">
        <f>'Special Corporate+ RI+TPS'!CG17</f>
        <v>0</v>
      </c>
      <c r="CH402" s="65">
        <f>'Special Corporate+ RI+TPS'!CH17</f>
        <v>0</v>
      </c>
      <c r="CI402" s="65">
        <f>'Special Corporate+ RI+TPS'!CI17</f>
        <v>0</v>
      </c>
      <c r="CJ402" s="65">
        <f>'Special Corporate+ RI+TPS'!CJ17</f>
        <v>0</v>
      </c>
      <c r="CK402" s="65">
        <f>'Special Corporate+ RI+TPS'!CK17</f>
        <v>0</v>
      </c>
      <c r="CL402" s="65">
        <f>'Special Corporate+ RI+TPS'!CL17</f>
        <v>0</v>
      </c>
      <c r="CM402" s="65">
        <f>'Special Corporate+ RI+TPS'!CM17</f>
        <v>0</v>
      </c>
      <c r="CN402" s="65">
        <f>'Special Corporate+ RI+TPS'!CN17</f>
        <v>0</v>
      </c>
      <c r="CO402" s="65">
        <f>'Special Corporate+ RI+TPS'!CO17</f>
        <v>0</v>
      </c>
      <c r="CP402" s="65">
        <f>'Special Corporate+ RI+TPS'!CP17</f>
        <v>0</v>
      </c>
      <c r="CQ402" s="65">
        <f>'Special Corporate+ RI+TPS'!CQ17</f>
        <v>0</v>
      </c>
      <c r="CR402" s="65">
        <f>'Special Corporate+ RI+TPS'!CR17</f>
        <v>0</v>
      </c>
      <c r="CS402" s="65">
        <f>'Special Corporate+ RI+TPS'!CS17</f>
        <v>0</v>
      </c>
      <c r="CT402" s="65">
        <f>'Special Corporate+ RI+TPS'!CT17</f>
        <v>0</v>
      </c>
      <c r="CU402" s="65">
        <f>'Special Corporate+ RI+TPS'!CU17</f>
        <v>0</v>
      </c>
      <c r="CV402" s="65">
        <f>'Special Corporate+ RI+TPS'!CV17</f>
        <v>0</v>
      </c>
      <c r="CW402" s="65">
        <f>'Special Corporate+ RI+TPS'!CW17</f>
        <v>0</v>
      </c>
      <c r="CX402" s="65">
        <f>'Special Corporate+ RI+TPS'!CX17</f>
        <v>0</v>
      </c>
      <c r="CY402" s="65">
        <f>'Special Corporate+ RI+TPS'!CY17</f>
        <v>0</v>
      </c>
      <c r="CZ402" s="65">
        <f>'Special Corporate+ RI+TPS'!CZ17</f>
        <v>0</v>
      </c>
      <c r="DA402" s="65">
        <f>'Special Corporate+ RI+TPS'!DA17</f>
        <v>0</v>
      </c>
      <c r="DB402" s="65">
        <f>'Special Corporate+ RI+TPS'!DB17</f>
        <v>0</v>
      </c>
      <c r="DC402" s="65">
        <f>'Special Corporate+ RI+TPS'!DC17</f>
        <v>0</v>
      </c>
      <c r="DD402" s="65">
        <f>'Special Corporate+ RI+TPS'!DD17</f>
        <v>0</v>
      </c>
      <c r="DE402" s="65">
        <f>'Special Corporate+ RI+TPS'!DE17</f>
        <v>0</v>
      </c>
      <c r="DF402" s="65">
        <f>'Special Corporate+ RI+TPS'!DF17</f>
        <v>0</v>
      </c>
      <c r="DG402" s="65">
        <f>'Special Corporate+ RI+TPS'!DG17</f>
        <v>0</v>
      </c>
      <c r="DH402" s="65">
        <f>'Special Corporate+ RI+TPS'!DH17</f>
        <v>0</v>
      </c>
      <c r="DI402" s="65">
        <f>'Special Corporate+ RI+TPS'!DI17</f>
        <v>0</v>
      </c>
      <c r="DJ402" s="65">
        <f>'Special Corporate+ RI+TPS'!DJ17</f>
        <v>0</v>
      </c>
      <c r="DK402" s="65">
        <f>'Special Corporate+ RI+TPS'!DK17</f>
        <v>0</v>
      </c>
      <c r="DL402" s="65">
        <f>'Special Corporate+ RI+TPS'!DL17</f>
        <v>0</v>
      </c>
      <c r="DM402" s="65">
        <f>'Special Corporate+ RI+TPS'!DM17</f>
        <v>0</v>
      </c>
      <c r="DN402" s="65">
        <f>'Special Corporate+ RI+TPS'!DN17</f>
        <v>0</v>
      </c>
      <c r="DO402" s="65">
        <f>'Special Corporate+ RI+TPS'!DO17</f>
        <v>0</v>
      </c>
      <c r="DP402" s="65">
        <f>'Special Corporate+ RI+TPS'!DP17</f>
        <v>0</v>
      </c>
      <c r="DQ402" s="65">
        <f>'Special Corporate+ RI+TPS'!DQ17</f>
        <v>0</v>
      </c>
      <c r="DR402" s="65">
        <f>'Special Corporate+ RI+TPS'!DR17</f>
        <v>0</v>
      </c>
      <c r="DS402" s="65">
        <f>'Special Corporate+ RI+TPS'!DS17</f>
        <v>0</v>
      </c>
      <c r="DT402" s="65">
        <f>'Special Corporate+ RI+TPS'!DT17</f>
        <v>0</v>
      </c>
      <c r="DU402" s="65">
        <f>'Special Corporate+ RI+TPS'!DU17</f>
        <v>0</v>
      </c>
      <c r="DV402" s="65">
        <f>'Special Corporate+ RI+TPS'!DV17</f>
        <v>0</v>
      </c>
      <c r="DW402" s="65">
        <f>'Special Corporate+ RI+TPS'!DW17</f>
        <v>0</v>
      </c>
      <c r="DX402" s="65">
        <f>'Special Corporate+ RI+TPS'!DX17</f>
        <v>0</v>
      </c>
      <c r="DY402" s="65">
        <f>'Special Corporate+ RI+TPS'!DY17</f>
        <v>0</v>
      </c>
      <c r="DZ402" s="65">
        <f>'Special Corporate+ RI+TPS'!DZ17</f>
        <v>0</v>
      </c>
      <c r="EA402" s="65">
        <f>'Special Corporate+ RI+TPS'!EA17</f>
        <v>0</v>
      </c>
      <c r="EB402" s="68"/>
    </row>
    <row r="403" spans="1:132" x14ac:dyDescent="0.2">
      <c r="A403" s="152"/>
      <c r="B403" s="65">
        <f>'Special Corporate+ RI+TPS'!B18</f>
        <v>0</v>
      </c>
      <c r="C403" s="65">
        <f>'Special Corporate+ RI+TPS'!C18</f>
        <v>0</v>
      </c>
      <c r="D403" s="65">
        <f>'Special Corporate+ RI+TPS'!D18</f>
        <v>0</v>
      </c>
      <c r="E403" s="65">
        <f>'Special Corporate+ RI+TPS'!E18</f>
        <v>0</v>
      </c>
      <c r="F403" s="65">
        <f>'Special Corporate+ RI+TPS'!F18</f>
        <v>0</v>
      </c>
      <c r="G403" s="65">
        <f>'Special Corporate+ RI+TPS'!G18</f>
        <v>0</v>
      </c>
      <c r="H403" s="65">
        <f>'Special Corporate+ RI+TPS'!H18</f>
        <v>0</v>
      </c>
      <c r="I403" s="65">
        <f>'Special Corporate+ RI+TPS'!I18</f>
        <v>0</v>
      </c>
      <c r="J403" s="65">
        <f>'Special Corporate+ RI+TPS'!J18</f>
        <v>0</v>
      </c>
      <c r="K403" s="65">
        <f>'Special Corporate+ RI+TPS'!K18</f>
        <v>0</v>
      </c>
      <c r="L403" s="65">
        <f>'Special Corporate+ RI+TPS'!L18</f>
        <v>0</v>
      </c>
      <c r="M403" s="65">
        <f>'Special Corporate+ RI+TPS'!M18</f>
        <v>0</v>
      </c>
      <c r="N403" s="65">
        <f>'Special Corporate+ RI+TPS'!N18</f>
        <v>0</v>
      </c>
      <c r="O403" s="65">
        <f>'Special Corporate+ RI+TPS'!O18</f>
        <v>0</v>
      </c>
      <c r="P403" s="65">
        <f>'Special Corporate+ RI+TPS'!P18</f>
        <v>0</v>
      </c>
      <c r="Q403" s="65">
        <f>'Special Corporate+ RI+TPS'!Q18</f>
        <v>0</v>
      </c>
      <c r="R403" s="65">
        <f>'Special Corporate+ RI+TPS'!R18</f>
        <v>0</v>
      </c>
      <c r="S403" s="65">
        <f>'Special Corporate+ RI+TPS'!S18</f>
        <v>0</v>
      </c>
      <c r="T403" s="65">
        <f>'Special Corporate+ RI+TPS'!T18</f>
        <v>0</v>
      </c>
      <c r="U403" s="65">
        <f>'Special Corporate+ RI+TPS'!U18</f>
        <v>0</v>
      </c>
      <c r="V403" s="65">
        <f>'Special Corporate+ RI+TPS'!V18</f>
        <v>0</v>
      </c>
      <c r="W403" s="65">
        <f>'Special Corporate+ RI+TPS'!W18</f>
        <v>0</v>
      </c>
      <c r="X403" s="65">
        <f>'Special Corporate+ RI+TPS'!X18</f>
        <v>0</v>
      </c>
      <c r="Y403" s="65">
        <f>'Special Corporate+ RI+TPS'!Y18</f>
        <v>0</v>
      </c>
      <c r="Z403" s="65">
        <f>'Special Corporate+ RI+TPS'!Z18</f>
        <v>0</v>
      </c>
      <c r="AA403" s="65">
        <f>'Special Corporate+ RI+TPS'!AA18</f>
        <v>0</v>
      </c>
      <c r="AB403" s="65">
        <f>'Special Corporate+ RI+TPS'!AB18</f>
        <v>0</v>
      </c>
      <c r="AC403" s="65">
        <f>'Special Corporate+ RI+TPS'!AC18</f>
        <v>0</v>
      </c>
      <c r="AD403" s="65">
        <f>'Special Corporate+ RI+TPS'!AD18</f>
        <v>0</v>
      </c>
      <c r="AE403" s="65">
        <f>'Special Corporate+ RI+TPS'!AE18</f>
        <v>0</v>
      </c>
      <c r="AF403" s="65">
        <f>'Special Corporate+ RI+TPS'!AF18</f>
        <v>0</v>
      </c>
      <c r="AG403" s="65">
        <f>'Special Corporate+ RI+TPS'!AG18</f>
        <v>0</v>
      </c>
      <c r="AH403" s="65">
        <f>'Special Corporate+ RI+TPS'!AH18</f>
        <v>0</v>
      </c>
      <c r="AI403" s="65">
        <f>'Special Corporate+ RI+TPS'!AI18</f>
        <v>0</v>
      </c>
      <c r="AJ403" s="65">
        <f>'Special Corporate+ RI+TPS'!AJ18</f>
        <v>0</v>
      </c>
      <c r="AK403" s="65">
        <f>'Special Corporate+ RI+TPS'!AK18</f>
        <v>0</v>
      </c>
      <c r="AL403" s="65">
        <f>'Special Corporate+ RI+TPS'!AL18</f>
        <v>0</v>
      </c>
      <c r="AM403" s="65">
        <f>'Special Corporate+ RI+TPS'!AM18</f>
        <v>0</v>
      </c>
      <c r="AN403" s="65">
        <f>'Special Corporate+ RI+TPS'!AN18</f>
        <v>0</v>
      </c>
      <c r="AO403" s="65">
        <f>'Special Corporate+ RI+TPS'!AO18</f>
        <v>0</v>
      </c>
      <c r="AP403" s="65">
        <f>'Special Corporate+ RI+TPS'!AP18</f>
        <v>0</v>
      </c>
      <c r="AQ403" s="65">
        <f>'Special Corporate+ RI+TPS'!AQ18</f>
        <v>0</v>
      </c>
      <c r="AR403" s="65">
        <f>'Special Corporate+ RI+TPS'!AR18</f>
        <v>0</v>
      </c>
      <c r="AS403" s="65">
        <f>'Special Corporate+ RI+TPS'!AS18</f>
        <v>0</v>
      </c>
      <c r="AT403" s="65">
        <f>'Special Corporate+ RI+TPS'!AT18</f>
        <v>0</v>
      </c>
      <c r="AU403" s="65">
        <f>'Special Corporate+ RI+TPS'!AU18</f>
        <v>0</v>
      </c>
      <c r="AV403" s="65">
        <f>'Special Corporate+ RI+TPS'!AV18</f>
        <v>0</v>
      </c>
      <c r="AW403" s="65">
        <f>'Special Corporate+ RI+TPS'!AW18</f>
        <v>0</v>
      </c>
      <c r="AX403" s="65">
        <f>'Special Corporate+ RI+TPS'!AX18</f>
        <v>0</v>
      </c>
      <c r="AY403" s="65">
        <f>'Special Corporate+ RI+TPS'!AY18</f>
        <v>0</v>
      </c>
      <c r="AZ403" s="65">
        <f>'Special Corporate+ RI+TPS'!AZ18</f>
        <v>0</v>
      </c>
      <c r="BA403" s="65">
        <f>'Special Corporate+ RI+TPS'!BA18</f>
        <v>0</v>
      </c>
      <c r="BB403" s="65">
        <f>'Special Corporate+ RI+TPS'!BB18</f>
        <v>0</v>
      </c>
      <c r="BC403" s="65">
        <f>'Special Corporate+ RI+TPS'!BC18</f>
        <v>0</v>
      </c>
      <c r="BD403" s="65">
        <f>'Special Corporate+ RI+TPS'!BD18</f>
        <v>0</v>
      </c>
      <c r="BE403" s="65">
        <f>'Special Corporate+ RI+TPS'!BE18</f>
        <v>0</v>
      </c>
      <c r="BF403" s="65">
        <f>'Special Corporate+ RI+TPS'!BF18</f>
        <v>0</v>
      </c>
      <c r="BG403" s="65">
        <f>'Special Corporate+ RI+TPS'!BG18</f>
        <v>0</v>
      </c>
      <c r="BH403" s="65">
        <f>'Special Corporate+ RI+TPS'!BH18</f>
        <v>0</v>
      </c>
      <c r="BI403" s="65">
        <f>'Special Corporate+ RI+TPS'!BI18</f>
        <v>0</v>
      </c>
      <c r="BJ403" s="65">
        <f>'Special Corporate+ RI+TPS'!BJ18</f>
        <v>0</v>
      </c>
      <c r="BK403" s="65">
        <f>'Special Corporate+ RI+TPS'!BK18</f>
        <v>0</v>
      </c>
      <c r="BL403" s="65">
        <f>'Special Corporate+ RI+TPS'!BL18</f>
        <v>0</v>
      </c>
      <c r="BM403" s="65">
        <f>'Special Corporate+ RI+TPS'!BM18</f>
        <v>0</v>
      </c>
      <c r="BN403" s="65">
        <f>'Special Corporate+ RI+TPS'!BN18</f>
        <v>0</v>
      </c>
      <c r="BO403" s="65">
        <f>'Special Corporate+ RI+TPS'!BO18</f>
        <v>0</v>
      </c>
      <c r="BP403" s="65">
        <f>'Special Corporate+ RI+TPS'!BP18</f>
        <v>0</v>
      </c>
      <c r="BQ403" s="65">
        <f>'Special Corporate+ RI+TPS'!BQ18</f>
        <v>0</v>
      </c>
      <c r="BR403" s="65">
        <f>'Special Corporate+ RI+TPS'!BR18</f>
        <v>0</v>
      </c>
      <c r="BS403" s="65">
        <f>'Special Corporate+ RI+TPS'!BS18</f>
        <v>0</v>
      </c>
      <c r="BT403" s="65">
        <f>'Special Corporate+ RI+TPS'!BT18</f>
        <v>0</v>
      </c>
      <c r="BU403" s="65">
        <f>'Special Corporate+ RI+TPS'!BU18</f>
        <v>0</v>
      </c>
      <c r="BV403" s="65">
        <f>'Special Corporate+ RI+TPS'!BV18</f>
        <v>0</v>
      </c>
      <c r="BW403" s="65">
        <f>'Special Corporate+ RI+TPS'!BW18</f>
        <v>0</v>
      </c>
      <c r="BX403" s="65">
        <f>'Special Corporate+ RI+TPS'!BX18</f>
        <v>0</v>
      </c>
      <c r="BY403" s="65">
        <f>'Special Corporate+ RI+TPS'!BY18</f>
        <v>0</v>
      </c>
      <c r="BZ403" s="65">
        <f>'Special Corporate+ RI+TPS'!BZ18</f>
        <v>0</v>
      </c>
      <c r="CA403" s="65">
        <f>'Special Corporate+ RI+TPS'!CA18</f>
        <v>0</v>
      </c>
      <c r="CB403" s="65">
        <f>'Special Corporate+ RI+TPS'!CB18</f>
        <v>0</v>
      </c>
      <c r="CC403" s="65">
        <f>'Special Corporate+ RI+TPS'!CC18</f>
        <v>0</v>
      </c>
      <c r="CD403" s="65">
        <f>'Special Corporate+ RI+TPS'!CD18</f>
        <v>0</v>
      </c>
      <c r="CE403" s="65">
        <f>'Special Corporate+ RI+TPS'!CE18</f>
        <v>0</v>
      </c>
      <c r="CF403" s="65">
        <f>'Special Corporate+ RI+TPS'!CF18</f>
        <v>0</v>
      </c>
      <c r="CG403" s="65">
        <f>'Special Corporate+ RI+TPS'!CG18</f>
        <v>0</v>
      </c>
      <c r="CH403" s="65">
        <f>'Special Corporate+ RI+TPS'!CH18</f>
        <v>0</v>
      </c>
      <c r="CI403" s="65">
        <f>'Special Corporate+ RI+TPS'!CI18</f>
        <v>0</v>
      </c>
      <c r="CJ403" s="65">
        <f>'Special Corporate+ RI+TPS'!CJ18</f>
        <v>0</v>
      </c>
      <c r="CK403" s="65">
        <f>'Special Corporate+ RI+TPS'!CK18</f>
        <v>0</v>
      </c>
      <c r="CL403" s="65">
        <f>'Special Corporate+ RI+TPS'!CL18</f>
        <v>0</v>
      </c>
      <c r="CM403" s="65">
        <f>'Special Corporate+ RI+TPS'!CM18</f>
        <v>0</v>
      </c>
      <c r="CN403" s="65">
        <f>'Special Corporate+ RI+TPS'!CN18</f>
        <v>0</v>
      </c>
      <c r="CO403" s="65">
        <f>'Special Corporate+ RI+TPS'!CO18</f>
        <v>0</v>
      </c>
      <c r="CP403" s="65">
        <f>'Special Corporate+ RI+TPS'!CP18</f>
        <v>0</v>
      </c>
      <c r="CQ403" s="65">
        <f>'Special Corporate+ RI+TPS'!CQ18</f>
        <v>0</v>
      </c>
      <c r="CR403" s="65">
        <f>'Special Corporate+ RI+TPS'!CR18</f>
        <v>0</v>
      </c>
      <c r="CS403" s="65">
        <f>'Special Corporate+ RI+TPS'!CS18</f>
        <v>0</v>
      </c>
      <c r="CT403" s="65">
        <f>'Special Corporate+ RI+TPS'!CT18</f>
        <v>0</v>
      </c>
      <c r="CU403" s="65">
        <f>'Special Corporate+ RI+TPS'!CU18</f>
        <v>0</v>
      </c>
      <c r="CV403" s="65">
        <f>'Special Corporate+ RI+TPS'!CV18</f>
        <v>0</v>
      </c>
      <c r="CW403" s="65">
        <f>'Special Corporate+ RI+TPS'!CW18</f>
        <v>0</v>
      </c>
      <c r="CX403" s="65">
        <f>'Special Corporate+ RI+TPS'!CX18</f>
        <v>0</v>
      </c>
      <c r="CY403" s="65">
        <f>'Special Corporate+ RI+TPS'!CY18</f>
        <v>0</v>
      </c>
      <c r="CZ403" s="65">
        <f>'Special Corporate+ RI+TPS'!CZ18</f>
        <v>0</v>
      </c>
      <c r="DA403" s="65">
        <f>'Special Corporate+ RI+TPS'!DA18</f>
        <v>0</v>
      </c>
      <c r="DB403" s="65">
        <f>'Special Corporate+ RI+TPS'!DB18</f>
        <v>0</v>
      </c>
      <c r="DC403" s="65">
        <f>'Special Corporate+ RI+TPS'!DC18</f>
        <v>0</v>
      </c>
      <c r="DD403" s="65">
        <f>'Special Corporate+ RI+TPS'!DD18</f>
        <v>0</v>
      </c>
      <c r="DE403" s="65">
        <f>'Special Corporate+ RI+TPS'!DE18</f>
        <v>0</v>
      </c>
      <c r="DF403" s="65">
        <f>'Special Corporate+ RI+TPS'!DF18</f>
        <v>0</v>
      </c>
      <c r="DG403" s="65">
        <f>'Special Corporate+ RI+TPS'!DG18</f>
        <v>0</v>
      </c>
      <c r="DH403" s="65">
        <f>'Special Corporate+ RI+TPS'!DH18</f>
        <v>0</v>
      </c>
      <c r="DI403" s="65">
        <f>'Special Corporate+ RI+TPS'!DI18</f>
        <v>0</v>
      </c>
      <c r="DJ403" s="65">
        <f>'Special Corporate+ RI+TPS'!DJ18</f>
        <v>0</v>
      </c>
      <c r="DK403" s="65">
        <f>'Special Corporate+ RI+TPS'!DK18</f>
        <v>0</v>
      </c>
      <c r="DL403" s="65">
        <f>'Special Corporate+ RI+TPS'!DL18</f>
        <v>0</v>
      </c>
      <c r="DM403" s="65">
        <f>'Special Corporate+ RI+TPS'!DM18</f>
        <v>0</v>
      </c>
      <c r="DN403" s="65">
        <f>'Special Corporate+ RI+TPS'!DN18</f>
        <v>0</v>
      </c>
      <c r="DO403" s="65">
        <f>'Special Corporate+ RI+TPS'!DO18</f>
        <v>0</v>
      </c>
      <c r="DP403" s="65">
        <f>'Special Corporate+ RI+TPS'!DP18</f>
        <v>0</v>
      </c>
      <c r="DQ403" s="65">
        <f>'Special Corporate+ RI+TPS'!DQ18</f>
        <v>0</v>
      </c>
      <c r="DR403" s="65">
        <f>'Special Corporate+ RI+TPS'!DR18</f>
        <v>0</v>
      </c>
      <c r="DS403" s="65">
        <f>'Special Corporate+ RI+TPS'!DS18</f>
        <v>0</v>
      </c>
      <c r="DT403" s="65">
        <f>'Special Corporate+ RI+TPS'!DT18</f>
        <v>0</v>
      </c>
      <c r="DU403" s="65">
        <f>'Special Corporate+ RI+TPS'!DU18</f>
        <v>0</v>
      </c>
      <c r="DV403" s="65">
        <f>'Special Corporate+ RI+TPS'!DV18</f>
        <v>0</v>
      </c>
      <c r="DW403" s="65">
        <f>'Special Corporate+ RI+TPS'!DW18</f>
        <v>0</v>
      </c>
      <c r="DX403" s="65">
        <f>'Special Corporate+ RI+TPS'!DX18</f>
        <v>0</v>
      </c>
      <c r="DY403" s="65">
        <f>'Special Corporate+ RI+TPS'!DY18</f>
        <v>0</v>
      </c>
      <c r="DZ403" s="65">
        <f>'Special Corporate+ RI+TPS'!DZ18</f>
        <v>0</v>
      </c>
      <c r="EA403" s="65">
        <f>'Special Corporate+ RI+TPS'!EA18</f>
        <v>0</v>
      </c>
      <c r="EB403" s="68"/>
    </row>
    <row r="404" spans="1:132" x14ac:dyDescent="0.2">
      <c r="A404" s="152"/>
      <c r="B404" s="65">
        <f>'Special Corporate+ RI+TPS'!B19</f>
        <v>0</v>
      </c>
      <c r="C404" s="65">
        <f>'Special Corporate+ RI+TPS'!C19</f>
        <v>0</v>
      </c>
      <c r="D404" s="65">
        <f>'Special Corporate+ RI+TPS'!D19</f>
        <v>0</v>
      </c>
      <c r="E404" s="65">
        <f>'Special Corporate+ RI+TPS'!E19</f>
        <v>0</v>
      </c>
      <c r="F404" s="65">
        <f>'Special Corporate+ RI+TPS'!F19</f>
        <v>0</v>
      </c>
      <c r="G404" s="65">
        <f>'Special Corporate+ RI+TPS'!G19</f>
        <v>0</v>
      </c>
      <c r="H404" s="65">
        <f>'Special Corporate+ RI+TPS'!H19</f>
        <v>0</v>
      </c>
      <c r="I404" s="65">
        <f>'Special Corporate+ RI+TPS'!I19</f>
        <v>0</v>
      </c>
      <c r="J404" s="65">
        <f>'Special Corporate+ RI+TPS'!J19</f>
        <v>0</v>
      </c>
      <c r="K404" s="65">
        <f>'Special Corporate+ RI+TPS'!K19</f>
        <v>0</v>
      </c>
      <c r="L404" s="65">
        <f>'Special Corporate+ RI+TPS'!L19</f>
        <v>0</v>
      </c>
      <c r="M404" s="65">
        <f>'Special Corporate+ RI+TPS'!M19</f>
        <v>0</v>
      </c>
      <c r="N404" s="65">
        <f>'Special Corporate+ RI+TPS'!N19</f>
        <v>0</v>
      </c>
      <c r="O404" s="65">
        <f>'Special Corporate+ RI+TPS'!O19</f>
        <v>0</v>
      </c>
      <c r="P404" s="65">
        <f>'Special Corporate+ RI+TPS'!P19</f>
        <v>0</v>
      </c>
      <c r="Q404" s="65">
        <f>'Special Corporate+ RI+TPS'!Q19</f>
        <v>0</v>
      </c>
      <c r="R404" s="65">
        <f>'Special Corporate+ RI+TPS'!R19</f>
        <v>0</v>
      </c>
      <c r="S404" s="65">
        <f>'Special Corporate+ RI+TPS'!S19</f>
        <v>0</v>
      </c>
      <c r="T404" s="65">
        <f>'Special Corporate+ RI+TPS'!T19</f>
        <v>0</v>
      </c>
      <c r="U404" s="65">
        <f>'Special Corporate+ RI+TPS'!U19</f>
        <v>0</v>
      </c>
      <c r="V404" s="65">
        <f>'Special Corporate+ RI+TPS'!V19</f>
        <v>0</v>
      </c>
      <c r="W404" s="65">
        <f>'Special Corporate+ RI+TPS'!W19</f>
        <v>0</v>
      </c>
      <c r="X404" s="65">
        <f>'Special Corporate+ RI+TPS'!X19</f>
        <v>0</v>
      </c>
      <c r="Y404" s="65">
        <f>'Special Corporate+ RI+TPS'!Y19</f>
        <v>0</v>
      </c>
      <c r="Z404" s="65">
        <f>'Special Corporate+ RI+TPS'!Z19</f>
        <v>0</v>
      </c>
      <c r="AA404" s="65">
        <f>'Special Corporate+ RI+TPS'!AA19</f>
        <v>0</v>
      </c>
      <c r="AB404" s="65">
        <f>'Special Corporate+ RI+TPS'!AB19</f>
        <v>0</v>
      </c>
      <c r="AC404" s="65">
        <f>'Special Corporate+ RI+TPS'!AC19</f>
        <v>0</v>
      </c>
      <c r="AD404" s="65">
        <f>'Special Corporate+ RI+TPS'!AD19</f>
        <v>0</v>
      </c>
      <c r="AE404" s="65">
        <f>'Special Corporate+ RI+TPS'!AE19</f>
        <v>0</v>
      </c>
      <c r="AF404" s="65">
        <f>'Special Corporate+ RI+TPS'!AF19</f>
        <v>0</v>
      </c>
      <c r="AG404" s="65">
        <f>'Special Corporate+ RI+TPS'!AG19</f>
        <v>0</v>
      </c>
      <c r="AH404" s="65">
        <f>'Special Corporate+ RI+TPS'!AH19</f>
        <v>0</v>
      </c>
      <c r="AI404" s="65">
        <f>'Special Corporate+ RI+TPS'!AI19</f>
        <v>0</v>
      </c>
      <c r="AJ404" s="65">
        <f>'Special Corporate+ RI+TPS'!AJ19</f>
        <v>0</v>
      </c>
      <c r="AK404" s="65">
        <f>'Special Corporate+ RI+TPS'!AK19</f>
        <v>0</v>
      </c>
      <c r="AL404" s="65">
        <f>'Special Corporate+ RI+TPS'!AL19</f>
        <v>0</v>
      </c>
      <c r="AM404" s="65">
        <f>'Special Corporate+ RI+TPS'!AM19</f>
        <v>0</v>
      </c>
      <c r="AN404" s="65">
        <f>'Special Corporate+ RI+TPS'!AN19</f>
        <v>0</v>
      </c>
      <c r="AO404" s="65">
        <f>'Special Corporate+ RI+TPS'!AO19</f>
        <v>0</v>
      </c>
      <c r="AP404" s="65">
        <f>'Special Corporate+ RI+TPS'!AP19</f>
        <v>0</v>
      </c>
      <c r="AQ404" s="65">
        <f>'Special Corporate+ RI+TPS'!AQ19</f>
        <v>0</v>
      </c>
      <c r="AR404" s="65">
        <f>'Special Corporate+ RI+TPS'!AR19</f>
        <v>0</v>
      </c>
      <c r="AS404" s="65">
        <f>'Special Corporate+ RI+TPS'!AS19</f>
        <v>0</v>
      </c>
      <c r="AT404" s="65">
        <f>'Special Corporate+ RI+TPS'!AT19</f>
        <v>0</v>
      </c>
      <c r="AU404" s="65">
        <f>'Special Corporate+ RI+TPS'!AU19</f>
        <v>0</v>
      </c>
      <c r="AV404" s="65">
        <f>'Special Corporate+ RI+TPS'!AV19</f>
        <v>0</v>
      </c>
      <c r="AW404" s="65">
        <f>'Special Corporate+ RI+TPS'!AW19</f>
        <v>0</v>
      </c>
      <c r="AX404" s="65">
        <f>'Special Corporate+ RI+TPS'!AX19</f>
        <v>0</v>
      </c>
      <c r="AY404" s="65">
        <f>'Special Corporate+ RI+TPS'!AY19</f>
        <v>0</v>
      </c>
      <c r="AZ404" s="65">
        <f>'Special Corporate+ RI+TPS'!AZ19</f>
        <v>0</v>
      </c>
      <c r="BA404" s="65">
        <f>'Special Corporate+ RI+TPS'!BA19</f>
        <v>0</v>
      </c>
      <c r="BB404" s="65">
        <f>'Special Corporate+ RI+TPS'!BB19</f>
        <v>0</v>
      </c>
      <c r="BC404" s="65">
        <f>'Special Corporate+ RI+TPS'!BC19</f>
        <v>0</v>
      </c>
      <c r="BD404" s="65">
        <f>'Special Corporate+ RI+TPS'!BD19</f>
        <v>0</v>
      </c>
      <c r="BE404" s="65">
        <f>'Special Corporate+ RI+TPS'!BE19</f>
        <v>0</v>
      </c>
      <c r="BF404" s="65">
        <f>'Special Corporate+ RI+TPS'!BF19</f>
        <v>0</v>
      </c>
      <c r="BG404" s="65">
        <f>'Special Corporate+ RI+TPS'!BG19</f>
        <v>0</v>
      </c>
      <c r="BH404" s="65">
        <f>'Special Corporate+ RI+TPS'!BH19</f>
        <v>0</v>
      </c>
      <c r="BI404" s="65">
        <f>'Special Corporate+ RI+TPS'!BI19</f>
        <v>0</v>
      </c>
      <c r="BJ404" s="65">
        <f>'Special Corporate+ RI+TPS'!BJ19</f>
        <v>0</v>
      </c>
      <c r="BK404" s="65">
        <f>'Special Corporate+ RI+TPS'!BK19</f>
        <v>0</v>
      </c>
      <c r="BL404" s="65">
        <f>'Special Corporate+ RI+TPS'!BL19</f>
        <v>0</v>
      </c>
      <c r="BM404" s="65">
        <f>'Special Corporate+ RI+TPS'!BM19</f>
        <v>0</v>
      </c>
      <c r="BN404" s="65">
        <f>'Special Corporate+ RI+TPS'!BN19</f>
        <v>0</v>
      </c>
      <c r="BO404" s="65">
        <f>'Special Corporate+ RI+TPS'!BO19</f>
        <v>0</v>
      </c>
      <c r="BP404" s="65">
        <f>'Special Corporate+ RI+TPS'!BP19</f>
        <v>0</v>
      </c>
      <c r="BQ404" s="65">
        <f>'Special Corporate+ RI+TPS'!BQ19</f>
        <v>0</v>
      </c>
      <c r="BR404" s="65">
        <f>'Special Corporate+ RI+TPS'!BR19</f>
        <v>0</v>
      </c>
      <c r="BS404" s="65">
        <f>'Special Corporate+ RI+TPS'!BS19</f>
        <v>0</v>
      </c>
      <c r="BT404" s="65">
        <f>'Special Corporate+ RI+TPS'!BT19</f>
        <v>0</v>
      </c>
      <c r="BU404" s="65">
        <f>'Special Corporate+ RI+TPS'!BU19</f>
        <v>0</v>
      </c>
      <c r="BV404" s="65">
        <f>'Special Corporate+ RI+TPS'!BV19</f>
        <v>0</v>
      </c>
      <c r="BW404" s="65">
        <f>'Special Corporate+ RI+TPS'!BW19</f>
        <v>0</v>
      </c>
      <c r="BX404" s="65">
        <f>'Special Corporate+ RI+TPS'!BX19</f>
        <v>0</v>
      </c>
      <c r="BY404" s="65">
        <f>'Special Corporate+ RI+TPS'!BY19</f>
        <v>0</v>
      </c>
      <c r="BZ404" s="65">
        <f>'Special Corporate+ RI+TPS'!BZ19</f>
        <v>0</v>
      </c>
      <c r="CA404" s="65">
        <f>'Special Corporate+ RI+TPS'!CA19</f>
        <v>0</v>
      </c>
      <c r="CB404" s="65">
        <f>'Special Corporate+ RI+TPS'!CB19</f>
        <v>0</v>
      </c>
      <c r="CC404" s="65">
        <f>'Special Corporate+ RI+TPS'!CC19</f>
        <v>0</v>
      </c>
      <c r="CD404" s="65">
        <f>'Special Corporate+ RI+TPS'!CD19</f>
        <v>0</v>
      </c>
      <c r="CE404" s="65">
        <f>'Special Corporate+ RI+TPS'!CE19</f>
        <v>0</v>
      </c>
      <c r="CF404" s="65">
        <f>'Special Corporate+ RI+TPS'!CF19</f>
        <v>0</v>
      </c>
      <c r="CG404" s="65">
        <f>'Special Corporate+ RI+TPS'!CG19</f>
        <v>0</v>
      </c>
      <c r="CH404" s="65">
        <f>'Special Corporate+ RI+TPS'!CH19</f>
        <v>0</v>
      </c>
      <c r="CI404" s="65">
        <f>'Special Corporate+ RI+TPS'!CI19</f>
        <v>0</v>
      </c>
      <c r="CJ404" s="65">
        <f>'Special Corporate+ RI+TPS'!CJ19</f>
        <v>0</v>
      </c>
      <c r="CK404" s="65">
        <f>'Special Corporate+ RI+TPS'!CK19</f>
        <v>0</v>
      </c>
      <c r="CL404" s="65">
        <f>'Special Corporate+ RI+TPS'!CL19</f>
        <v>0</v>
      </c>
      <c r="CM404" s="65">
        <f>'Special Corporate+ RI+TPS'!CM19</f>
        <v>0</v>
      </c>
      <c r="CN404" s="65">
        <f>'Special Corporate+ RI+TPS'!CN19</f>
        <v>0</v>
      </c>
      <c r="CO404" s="65">
        <f>'Special Corporate+ RI+TPS'!CO19</f>
        <v>0</v>
      </c>
      <c r="CP404" s="65">
        <f>'Special Corporate+ RI+TPS'!CP19</f>
        <v>0</v>
      </c>
      <c r="CQ404" s="65">
        <f>'Special Corporate+ RI+TPS'!CQ19</f>
        <v>0</v>
      </c>
      <c r="CR404" s="65">
        <f>'Special Corporate+ RI+TPS'!CR19</f>
        <v>0</v>
      </c>
      <c r="CS404" s="65">
        <f>'Special Corporate+ RI+TPS'!CS19</f>
        <v>0</v>
      </c>
      <c r="CT404" s="65">
        <f>'Special Corporate+ RI+TPS'!CT19</f>
        <v>0</v>
      </c>
      <c r="CU404" s="65">
        <f>'Special Corporate+ RI+TPS'!CU19</f>
        <v>0</v>
      </c>
      <c r="CV404" s="65">
        <f>'Special Corporate+ RI+TPS'!CV19</f>
        <v>0</v>
      </c>
      <c r="CW404" s="65">
        <f>'Special Corporate+ RI+TPS'!CW19</f>
        <v>0</v>
      </c>
      <c r="CX404" s="65">
        <f>'Special Corporate+ RI+TPS'!CX19</f>
        <v>0</v>
      </c>
      <c r="CY404" s="65">
        <f>'Special Corporate+ RI+TPS'!CY19</f>
        <v>0</v>
      </c>
      <c r="CZ404" s="65">
        <f>'Special Corporate+ RI+TPS'!CZ19</f>
        <v>0</v>
      </c>
      <c r="DA404" s="65">
        <f>'Special Corporate+ RI+TPS'!DA19</f>
        <v>0</v>
      </c>
      <c r="DB404" s="65">
        <f>'Special Corporate+ RI+TPS'!DB19</f>
        <v>0</v>
      </c>
      <c r="DC404" s="65">
        <f>'Special Corporate+ RI+TPS'!DC19</f>
        <v>0</v>
      </c>
      <c r="DD404" s="65">
        <f>'Special Corporate+ RI+TPS'!DD19</f>
        <v>0</v>
      </c>
      <c r="DE404" s="65">
        <f>'Special Corporate+ RI+TPS'!DE19</f>
        <v>0</v>
      </c>
      <c r="DF404" s="65">
        <f>'Special Corporate+ RI+TPS'!DF19</f>
        <v>0</v>
      </c>
      <c r="DG404" s="65">
        <f>'Special Corporate+ RI+TPS'!DG19</f>
        <v>0</v>
      </c>
      <c r="DH404" s="65">
        <f>'Special Corporate+ RI+TPS'!DH19</f>
        <v>0</v>
      </c>
      <c r="DI404" s="65">
        <f>'Special Corporate+ RI+TPS'!DI19</f>
        <v>0</v>
      </c>
      <c r="DJ404" s="65">
        <f>'Special Corporate+ RI+TPS'!DJ19</f>
        <v>0</v>
      </c>
      <c r="DK404" s="65">
        <f>'Special Corporate+ RI+TPS'!DK19</f>
        <v>0</v>
      </c>
      <c r="DL404" s="65">
        <f>'Special Corporate+ RI+TPS'!DL19</f>
        <v>0</v>
      </c>
      <c r="DM404" s="65">
        <f>'Special Corporate+ RI+TPS'!DM19</f>
        <v>0</v>
      </c>
      <c r="DN404" s="65">
        <f>'Special Corporate+ RI+TPS'!DN19</f>
        <v>0</v>
      </c>
      <c r="DO404" s="65">
        <f>'Special Corporate+ RI+TPS'!DO19</f>
        <v>0</v>
      </c>
      <c r="DP404" s="65">
        <f>'Special Corporate+ RI+TPS'!DP19</f>
        <v>0</v>
      </c>
      <c r="DQ404" s="65">
        <f>'Special Corporate+ RI+TPS'!DQ19</f>
        <v>0</v>
      </c>
      <c r="DR404" s="65">
        <f>'Special Corporate+ RI+TPS'!DR19</f>
        <v>0</v>
      </c>
      <c r="DS404" s="65">
        <f>'Special Corporate+ RI+TPS'!DS19</f>
        <v>0</v>
      </c>
      <c r="DT404" s="65">
        <f>'Special Corporate+ RI+TPS'!DT19</f>
        <v>0</v>
      </c>
      <c r="DU404" s="65">
        <f>'Special Corporate+ RI+TPS'!DU19</f>
        <v>0</v>
      </c>
      <c r="DV404" s="65">
        <f>'Special Corporate+ RI+TPS'!DV19</f>
        <v>0</v>
      </c>
      <c r="DW404" s="65">
        <f>'Special Corporate+ RI+TPS'!DW19</f>
        <v>0</v>
      </c>
      <c r="DX404" s="65">
        <f>'Special Corporate+ RI+TPS'!DX19</f>
        <v>0</v>
      </c>
      <c r="DY404" s="65">
        <f>'Special Corporate+ RI+TPS'!DY19</f>
        <v>0</v>
      </c>
      <c r="DZ404" s="65">
        <f>'Special Corporate+ RI+TPS'!DZ19</f>
        <v>0</v>
      </c>
      <c r="EA404" s="65">
        <f>'Special Corporate+ RI+TPS'!EA19</f>
        <v>0</v>
      </c>
      <c r="EB404" s="68"/>
    </row>
    <row r="405" spans="1:132" x14ac:dyDescent="0.2">
      <c r="A405" s="152"/>
      <c r="B405" s="65">
        <f>'Special Corporate+ RI+TPS'!B20</f>
        <v>0</v>
      </c>
      <c r="C405" s="65">
        <f>'Special Corporate+ RI+TPS'!C20</f>
        <v>0</v>
      </c>
      <c r="D405" s="65">
        <f>'Special Corporate+ RI+TPS'!D20</f>
        <v>0</v>
      </c>
      <c r="E405" s="65">
        <f>'Special Corporate+ RI+TPS'!E20</f>
        <v>0</v>
      </c>
      <c r="F405" s="65">
        <f>'Special Corporate+ RI+TPS'!F20</f>
        <v>0</v>
      </c>
      <c r="G405" s="65">
        <f>'Special Corporate+ RI+TPS'!G20</f>
        <v>0</v>
      </c>
      <c r="H405" s="65">
        <f>'Special Corporate+ RI+TPS'!H20</f>
        <v>0</v>
      </c>
      <c r="I405" s="65">
        <f>'Special Corporate+ RI+TPS'!I20</f>
        <v>0</v>
      </c>
      <c r="J405" s="65">
        <f>'Special Corporate+ RI+TPS'!J20</f>
        <v>0</v>
      </c>
      <c r="K405" s="65">
        <f>'Special Corporate+ RI+TPS'!K20</f>
        <v>0</v>
      </c>
      <c r="L405" s="65">
        <f>'Special Corporate+ RI+TPS'!L20</f>
        <v>0</v>
      </c>
      <c r="M405" s="65">
        <f>'Special Corporate+ RI+TPS'!M20</f>
        <v>0</v>
      </c>
      <c r="N405" s="65">
        <f>'Special Corporate+ RI+TPS'!N20</f>
        <v>0</v>
      </c>
      <c r="O405" s="65">
        <f>'Special Corporate+ RI+TPS'!O20</f>
        <v>0</v>
      </c>
      <c r="P405" s="65">
        <f>'Special Corporate+ RI+TPS'!P20</f>
        <v>0</v>
      </c>
      <c r="Q405" s="65">
        <f>'Special Corporate+ RI+TPS'!Q20</f>
        <v>0</v>
      </c>
      <c r="R405" s="65">
        <f>'Special Corporate+ RI+TPS'!R20</f>
        <v>0</v>
      </c>
      <c r="S405" s="65">
        <f>'Special Corporate+ RI+TPS'!S20</f>
        <v>0</v>
      </c>
      <c r="T405" s="65">
        <f>'Special Corporate+ RI+TPS'!T20</f>
        <v>0</v>
      </c>
      <c r="U405" s="65">
        <f>'Special Corporate+ RI+TPS'!U20</f>
        <v>0</v>
      </c>
      <c r="V405" s="65">
        <f>'Special Corporate+ RI+TPS'!V20</f>
        <v>0</v>
      </c>
      <c r="W405" s="65">
        <f>'Special Corporate+ RI+TPS'!W20</f>
        <v>0</v>
      </c>
      <c r="X405" s="65">
        <f>'Special Corporate+ RI+TPS'!X20</f>
        <v>0</v>
      </c>
      <c r="Y405" s="65">
        <f>'Special Corporate+ RI+TPS'!Y20</f>
        <v>0</v>
      </c>
      <c r="Z405" s="65">
        <f>'Special Corporate+ RI+TPS'!Z20</f>
        <v>0</v>
      </c>
      <c r="AA405" s="65">
        <f>'Special Corporate+ RI+TPS'!AA20</f>
        <v>0</v>
      </c>
      <c r="AB405" s="65">
        <f>'Special Corporate+ RI+TPS'!AB20</f>
        <v>0</v>
      </c>
      <c r="AC405" s="65">
        <f>'Special Corporate+ RI+TPS'!AC20</f>
        <v>0</v>
      </c>
      <c r="AD405" s="65">
        <f>'Special Corporate+ RI+TPS'!AD20</f>
        <v>0</v>
      </c>
      <c r="AE405" s="65">
        <f>'Special Corporate+ RI+TPS'!AE20</f>
        <v>0</v>
      </c>
      <c r="AF405" s="65">
        <f>'Special Corporate+ RI+TPS'!AF20</f>
        <v>0</v>
      </c>
      <c r="AG405" s="65">
        <f>'Special Corporate+ RI+TPS'!AG20</f>
        <v>0</v>
      </c>
      <c r="AH405" s="65">
        <f>'Special Corporate+ RI+TPS'!AH20</f>
        <v>0</v>
      </c>
      <c r="AI405" s="65">
        <f>'Special Corporate+ RI+TPS'!AI20</f>
        <v>0</v>
      </c>
      <c r="AJ405" s="65">
        <f>'Special Corporate+ RI+TPS'!AJ20</f>
        <v>0</v>
      </c>
      <c r="AK405" s="65">
        <f>'Special Corporate+ RI+TPS'!AK20</f>
        <v>0</v>
      </c>
      <c r="AL405" s="65">
        <f>'Special Corporate+ RI+TPS'!AL20</f>
        <v>0</v>
      </c>
      <c r="AM405" s="65">
        <f>'Special Corporate+ RI+TPS'!AM20</f>
        <v>0</v>
      </c>
      <c r="AN405" s="65">
        <f>'Special Corporate+ RI+TPS'!AN20</f>
        <v>0</v>
      </c>
      <c r="AO405" s="65">
        <f>'Special Corporate+ RI+TPS'!AO20</f>
        <v>0</v>
      </c>
      <c r="AP405" s="65">
        <f>'Special Corporate+ RI+TPS'!AP20</f>
        <v>0</v>
      </c>
      <c r="AQ405" s="65">
        <f>'Special Corporate+ RI+TPS'!AQ20</f>
        <v>0</v>
      </c>
      <c r="AR405" s="65">
        <f>'Special Corporate+ RI+TPS'!AR20</f>
        <v>0</v>
      </c>
      <c r="AS405" s="65">
        <f>'Special Corporate+ RI+TPS'!AS20</f>
        <v>0</v>
      </c>
      <c r="AT405" s="65">
        <f>'Special Corporate+ RI+TPS'!AT20</f>
        <v>0</v>
      </c>
      <c r="AU405" s="65">
        <f>'Special Corporate+ RI+TPS'!AU20</f>
        <v>0</v>
      </c>
      <c r="AV405" s="65">
        <f>'Special Corporate+ RI+TPS'!AV20</f>
        <v>0</v>
      </c>
      <c r="AW405" s="65">
        <f>'Special Corporate+ RI+TPS'!AW20</f>
        <v>0</v>
      </c>
      <c r="AX405" s="65">
        <f>'Special Corporate+ RI+TPS'!AX20</f>
        <v>0</v>
      </c>
      <c r="AY405" s="65">
        <f>'Special Corporate+ RI+TPS'!AY20</f>
        <v>0</v>
      </c>
      <c r="AZ405" s="65">
        <f>'Special Corporate+ RI+TPS'!AZ20</f>
        <v>0</v>
      </c>
      <c r="BA405" s="65">
        <f>'Special Corporate+ RI+TPS'!BA20</f>
        <v>0</v>
      </c>
      <c r="BB405" s="65">
        <f>'Special Corporate+ RI+TPS'!BB20</f>
        <v>0</v>
      </c>
      <c r="BC405" s="65">
        <f>'Special Corporate+ RI+TPS'!BC20</f>
        <v>0</v>
      </c>
      <c r="BD405" s="65">
        <f>'Special Corporate+ RI+TPS'!BD20</f>
        <v>0</v>
      </c>
      <c r="BE405" s="65">
        <f>'Special Corporate+ RI+TPS'!BE20</f>
        <v>0</v>
      </c>
      <c r="BF405" s="65">
        <f>'Special Corporate+ RI+TPS'!BF20</f>
        <v>0</v>
      </c>
      <c r="BG405" s="65">
        <f>'Special Corporate+ RI+TPS'!BG20</f>
        <v>0</v>
      </c>
      <c r="BH405" s="65">
        <f>'Special Corporate+ RI+TPS'!BH20</f>
        <v>0</v>
      </c>
      <c r="BI405" s="65">
        <f>'Special Corporate+ RI+TPS'!BI20</f>
        <v>0</v>
      </c>
      <c r="BJ405" s="65">
        <f>'Special Corporate+ RI+TPS'!BJ20</f>
        <v>0</v>
      </c>
      <c r="BK405" s="65">
        <f>'Special Corporate+ RI+TPS'!BK20</f>
        <v>0</v>
      </c>
      <c r="BL405" s="65">
        <f>'Special Corporate+ RI+TPS'!BL20</f>
        <v>0</v>
      </c>
      <c r="BM405" s="65">
        <f>'Special Corporate+ RI+TPS'!BM20</f>
        <v>0</v>
      </c>
      <c r="BN405" s="65">
        <f>'Special Corporate+ RI+TPS'!BN20</f>
        <v>0</v>
      </c>
      <c r="BO405" s="65">
        <f>'Special Corporate+ RI+TPS'!BO20</f>
        <v>0</v>
      </c>
      <c r="BP405" s="65">
        <f>'Special Corporate+ RI+TPS'!BP20</f>
        <v>0</v>
      </c>
      <c r="BQ405" s="65">
        <f>'Special Corporate+ RI+TPS'!BQ20</f>
        <v>0</v>
      </c>
      <c r="BR405" s="65">
        <f>'Special Corporate+ RI+TPS'!BR20</f>
        <v>0</v>
      </c>
      <c r="BS405" s="65">
        <f>'Special Corporate+ RI+TPS'!BS20</f>
        <v>0</v>
      </c>
      <c r="BT405" s="65">
        <f>'Special Corporate+ RI+TPS'!BT20</f>
        <v>0</v>
      </c>
      <c r="BU405" s="65">
        <f>'Special Corporate+ RI+TPS'!BU20</f>
        <v>0</v>
      </c>
      <c r="BV405" s="65">
        <f>'Special Corporate+ RI+TPS'!BV20</f>
        <v>0</v>
      </c>
      <c r="BW405" s="65">
        <f>'Special Corporate+ RI+TPS'!BW20</f>
        <v>0</v>
      </c>
      <c r="BX405" s="65">
        <f>'Special Corporate+ RI+TPS'!BX20</f>
        <v>0</v>
      </c>
      <c r="BY405" s="65">
        <f>'Special Corporate+ RI+TPS'!BY20</f>
        <v>0</v>
      </c>
      <c r="BZ405" s="65">
        <f>'Special Corporate+ RI+TPS'!BZ20</f>
        <v>0</v>
      </c>
      <c r="CA405" s="65">
        <f>'Special Corporate+ RI+TPS'!CA20</f>
        <v>0</v>
      </c>
      <c r="CB405" s="65">
        <f>'Special Corporate+ RI+TPS'!CB20</f>
        <v>0</v>
      </c>
      <c r="CC405" s="65">
        <f>'Special Corporate+ RI+TPS'!CC20</f>
        <v>0</v>
      </c>
      <c r="CD405" s="65">
        <f>'Special Corporate+ RI+TPS'!CD20</f>
        <v>0</v>
      </c>
      <c r="CE405" s="65">
        <f>'Special Corporate+ RI+TPS'!CE20</f>
        <v>0</v>
      </c>
      <c r="CF405" s="65">
        <f>'Special Corporate+ RI+TPS'!CF20</f>
        <v>0</v>
      </c>
      <c r="CG405" s="65">
        <f>'Special Corporate+ RI+TPS'!CG20</f>
        <v>0</v>
      </c>
      <c r="CH405" s="65">
        <f>'Special Corporate+ RI+TPS'!CH20</f>
        <v>0</v>
      </c>
      <c r="CI405" s="65">
        <f>'Special Corporate+ RI+TPS'!CI20</f>
        <v>0</v>
      </c>
      <c r="CJ405" s="65">
        <f>'Special Corporate+ RI+TPS'!CJ20</f>
        <v>0</v>
      </c>
      <c r="CK405" s="65">
        <f>'Special Corporate+ RI+TPS'!CK20</f>
        <v>0</v>
      </c>
      <c r="CL405" s="65">
        <f>'Special Corporate+ RI+TPS'!CL20</f>
        <v>0</v>
      </c>
      <c r="CM405" s="65">
        <f>'Special Corporate+ RI+TPS'!CM20</f>
        <v>0</v>
      </c>
      <c r="CN405" s="65">
        <f>'Special Corporate+ RI+TPS'!CN20</f>
        <v>0</v>
      </c>
      <c r="CO405" s="65">
        <f>'Special Corporate+ RI+TPS'!CO20</f>
        <v>0</v>
      </c>
      <c r="CP405" s="65">
        <f>'Special Corporate+ RI+TPS'!CP20</f>
        <v>0</v>
      </c>
      <c r="CQ405" s="65">
        <f>'Special Corporate+ RI+TPS'!CQ20</f>
        <v>0</v>
      </c>
      <c r="CR405" s="65">
        <f>'Special Corporate+ RI+TPS'!CR20</f>
        <v>0</v>
      </c>
      <c r="CS405" s="65">
        <f>'Special Corporate+ RI+TPS'!CS20</f>
        <v>0</v>
      </c>
      <c r="CT405" s="65">
        <f>'Special Corporate+ RI+TPS'!CT20</f>
        <v>0</v>
      </c>
      <c r="CU405" s="65">
        <f>'Special Corporate+ RI+TPS'!CU20</f>
        <v>0</v>
      </c>
      <c r="CV405" s="65">
        <f>'Special Corporate+ RI+TPS'!CV20</f>
        <v>0</v>
      </c>
      <c r="CW405" s="65">
        <f>'Special Corporate+ RI+TPS'!CW20</f>
        <v>0</v>
      </c>
      <c r="CX405" s="65">
        <f>'Special Corporate+ RI+TPS'!CX20</f>
        <v>0</v>
      </c>
      <c r="CY405" s="65">
        <f>'Special Corporate+ RI+TPS'!CY20</f>
        <v>0</v>
      </c>
      <c r="CZ405" s="65">
        <f>'Special Corporate+ RI+TPS'!CZ20</f>
        <v>0</v>
      </c>
      <c r="DA405" s="65">
        <f>'Special Corporate+ RI+TPS'!DA20</f>
        <v>0</v>
      </c>
      <c r="DB405" s="65">
        <f>'Special Corporate+ RI+TPS'!DB20</f>
        <v>0</v>
      </c>
      <c r="DC405" s="65">
        <f>'Special Corporate+ RI+TPS'!DC20</f>
        <v>0</v>
      </c>
      <c r="DD405" s="65">
        <f>'Special Corporate+ RI+TPS'!DD20</f>
        <v>0</v>
      </c>
      <c r="DE405" s="65">
        <f>'Special Corporate+ RI+TPS'!DE20</f>
        <v>0</v>
      </c>
      <c r="DF405" s="65">
        <f>'Special Corporate+ RI+TPS'!DF20</f>
        <v>0</v>
      </c>
      <c r="DG405" s="65">
        <f>'Special Corporate+ RI+TPS'!DG20</f>
        <v>0</v>
      </c>
      <c r="DH405" s="65">
        <f>'Special Corporate+ RI+TPS'!DH20</f>
        <v>0</v>
      </c>
      <c r="DI405" s="65">
        <f>'Special Corporate+ RI+TPS'!DI20</f>
        <v>0</v>
      </c>
      <c r="DJ405" s="65">
        <f>'Special Corporate+ RI+TPS'!DJ20</f>
        <v>0</v>
      </c>
      <c r="DK405" s="65">
        <f>'Special Corporate+ RI+TPS'!DK20</f>
        <v>0</v>
      </c>
      <c r="DL405" s="65">
        <f>'Special Corporate+ RI+TPS'!DL20</f>
        <v>0</v>
      </c>
      <c r="DM405" s="65">
        <f>'Special Corporate+ RI+TPS'!DM20</f>
        <v>0</v>
      </c>
      <c r="DN405" s="65">
        <f>'Special Corporate+ RI+TPS'!DN20</f>
        <v>0</v>
      </c>
      <c r="DO405" s="65">
        <f>'Special Corporate+ RI+TPS'!DO20</f>
        <v>0</v>
      </c>
      <c r="DP405" s="65">
        <f>'Special Corporate+ RI+TPS'!DP20</f>
        <v>0</v>
      </c>
      <c r="DQ405" s="65">
        <f>'Special Corporate+ RI+TPS'!DQ20</f>
        <v>0</v>
      </c>
      <c r="DR405" s="65">
        <f>'Special Corporate+ RI+TPS'!DR20</f>
        <v>0</v>
      </c>
      <c r="DS405" s="65">
        <f>'Special Corporate+ RI+TPS'!DS20</f>
        <v>0</v>
      </c>
      <c r="DT405" s="65">
        <f>'Special Corporate+ RI+TPS'!DT20</f>
        <v>0</v>
      </c>
      <c r="DU405" s="65">
        <f>'Special Corporate+ RI+TPS'!DU20</f>
        <v>0</v>
      </c>
      <c r="DV405" s="65">
        <f>'Special Corporate+ RI+TPS'!DV20</f>
        <v>0</v>
      </c>
      <c r="DW405" s="65">
        <f>'Special Corporate+ RI+TPS'!DW20</f>
        <v>0</v>
      </c>
      <c r="DX405" s="65">
        <f>'Special Corporate+ RI+TPS'!DX20</f>
        <v>0</v>
      </c>
      <c r="DY405" s="65">
        <f>'Special Corporate+ RI+TPS'!DY20</f>
        <v>0</v>
      </c>
      <c r="DZ405" s="65">
        <f>'Special Corporate+ RI+TPS'!DZ20</f>
        <v>0</v>
      </c>
      <c r="EA405" s="65">
        <f>'Special Corporate+ RI+TPS'!EA20</f>
        <v>0</v>
      </c>
      <c r="EB405" s="68"/>
    </row>
    <row r="406" spans="1:132" x14ac:dyDescent="0.2">
      <c r="A406" s="152"/>
      <c r="B406" s="65">
        <f>'Special Corporate+ RI+TPS'!B21</f>
        <v>0</v>
      </c>
      <c r="C406" s="65">
        <f>'Special Corporate+ RI+TPS'!C21</f>
        <v>0</v>
      </c>
      <c r="D406" s="65">
        <f>'Special Corporate+ RI+TPS'!D21</f>
        <v>0</v>
      </c>
      <c r="E406" s="65">
        <f>'Special Corporate+ RI+TPS'!E21</f>
        <v>0</v>
      </c>
      <c r="F406" s="65">
        <f>'Special Corporate+ RI+TPS'!F21</f>
        <v>0</v>
      </c>
      <c r="G406" s="65">
        <f>'Special Corporate+ RI+TPS'!G21</f>
        <v>0</v>
      </c>
      <c r="H406" s="65">
        <f>'Special Corporate+ RI+TPS'!H21</f>
        <v>0</v>
      </c>
      <c r="I406" s="65">
        <f>'Special Corporate+ RI+TPS'!I21</f>
        <v>0</v>
      </c>
      <c r="J406" s="65">
        <f>'Special Corporate+ RI+TPS'!J21</f>
        <v>0</v>
      </c>
      <c r="K406" s="65">
        <f>'Special Corporate+ RI+TPS'!K21</f>
        <v>0</v>
      </c>
      <c r="L406" s="65">
        <f>'Special Corporate+ RI+TPS'!L21</f>
        <v>0</v>
      </c>
      <c r="M406" s="65">
        <f>'Special Corporate+ RI+TPS'!M21</f>
        <v>0</v>
      </c>
      <c r="N406" s="65">
        <f>'Special Corporate+ RI+TPS'!N21</f>
        <v>0</v>
      </c>
      <c r="O406" s="65">
        <f>'Special Corporate+ RI+TPS'!O21</f>
        <v>0</v>
      </c>
      <c r="P406" s="65">
        <f>'Special Corporate+ RI+TPS'!P21</f>
        <v>0</v>
      </c>
      <c r="Q406" s="65">
        <f>'Special Corporate+ RI+TPS'!Q21</f>
        <v>0</v>
      </c>
      <c r="R406" s="65">
        <f>'Special Corporate+ RI+TPS'!R21</f>
        <v>0</v>
      </c>
      <c r="S406" s="65">
        <f>'Special Corporate+ RI+TPS'!S21</f>
        <v>0</v>
      </c>
      <c r="T406" s="65">
        <f>'Special Corporate+ RI+TPS'!T21</f>
        <v>0</v>
      </c>
      <c r="U406" s="65">
        <f>'Special Corporate+ RI+TPS'!U21</f>
        <v>0</v>
      </c>
      <c r="V406" s="65">
        <f>'Special Corporate+ RI+TPS'!V21</f>
        <v>0</v>
      </c>
      <c r="W406" s="65">
        <f>'Special Corporate+ RI+TPS'!W21</f>
        <v>0</v>
      </c>
      <c r="X406" s="65">
        <f>'Special Corporate+ RI+TPS'!X21</f>
        <v>0</v>
      </c>
      <c r="Y406" s="65">
        <f>'Special Corporate+ RI+TPS'!Y21</f>
        <v>0</v>
      </c>
      <c r="Z406" s="65">
        <f>'Special Corporate+ RI+TPS'!Z21</f>
        <v>0</v>
      </c>
      <c r="AA406" s="65">
        <f>'Special Corporate+ RI+TPS'!AA21</f>
        <v>0</v>
      </c>
      <c r="AB406" s="65">
        <f>'Special Corporate+ RI+TPS'!AB21</f>
        <v>0</v>
      </c>
      <c r="AC406" s="65">
        <f>'Special Corporate+ RI+TPS'!AC21</f>
        <v>0</v>
      </c>
      <c r="AD406" s="65">
        <f>'Special Corporate+ RI+TPS'!AD21</f>
        <v>0</v>
      </c>
      <c r="AE406" s="65">
        <f>'Special Corporate+ RI+TPS'!AE21</f>
        <v>0</v>
      </c>
      <c r="AF406" s="65">
        <f>'Special Corporate+ RI+TPS'!AF21</f>
        <v>0</v>
      </c>
      <c r="AG406" s="65">
        <f>'Special Corporate+ RI+TPS'!AG21</f>
        <v>0</v>
      </c>
      <c r="AH406" s="65">
        <f>'Special Corporate+ RI+TPS'!AH21</f>
        <v>0</v>
      </c>
      <c r="AI406" s="65">
        <f>'Special Corporate+ RI+TPS'!AI21</f>
        <v>0</v>
      </c>
      <c r="AJ406" s="65">
        <f>'Special Corporate+ RI+TPS'!AJ21</f>
        <v>0</v>
      </c>
      <c r="AK406" s="65">
        <f>'Special Corporate+ RI+TPS'!AK21</f>
        <v>0</v>
      </c>
      <c r="AL406" s="65">
        <f>'Special Corporate+ RI+TPS'!AL21</f>
        <v>0</v>
      </c>
      <c r="AM406" s="65">
        <f>'Special Corporate+ RI+TPS'!AM21</f>
        <v>0</v>
      </c>
      <c r="AN406" s="65">
        <f>'Special Corporate+ RI+TPS'!AN21</f>
        <v>0</v>
      </c>
      <c r="AO406" s="65">
        <f>'Special Corporate+ RI+TPS'!AO21</f>
        <v>0</v>
      </c>
      <c r="AP406" s="65">
        <f>'Special Corporate+ RI+TPS'!AP21</f>
        <v>0</v>
      </c>
      <c r="AQ406" s="65">
        <f>'Special Corporate+ RI+TPS'!AQ21</f>
        <v>0</v>
      </c>
      <c r="AR406" s="65">
        <f>'Special Corporate+ RI+TPS'!AR21</f>
        <v>0</v>
      </c>
      <c r="AS406" s="65">
        <f>'Special Corporate+ RI+TPS'!AS21</f>
        <v>0</v>
      </c>
      <c r="AT406" s="65">
        <f>'Special Corporate+ RI+TPS'!AT21</f>
        <v>0</v>
      </c>
      <c r="AU406" s="65">
        <f>'Special Corporate+ RI+TPS'!AU21</f>
        <v>0</v>
      </c>
      <c r="AV406" s="65">
        <f>'Special Corporate+ RI+TPS'!AV21</f>
        <v>0</v>
      </c>
      <c r="AW406" s="65">
        <f>'Special Corporate+ RI+TPS'!AW21</f>
        <v>0</v>
      </c>
      <c r="AX406" s="65">
        <f>'Special Corporate+ RI+TPS'!AX21</f>
        <v>0</v>
      </c>
      <c r="AY406" s="65">
        <f>'Special Corporate+ RI+TPS'!AY21</f>
        <v>0</v>
      </c>
      <c r="AZ406" s="65">
        <f>'Special Corporate+ RI+TPS'!AZ21</f>
        <v>0</v>
      </c>
      <c r="BA406" s="65">
        <f>'Special Corporate+ RI+TPS'!BA21</f>
        <v>0</v>
      </c>
      <c r="BB406" s="65">
        <f>'Special Corporate+ RI+TPS'!BB21</f>
        <v>0</v>
      </c>
      <c r="BC406" s="65">
        <f>'Special Corporate+ RI+TPS'!BC21</f>
        <v>0</v>
      </c>
      <c r="BD406" s="65">
        <f>'Special Corporate+ RI+TPS'!BD21</f>
        <v>0</v>
      </c>
      <c r="BE406" s="65">
        <f>'Special Corporate+ RI+TPS'!BE21</f>
        <v>0</v>
      </c>
      <c r="BF406" s="65">
        <f>'Special Corporate+ RI+TPS'!BF21</f>
        <v>0</v>
      </c>
      <c r="BG406" s="65">
        <f>'Special Corporate+ RI+TPS'!BG21</f>
        <v>0</v>
      </c>
      <c r="BH406" s="65">
        <f>'Special Corporate+ RI+TPS'!BH21</f>
        <v>0</v>
      </c>
      <c r="BI406" s="65">
        <f>'Special Corporate+ RI+TPS'!BI21</f>
        <v>0</v>
      </c>
      <c r="BJ406" s="65">
        <f>'Special Corporate+ RI+TPS'!BJ21</f>
        <v>0</v>
      </c>
      <c r="BK406" s="65">
        <f>'Special Corporate+ RI+TPS'!BK21</f>
        <v>0</v>
      </c>
      <c r="BL406" s="65">
        <f>'Special Corporate+ RI+TPS'!BL21</f>
        <v>0</v>
      </c>
      <c r="BM406" s="65">
        <f>'Special Corporate+ RI+TPS'!BM21</f>
        <v>0</v>
      </c>
      <c r="BN406" s="65">
        <f>'Special Corporate+ RI+TPS'!BN21</f>
        <v>0</v>
      </c>
      <c r="BO406" s="65">
        <f>'Special Corporate+ RI+TPS'!BO21</f>
        <v>0</v>
      </c>
      <c r="BP406" s="65">
        <f>'Special Corporate+ RI+TPS'!BP21</f>
        <v>0</v>
      </c>
      <c r="BQ406" s="65">
        <f>'Special Corporate+ RI+TPS'!BQ21</f>
        <v>0</v>
      </c>
      <c r="BR406" s="65">
        <f>'Special Corporate+ RI+TPS'!BR21</f>
        <v>0</v>
      </c>
      <c r="BS406" s="65">
        <f>'Special Corporate+ RI+TPS'!BS21</f>
        <v>0</v>
      </c>
      <c r="BT406" s="65">
        <f>'Special Corporate+ RI+TPS'!BT21</f>
        <v>0</v>
      </c>
      <c r="BU406" s="65">
        <f>'Special Corporate+ RI+TPS'!BU21</f>
        <v>0</v>
      </c>
      <c r="BV406" s="65">
        <f>'Special Corporate+ RI+TPS'!BV21</f>
        <v>0</v>
      </c>
      <c r="BW406" s="65">
        <f>'Special Corporate+ RI+TPS'!BW21</f>
        <v>0</v>
      </c>
      <c r="BX406" s="65">
        <f>'Special Corporate+ RI+TPS'!BX21</f>
        <v>0</v>
      </c>
      <c r="BY406" s="65">
        <f>'Special Corporate+ RI+TPS'!BY21</f>
        <v>0</v>
      </c>
      <c r="BZ406" s="65">
        <f>'Special Corporate+ RI+TPS'!BZ21</f>
        <v>0</v>
      </c>
      <c r="CA406" s="65">
        <f>'Special Corporate+ RI+TPS'!CA21</f>
        <v>0</v>
      </c>
      <c r="CB406" s="65">
        <f>'Special Corporate+ RI+TPS'!CB21</f>
        <v>0</v>
      </c>
      <c r="CC406" s="65">
        <f>'Special Corporate+ RI+TPS'!CC21</f>
        <v>0</v>
      </c>
      <c r="CD406" s="65">
        <f>'Special Corporate+ RI+TPS'!CD21</f>
        <v>0</v>
      </c>
      <c r="CE406" s="65">
        <f>'Special Corporate+ RI+TPS'!CE21</f>
        <v>0</v>
      </c>
      <c r="CF406" s="65">
        <f>'Special Corporate+ RI+TPS'!CF21</f>
        <v>0</v>
      </c>
      <c r="CG406" s="65">
        <f>'Special Corporate+ RI+TPS'!CG21</f>
        <v>0</v>
      </c>
      <c r="CH406" s="65">
        <f>'Special Corporate+ RI+TPS'!CH21</f>
        <v>0</v>
      </c>
      <c r="CI406" s="65">
        <f>'Special Corporate+ RI+TPS'!CI21</f>
        <v>0</v>
      </c>
      <c r="CJ406" s="65">
        <f>'Special Corporate+ RI+TPS'!CJ21</f>
        <v>0</v>
      </c>
      <c r="CK406" s="65">
        <f>'Special Corporate+ RI+TPS'!CK21</f>
        <v>0</v>
      </c>
      <c r="CL406" s="65">
        <f>'Special Corporate+ RI+TPS'!CL21</f>
        <v>0</v>
      </c>
      <c r="CM406" s="65">
        <f>'Special Corporate+ RI+TPS'!CM21</f>
        <v>0</v>
      </c>
      <c r="CN406" s="65">
        <f>'Special Corporate+ RI+TPS'!CN21</f>
        <v>0</v>
      </c>
      <c r="CO406" s="65">
        <f>'Special Corporate+ RI+TPS'!CO21</f>
        <v>0</v>
      </c>
      <c r="CP406" s="65">
        <f>'Special Corporate+ RI+TPS'!CP21</f>
        <v>0</v>
      </c>
      <c r="CQ406" s="65">
        <f>'Special Corporate+ RI+TPS'!CQ21</f>
        <v>0</v>
      </c>
      <c r="CR406" s="65">
        <f>'Special Corporate+ RI+TPS'!CR21</f>
        <v>0</v>
      </c>
      <c r="CS406" s="65">
        <f>'Special Corporate+ RI+TPS'!CS21</f>
        <v>0</v>
      </c>
      <c r="CT406" s="65">
        <f>'Special Corporate+ RI+TPS'!CT21</f>
        <v>0</v>
      </c>
      <c r="CU406" s="65">
        <f>'Special Corporate+ RI+TPS'!CU21</f>
        <v>0</v>
      </c>
      <c r="CV406" s="65">
        <f>'Special Corporate+ RI+TPS'!CV21</f>
        <v>0</v>
      </c>
      <c r="CW406" s="65">
        <f>'Special Corporate+ RI+TPS'!CW21</f>
        <v>0</v>
      </c>
      <c r="CX406" s="65">
        <f>'Special Corporate+ RI+TPS'!CX21</f>
        <v>0</v>
      </c>
      <c r="CY406" s="65">
        <f>'Special Corporate+ RI+TPS'!CY21</f>
        <v>0</v>
      </c>
      <c r="CZ406" s="65">
        <f>'Special Corporate+ RI+TPS'!CZ21</f>
        <v>0</v>
      </c>
      <c r="DA406" s="65">
        <f>'Special Corporate+ RI+TPS'!DA21</f>
        <v>0</v>
      </c>
      <c r="DB406" s="65">
        <f>'Special Corporate+ RI+TPS'!DB21</f>
        <v>0</v>
      </c>
      <c r="DC406" s="65">
        <f>'Special Corporate+ RI+TPS'!DC21</f>
        <v>0</v>
      </c>
      <c r="DD406" s="65">
        <f>'Special Corporate+ RI+TPS'!DD21</f>
        <v>0</v>
      </c>
      <c r="DE406" s="65">
        <f>'Special Corporate+ RI+TPS'!DE21</f>
        <v>0</v>
      </c>
      <c r="DF406" s="65">
        <f>'Special Corporate+ RI+TPS'!DF21</f>
        <v>0</v>
      </c>
      <c r="DG406" s="65">
        <f>'Special Corporate+ RI+TPS'!DG21</f>
        <v>0</v>
      </c>
      <c r="DH406" s="65">
        <f>'Special Corporate+ RI+TPS'!DH21</f>
        <v>0</v>
      </c>
      <c r="DI406" s="65">
        <f>'Special Corporate+ RI+TPS'!DI21</f>
        <v>0</v>
      </c>
      <c r="DJ406" s="65">
        <f>'Special Corporate+ RI+TPS'!DJ21</f>
        <v>0</v>
      </c>
      <c r="DK406" s="65">
        <f>'Special Corporate+ RI+TPS'!DK21</f>
        <v>0</v>
      </c>
      <c r="DL406" s="65">
        <f>'Special Corporate+ RI+TPS'!DL21</f>
        <v>0</v>
      </c>
      <c r="DM406" s="65">
        <f>'Special Corporate+ RI+TPS'!DM21</f>
        <v>0</v>
      </c>
      <c r="DN406" s="65">
        <f>'Special Corporate+ RI+TPS'!DN21</f>
        <v>0</v>
      </c>
      <c r="DO406" s="65">
        <f>'Special Corporate+ RI+TPS'!DO21</f>
        <v>0</v>
      </c>
      <c r="DP406" s="65">
        <f>'Special Corporate+ RI+TPS'!DP21</f>
        <v>0</v>
      </c>
      <c r="DQ406" s="65">
        <f>'Special Corporate+ RI+TPS'!DQ21</f>
        <v>0</v>
      </c>
      <c r="DR406" s="65">
        <f>'Special Corporate+ RI+TPS'!DR21</f>
        <v>0</v>
      </c>
      <c r="DS406" s="65">
        <f>'Special Corporate+ RI+TPS'!DS21</f>
        <v>0</v>
      </c>
      <c r="DT406" s="65">
        <f>'Special Corporate+ RI+TPS'!DT21</f>
        <v>0</v>
      </c>
      <c r="DU406" s="65">
        <f>'Special Corporate+ RI+TPS'!DU21</f>
        <v>0</v>
      </c>
      <c r="DV406" s="65">
        <f>'Special Corporate+ RI+TPS'!DV21</f>
        <v>0</v>
      </c>
      <c r="DW406" s="65">
        <f>'Special Corporate+ RI+TPS'!DW21</f>
        <v>0</v>
      </c>
      <c r="DX406" s="65">
        <f>'Special Corporate+ RI+TPS'!DX21</f>
        <v>0</v>
      </c>
      <c r="DY406" s="65">
        <f>'Special Corporate+ RI+TPS'!DY21</f>
        <v>0</v>
      </c>
      <c r="DZ406" s="65">
        <f>'Special Corporate+ RI+TPS'!DZ21</f>
        <v>0</v>
      </c>
      <c r="EA406" s="65">
        <f>'Special Corporate+ RI+TPS'!EA21</f>
        <v>0</v>
      </c>
      <c r="EB406" s="68"/>
    </row>
    <row r="407" spans="1:132" x14ac:dyDescent="0.2">
      <c r="A407" s="152"/>
      <c r="B407" s="65">
        <f>'Special Corporate+ RI+TPS'!B22</f>
        <v>0</v>
      </c>
      <c r="C407" s="65">
        <f>'Special Corporate+ RI+TPS'!C22</f>
        <v>0</v>
      </c>
      <c r="D407" s="65">
        <f>'Special Corporate+ RI+TPS'!D22</f>
        <v>0</v>
      </c>
      <c r="E407" s="65">
        <f>'Special Corporate+ RI+TPS'!E22</f>
        <v>0</v>
      </c>
      <c r="F407" s="65">
        <f>'Special Corporate+ RI+TPS'!F22</f>
        <v>0</v>
      </c>
      <c r="G407" s="65">
        <f>'Special Corporate+ RI+TPS'!G22</f>
        <v>0</v>
      </c>
      <c r="H407" s="65">
        <f>'Special Corporate+ RI+TPS'!H22</f>
        <v>0</v>
      </c>
      <c r="I407" s="65">
        <f>'Special Corporate+ RI+TPS'!I22</f>
        <v>0</v>
      </c>
      <c r="J407" s="65">
        <f>'Special Corporate+ RI+TPS'!J22</f>
        <v>0</v>
      </c>
      <c r="K407" s="65">
        <f>'Special Corporate+ RI+TPS'!K22</f>
        <v>0</v>
      </c>
      <c r="L407" s="65">
        <f>'Special Corporate+ RI+TPS'!L22</f>
        <v>0</v>
      </c>
      <c r="M407" s="65">
        <f>'Special Corporate+ RI+TPS'!M22</f>
        <v>0</v>
      </c>
      <c r="N407" s="65">
        <f>'Special Corporate+ RI+TPS'!N22</f>
        <v>0</v>
      </c>
      <c r="O407" s="65">
        <f>'Special Corporate+ RI+TPS'!O22</f>
        <v>0</v>
      </c>
      <c r="P407" s="65">
        <f>'Special Corporate+ RI+TPS'!P22</f>
        <v>0</v>
      </c>
      <c r="Q407" s="65">
        <f>'Special Corporate+ RI+TPS'!Q22</f>
        <v>0</v>
      </c>
      <c r="R407" s="65">
        <f>'Special Corporate+ RI+TPS'!R22</f>
        <v>0</v>
      </c>
      <c r="S407" s="65">
        <f>'Special Corporate+ RI+TPS'!S22</f>
        <v>0</v>
      </c>
      <c r="T407" s="65">
        <f>'Special Corporate+ RI+TPS'!T22</f>
        <v>0</v>
      </c>
      <c r="U407" s="65">
        <f>'Special Corporate+ RI+TPS'!U22</f>
        <v>0</v>
      </c>
      <c r="V407" s="65">
        <f>'Special Corporate+ RI+TPS'!V22</f>
        <v>0</v>
      </c>
      <c r="W407" s="65">
        <f>'Special Corporate+ RI+TPS'!W22</f>
        <v>0</v>
      </c>
      <c r="X407" s="65">
        <f>'Special Corporate+ RI+TPS'!X22</f>
        <v>0</v>
      </c>
      <c r="Y407" s="65">
        <f>'Special Corporate+ RI+TPS'!Y22</f>
        <v>0</v>
      </c>
      <c r="Z407" s="65">
        <f>'Special Corporate+ RI+TPS'!Z22</f>
        <v>0</v>
      </c>
      <c r="AA407" s="65">
        <f>'Special Corporate+ RI+TPS'!AA22</f>
        <v>0</v>
      </c>
      <c r="AB407" s="65">
        <f>'Special Corporate+ RI+TPS'!AB22</f>
        <v>0</v>
      </c>
      <c r="AC407" s="65">
        <f>'Special Corporate+ RI+TPS'!AC22</f>
        <v>0</v>
      </c>
      <c r="AD407" s="65">
        <f>'Special Corporate+ RI+TPS'!AD22</f>
        <v>0</v>
      </c>
      <c r="AE407" s="65">
        <f>'Special Corporate+ RI+TPS'!AE22</f>
        <v>0</v>
      </c>
      <c r="AF407" s="65">
        <f>'Special Corporate+ RI+TPS'!AF22</f>
        <v>0</v>
      </c>
      <c r="AG407" s="65">
        <f>'Special Corporate+ RI+TPS'!AG22</f>
        <v>0</v>
      </c>
      <c r="AH407" s="65">
        <f>'Special Corporate+ RI+TPS'!AH22</f>
        <v>0</v>
      </c>
      <c r="AI407" s="65">
        <f>'Special Corporate+ RI+TPS'!AI22</f>
        <v>0</v>
      </c>
      <c r="AJ407" s="65">
        <f>'Special Corporate+ RI+TPS'!AJ22</f>
        <v>0</v>
      </c>
      <c r="AK407" s="65">
        <f>'Special Corporate+ RI+TPS'!AK22</f>
        <v>0</v>
      </c>
      <c r="AL407" s="65">
        <f>'Special Corporate+ RI+TPS'!AL22</f>
        <v>0</v>
      </c>
      <c r="AM407" s="65">
        <f>'Special Corporate+ RI+TPS'!AM22</f>
        <v>0</v>
      </c>
      <c r="AN407" s="65">
        <f>'Special Corporate+ RI+TPS'!AN22</f>
        <v>0</v>
      </c>
      <c r="AO407" s="65">
        <f>'Special Corporate+ RI+TPS'!AO22</f>
        <v>0</v>
      </c>
      <c r="AP407" s="65">
        <f>'Special Corporate+ RI+TPS'!AP22</f>
        <v>0</v>
      </c>
      <c r="AQ407" s="65">
        <f>'Special Corporate+ RI+TPS'!AQ22</f>
        <v>0</v>
      </c>
      <c r="AR407" s="65">
        <f>'Special Corporate+ RI+TPS'!AR22</f>
        <v>0</v>
      </c>
      <c r="AS407" s="65">
        <f>'Special Corporate+ RI+TPS'!AS22</f>
        <v>0</v>
      </c>
      <c r="AT407" s="65">
        <f>'Special Corporate+ RI+TPS'!AT22</f>
        <v>0</v>
      </c>
      <c r="AU407" s="65">
        <f>'Special Corporate+ RI+TPS'!AU22</f>
        <v>0</v>
      </c>
      <c r="AV407" s="65">
        <f>'Special Corporate+ RI+TPS'!AV22</f>
        <v>0</v>
      </c>
      <c r="AW407" s="65">
        <f>'Special Corporate+ RI+TPS'!AW22</f>
        <v>0</v>
      </c>
      <c r="AX407" s="65">
        <f>'Special Corporate+ RI+TPS'!AX22</f>
        <v>0</v>
      </c>
      <c r="AY407" s="65">
        <f>'Special Corporate+ RI+TPS'!AY22</f>
        <v>0</v>
      </c>
      <c r="AZ407" s="65">
        <f>'Special Corporate+ RI+TPS'!AZ22</f>
        <v>0</v>
      </c>
      <c r="BA407" s="65">
        <f>'Special Corporate+ RI+TPS'!BA22</f>
        <v>0</v>
      </c>
      <c r="BB407" s="65">
        <f>'Special Corporate+ RI+TPS'!BB22</f>
        <v>0</v>
      </c>
      <c r="BC407" s="65">
        <f>'Special Corporate+ RI+TPS'!BC22</f>
        <v>0</v>
      </c>
      <c r="BD407" s="65">
        <f>'Special Corporate+ RI+TPS'!BD22</f>
        <v>0</v>
      </c>
      <c r="BE407" s="65">
        <f>'Special Corporate+ RI+TPS'!BE22</f>
        <v>0</v>
      </c>
      <c r="BF407" s="65">
        <f>'Special Corporate+ RI+TPS'!BF22</f>
        <v>0</v>
      </c>
      <c r="BG407" s="65">
        <f>'Special Corporate+ RI+TPS'!BG22</f>
        <v>0</v>
      </c>
      <c r="BH407" s="65">
        <f>'Special Corporate+ RI+TPS'!BH22</f>
        <v>0</v>
      </c>
      <c r="BI407" s="65">
        <f>'Special Corporate+ RI+TPS'!BI22</f>
        <v>0</v>
      </c>
      <c r="BJ407" s="65">
        <f>'Special Corporate+ RI+TPS'!BJ22</f>
        <v>0</v>
      </c>
      <c r="BK407" s="65">
        <f>'Special Corporate+ RI+TPS'!BK22</f>
        <v>0</v>
      </c>
      <c r="BL407" s="65">
        <f>'Special Corporate+ RI+TPS'!BL22</f>
        <v>0</v>
      </c>
      <c r="BM407" s="65">
        <f>'Special Corporate+ RI+TPS'!BM22</f>
        <v>0</v>
      </c>
      <c r="BN407" s="65">
        <f>'Special Corporate+ RI+TPS'!BN22</f>
        <v>0</v>
      </c>
      <c r="BO407" s="65">
        <f>'Special Corporate+ RI+TPS'!BO22</f>
        <v>0</v>
      </c>
      <c r="BP407" s="65">
        <f>'Special Corporate+ RI+TPS'!BP22</f>
        <v>0</v>
      </c>
      <c r="BQ407" s="65">
        <f>'Special Corporate+ RI+TPS'!BQ22</f>
        <v>0</v>
      </c>
      <c r="BR407" s="65">
        <f>'Special Corporate+ RI+TPS'!BR22</f>
        <v>0</v>
      </c>
      <c r="BS407" s="65">
        <f>'Special Corporate+ RI+TPS'!BS22</f>
        <v>0</v>
      </c>
      <c r="BT407" s="65">
        <f>'Special Corporate+ RI+TPS'!BT22</f>
        <v>0</v>
      </c>
      <c r="BU407" s="65">
        <f>'Special Corporate+ RI+TPS'!BU22</f>
        <v>0</v>
      </c>
      <c r="BV407" s="65">
        <f>'Special Corporate+ RI+TPS'!BV22</f>
        <v>0</v>
      </c>
      <c r="BW407" s="65">
        <f>'Special Corporate+ RI+TPS'!BW22</f>
        <v>0</v>
      </c>
      <c r="BX407" s="65">
        <f>'Special Corporate+ RI+TPS'!BX22</f>
        <v>0</v>
      </c>
      <c r="BY407" s="65">
        <f>'Special Corporate+ RI+TPS'!BY22</f>
        <v>0</v>
      </c>
      <c r="BZ407" s="65">
        <f>'Special Corporate+ RI+TPS'!BZ22</f>
        <v>0</v>
      </c>
      <c r="CA407" s="65">
        <f>'Special Corporate+ RI+TPS'!CA22</f>
        <v>0</v>
      </c>
      <c r="CB407" s="65">
        <f>'Special Corporate+ RI+TPS'!CB22</f>
        <v>0</v>
      </c>
      <c r="CC407" s="65">
        <f>'Special Corporate+ RI+TPS'!CC22</f>
        <v>0</v>
      </c>
      <c r="CD407" s="65">
        <f>'Special Corporate+ RI+TPS'!CD22</f>
        <v>0</v>
      </c>
      <c r="CE407" s="65">
        <f>'Special Corporate+ RI+TPS'!CE22</f>
        <v>0</v>
      </c>
      <c r="CF407" s="65">
        <f>'Special Corporate+ RI+TPS'!CF22</f>
        <v>0</v>
      </c>
      <c r="CG407" s="65">
        <f>'Special Corporate+ RI+TPS'!CG22</f>
        <v>0</v>
      </c>
      <c r="CH407" s="65">
        <f>'Special Corporate+ RI+TPS'!CH22</f>
        <v>0</v>
      </c>
      <c r="CI407" s="65">
        <f>'Special Corporate+ RI+TPS'!CI22</f>
        <v>0</v>
      </c>
      <c r="CJ407" s="65">
        <f>'Special Corporate+ RI+TPS'!CJ22</f>
        <v>0</v>
      </c>
      <c r="CK407" s="65">
        <f>'Special Corporate+ RI+TPS'!CK22</f>
        <v>0</v>
      </c>
      <c r="CL407" s="65">
        <f>'Special Corporate+ RI+TPS'!CL22</f>
        <v>0</v>
      </c>
      <c r="CM407" s="65">
        <f>'Special Corporate+ RI+TPS'!CM22</f>
        <v>0</v>
      </c>
      <c r="CN407" s="65">
        <f>'Special Corporate+ RI+TPS'!CN22</f>
        <v>0</v>
      </c>
      <c r="CO407" s="65">
        <f>'Special Corporate+ RI+TPS'!CO22</f>
        <v>0</v>
      </c>
      <c r="CP407" s="65">
        <f>'Special Corporate+ RI+TPS'!CP22</f>
        <v>0</v>
      </c>
      <c r="CQ407" s="65">
        <f>'Special Corporate+ RI+TPS'!CQ22</f>
        <v>0</v>
      </c>
      <c r="CR407" s="65">
        <f>'Special Corporate+ RI+TPS'!CR22</f>
        <v>0</v>
      </c>
      <c r="CS407" s="65">
        <f>'Special Corporate+ RI+TPS'!CS22</f>
        <v>0</v>
      </c>
      <c r="CT407" s="65">
        <f>'Special Corporate+ RI+TPS'!CT22</f>
        <v>0</v>
      </c>
      <c r="CU407" s="65">
        <f>'Special Corporate+ RI+TPS'!CU22</f>
        <v>0</v>
      </c>
      <c r="CV407" s="65">
        <f>'Special Corporate+ RI+TPS'!CV22</f>
        <v>0</v>
      </c>
      <c r="CW407" s="65">
        <f>'Special Corporate+ RI+TPS'!CW22</f>
        <v>0</v>
      </c>
      <c r="CX407" s="65">
        <f>'Special Corporate+ RI+TPS'!CX22</f>
        <v>0</v>
      </c>
      <c r="CY407" s="65">
        <f>'Special Corporate+ RI+TPS'!CY22</f>
        <v>0</v>
      </c>
      <c r="CZ407" s="65">
        <f>'Special Corporate+ RI+TPS'!CZ22</f>
        <v>0</v>
      </c>
      <c r="DA407" s="65">
        <f>'Special Corporate+ RI+TPS'!DA22</f>
        <v>0</v>
      </c>
      <c r="DB407" s="65">
        <f>'Special Corporate+ RI+TPS'!DB22</f>
        <v>0</v>
      </c>
      <c r="DC407" s="65">
        <f>'Special Corporate+ RI+TPS'!DC22</f>
        <v>0</v>
      </c>
      <c r="DD407" s="65">
        <f>'Special Corporate+ RI+TPS'!DD22</f>
        <v>0</v>
      </c>
      <c r="DE407" s="65">
        <f>'Special Corporate+ RI+TPS'!DE22</f>
        <v>0</v>
      </c>
      <c r="DF407" s="65">
        <f>'Special Corporate+ RI+TPS'!DF22</f>
        <v>0</v>
      </c>
      <c r="DG407" s="65">
        <f>'Special Corporate+ RI+TPS'!DG22</f>
        <v>0</v>
      </c>
      <c r="DH407" s="65">
        <f>'Special Corporate+ RI+TPS'!DH22</f>
        <v>0</v>
      </c>
      <c r="DI407" s="65">
        <f>'Special Corporate+ RI+TPS'!DI22</f>
        <v>0</v>
      </c>
      <c r="DJ407" s="65">
        <f>'Special Corporate+ RI+TPS'!DJ22</f>
        <v>0</v>
      </c>
      <c r="DK407" s="65">
        <f>'Special Corporate+ RI+TPS'!DK22</f>
        <v>0</v>
      </c>
      <c r="DL407" s="65">
        <f>'Special Corporate+ RI+TPS'!DL22</f>
        <v>0</v>
      </c>
      <c r="DM407" s="65">
        <f>'Special Corporate+ RI+TPS'!DM22</f>
        <v>0</v>
      </c>
      <c r="DN407" s="65">
        <f>'Special Corporate+ RI+TPS'!DN22</f>
        <v>0</v>
      </c>
      <c r="DO407" s="65">
        <f>'Special Corporate+ RI+TPS'!DO22</f>
        <v>0</v>
      </c>
      <c r="DP407" s="65">
        <f>'Special Corporate+ RI+TPS'!DP22</f>
        <v>0</v>
      </c>
      <c r="DQ407" s="65">
        <f>'Special Corporate+ RI+TPS'!DQ22</f>
        <v>0</v>
      </c>
      <c r="DR407" s="65">
        <f>'Special Corporate+ RI+TPS'!DR22</f>
        <v>0</v>
      </c>
      <c r="DS407" s="65">
        <f>'Special Corporate+ RI+TPS'!DS22</f>
        <v>0</v>
      </c>
      <c r="DT407" s="65">
        <f>'Special Corporate+ RI+TPS'!DT22</f>
        <v>0</v>
      </c>
      <c r="DU407" s="65">
        <f>'Special Corporate+ RI+TPS'!DU22</f>
        <v>0</v>
      </c>
      <c r="DV407" s="65">
        <f>'Special Corporate+ RI+TPS'!DV22</f>
        <v>0</v>
      </c>
      <c r="DW407" s="65">
        <f>'Special Corporate+ RI+TPS'!DW22</f>
        <v>0</v>
      </c>
      <c r="DX407" s="65">
        <f>'Special Corporate+ RI+TPS'!DX22</f>
        <v>0</v>
      </c>
      <c r="DY407" s="65">
        <f>'Special Corporate+ RI+TPS'!DY22</f>
        <v>0</v>
      </c>
      <c r="DZ407" s="65">
        <f>'Special Corporate+ RI+TPS'!DZ22</f>
        <v>0</v>
      </c>
      <c r="EA407" s="65">
        <f>'Special Corporate+ RI+TPS'!EA22</f>
        <v>0</v>
      </c>
      <c r="EB407" s="68"/>
    </row>
    <row r="408" spans="1:132" x14ac:dyDescent="0.2">
      <c r="A408" s="152"/>
      <c r="B408" s="65">
        <f>'Special Corporate+ RI+TPS'!B23</f>
        <v>0</v>
      </c>
      <c r="C408" s="65">
        <f>'Special Corporate+ RI+TPS'!C23</f>
        <v>0</v>
      </c>
      <c r="D408" s="65">
        <f>'Special Corporate+ RI+TPS'!D23</f>
        <v>0</v>
      </c>
      <c r="E408" s="65">
        <f>'Special Corporate+ RI+TPS'!E23</f>
        <v>0</v>
      </c>
      <c r="F408" s="65">
        <f>'Special Corporate+ RI+TPS'!F23</f>
        <v>0</v>
      </c>
      <c r="G408" s="65">
        <f>'Special Corporate+ RI+TPS'!G23</f>
        <v>0</v>
      </c>
      <c r="H408" s="65">
        <f>'Special Corporate+ RI+TPS'!H23</f>
        <v>0</v>
      </c>
      <c r="I408" s="65">
        <f>'Special Corporate+ RI+TPS'!I23</f>
        <v>0</v>
      </c>
      <c r="J408" s="65">
        <f>'Special Corporate+ RI+TPS'!J23</f>
        <v>0</v>
      </c>
      <c r="K408" s="65">
        <f>'Special Corporate+ RI+TPS'!K23</f>
        <v>0</v>
      </c>
      <c r="L408" s="65">
        <f>'Special Corporate+ RI+TPS'!L23</f>
        <v>0</v>
      </c>
      <c r="M408" s="65">
        <f>'Special Corporate+ RI+TPS'!M23</f>
        <v>0</v>
      </c>
      <c r="N408" s="65">
        <f>'Special Corporate+ RI+TPS'!N23</f>
        <v>0</v>
      </c>
      <c r="O408" s="65">
        <f>'Special Corporate+ RI+TPS'!O23</f>
        <v>0</v>
      </c>
      <c r="P408" s="65">
        <f>'Special Corporate+ RI+TPS'!P23</f>
        <v>0</v>
      </c>
      <c r="Q408" s="65">
        <f>'Special Corporate+ RI+TPS'!Q23</f>
        <v>0</v>
      </c>
      <c r="R408" s="65">
        <f>'Special Corporate+ RI+TPS'!R23</f>
        <v>0</v>
      </c>
      <c r="S408" s="65">
        <f>'Special Corporate+ RI+TPS'!S23</f>
        <v>0</v>
      </c>
      <c r="T408" s="65">
        <f>'Special Corporate+ RI+TPS'!T23</f>
        <v>0</v>
      </c>
      <c r="U408" s="65">
        <f>'Special Corporate+ RI+TPS'!U23</f>
        <v>0</v>
      </c>
      <c r="V408" s="65">
        <f>'Special Corporate+ RI+TPS'!V23</f>
        <v>0</v>
      </c>
      <c r="W408" s="65">
        <f>'Special Corporate+ RI+TPS'!W23</f>
        <v>0</v>
      </c>
      <c r="X408" s="65">
        <f>'Special Corporate+ RI+TPS'!X23</f>
        <v>0</v>
      </c>
      <c r="Y408" s="65">
        <f>'Special Corporate+ RI+TPS'!Y23</f>
        <v>0</v>
      </c>
      <c r="Z408" s="65">
        <f>'Special Corporate+ RI+TPS'!Z23</f>
        <v>0</v>
      </c>
      <c r="AA408" s="65">
        <f>'Special Corporate+ RI+TPS'!AA23</f>
        <v>0</v>
      </c>
      <c r="AB408" s="65">
        <f>'Special Corporate+ RI+TPS'!AB23</f>
        <v>0</v>
      </c>
      <c r="AC408" s="65">
        <f>'Special Corporate+ RI+TPS'!AC23</f>
        <v>0</v>
      </c>
      <c r="AD408" s="65">
        <f>'Special Corporate+ RI+TPS'!AD23</f>
        <v>0</v>
      </c>
      <c r="AE408" s="65">
        <f>'Special Corporate+ RI+TPS'!AE23</f>
        <v>0</v>
      </c>
      <c r="AF408" s="65">
        <f>'Special Corporate+ RI+TPS'!AF23</f>
        <v>0</v>
      </c>
      <c r="AG408" s="65">
        <f>'Special Corporate+ RI+TPS'!AG23</f>
        <v>0</v>
      </c>
      <c r="AH408" s="65">
        <f>'Special Corporate+ RI+TPS'!AH23</f>
        <v>0</v>
      </c>
      <c r="AI408" s="65">
        <f>'Special Corporate+ RI+TPS'!AI23</f>
        <v>0</v>
      </c>
      <c r="AJ408" s="65">
        <f>'Special Corporate+ RI+TPS'!AJ23</f>
        <v>0</v>
      </c>
      <c r="AK408" s="65">
        <f>'Special Corporate+ RI+TPS'!AK23</f>
        <v>0</v>
      </c>
      <c r="AL408" s="65">
        <f>'Special Corporate+ RI+TPS'!AL23</f>
        <v>0</v>
      </c>
      <c r="AM408" s="65">
        <f>'Special Corporate+ RI+TPS'!AM23</f>
        <v>0</v>
      </c>
      <c r="AN408" s="65">
        <f>'Special Corporate+ RI+TPS'!AN23</f>
        <v>0</v>
      </c>
      <c r="AO408" s="65">
        <f>'Special Corporate+ RI+TPS'!AO23</f>
        <v>0</v>
      </c>
      <c r="AP408" s="65">
        <f>'Special Corporate+ RI+TPS'!AP23</f>
        <v>0</v>
      </c>
      <c r="AQ408" s="65">
        <f>'Special Corporate+ RI+TPS'!AQ23</f>
        <v>0</v>
      </c>
      <c r="AR408" s="65">
        <f>'Special Corporate+ RI+TPS'!AR23</f>
        <v>0</v>
      </c>
      <c r="AS408" s="65">
        <f>'Special Corporate+ RI+TPS'!AS23</f>
        <v>0</v>
      </c>
      <c r="AT408" s="65">
        <f>'Special Corporate+ RI+TPS'!AT23</f>
        <v>0</v>
      </c>
      <c r="AU408" s="65">
        <f>'Special Corporate+ RI+TPS'!AU23</f>
        <v>0</v>
      </c>
      <c r="AV408" s="65">
        <f>'Special Corporate+ RI+TPS'!AV23</f>
        <v>0</v>
      </c>
      <c r="AW408" s="65">
        <f>'Special Corporate+ RI+TPS'!AW23</f>
        <v>0</v>
      </c>
      <c r="AX408" s="65">
        <f>'Special Corporate+ RI+TPS'!AX23</f>
        <v>0</v>
      </c>
      <c r="AY408" s="65">
        <f>'Special Corporate+ RI+TPS'!AY23</f>
        <v>0</v>
      </c>
      <c r="AZ408" s="65">
        <f>'Special Corporate+ RI+TPS'!AZ23</f>
        <v>0</v>
      </c>
      <c r="BA408" s="65">
        <f>'Special Corporate+ RI+TPS'!BA23</f>
        <v>0</v>
      </c>
      <c r="BB408" s="65">
        <f>'Special Corporate+ RI+TPS'!BB23</f>
        <v>0</v>
      </c>
      <c r="BC408" s="65">
        <f>'Special Corporate+ RI+TPS'!BC23</f>
        <v>0</v>
      </c>
      <c r="BD408" s="65">
        <f>'Special Corporate+ RI+TPS'!BD23</f>
        <v>0</v>
      </c>
      <c r="BE408" s="65">
        <f>'Special Corporate+ RI+TPS'!BE23</f>
        <v>0</v>
      </c>
      <c r="BF408" s="65">
        <f>'Special Corporate+ RI+TPS'!BF23</f>
        <v>0</v>
      </c>
      <c r="BG408" s="65">
        <f>'Special Corporate+ RI+TPS'!BG23</f>
        <v>0</v>
      </c>
      <c r="BH408" s="65">
        <f>'Special Corporate+ RI+TPS'!BH23</f>
        <v>0</v>
      </c>
      <c r="BI408" s="65">
        <f>'Special Corporate+ RI+TPS'!BI23</f>
        <v>0</v>
      </c>
      <c r="BJ408" s="65">
        <f>'Special Corporate+ RI+TPS'!BJ23</f>
        <v>0</v>
      </c>
      <c r="BK408" s="65">
        <f>'Special Corporate+ RI+TPS'!BK23</f>
        <v>0</v>
      </c>
      <c r="BL408" s="65">
        <f>'Special Corporate+ RI+TPS'!BL23</f>
        <v>0</v>
      </c>
      <c r="BM408" s="65">
        <f>'Special Corporate+ RI+TPS'!BM23</f>
        <v>0</v>
      </c>
      <c r="BN408" s="65">
        <f>'Special Corporate+ RI+TPS'!BN23</f>
        <v>0</v>
      </c>
      <c r="BO408" s="65">
        <f>'Special Corporate+ RI+TPS'!BO23</f>
        <v>0</v>
      </c>
      <c r="BP408" s="65">
        <f>'Special Corporate+ RI+TPS'!BP23</f>
        <v>0</v>
      </c>
      <c r="BQ408" s="65">
        <f>'Special Corporate+ RI+TPS'!BQ23</f>
        <v>0</v>
      </c>
      <c r="BR408" s="65">
        <f>'Special Corporate+ RI+TPS'!BR23</f>
        <v>0</v>
      </c>
      <c r="BS408" s="65">
        <f>'Special Corporate+ RI+TPS'!BS23</f>
        <v>0</v>
      </c>
      <c r="BT408" s="65">
        <f>'Special Corporate+ RI+TPS'!BT23</f>
        <v>0</v>
      </c>
      <c r="BU408" s="65">
        <f>'Special Corporate+ RI+TPS'!BU23</f>
        <v>0</v>
      </c>
      <c r="BV408" s="65">
        <f>'Special Corporate+ RI+TPS'!BV23</f>
        <v>0</v>
      </c>
      <c r="BW408" s="65">
        <f>'Special Corporate+ RI+TPS'!BW23</f>
        <v>0</v>
      </c>
      <c r="BX408" s="65">
        <f>'Special Corporate+ RI+TPS'!BX23</f>
        <v>0</v>
      </c>
      <c r="BY408" s="65">
        <f>'Special Corporate+ RI+TPS'!BY23</f>
        <v>0</v>
      </c>
      <c r="BZ408" s="65">
        <f>'Special Corporate+ RI+TPS'!BZ23</f>
        <v>0</v>
      </c>
      <c r="CA408" s="65">
        <f>'Special Corporate+ RI+TPS'!CA23</f>
        <v>0</v>
      </c>
      <c r="CB408" s="65">
        <f>'Special Corporate+ RI+TPS'!CB23</f>
        <v>0</v>
      </c>
      <c r="CC408" s="65">
        <f>'Special Corporate+ RI+TPS'!CC23</f>
        <v>0</v>
      </c>
      <c r="CD408" s="65">
        <f>'Special Corporate+ RI+TPS'!CD23</f>
        <v>0</v>
      </c>
      <c r="CE408" s="65">
        <f>'Special Corporate+ RI+TPS'!CE23</f>
        <v>0</v>
      </c>
      <c r="CF408" s="65">
        <f>'Special Corporate+ RI+TPS'!CF23</f>
        <v>0</v>
      </c>
      <c r="CG408" s="65">
        <f>'Special Corporate+ RI+TPS'!CG23</f>
        <v>0</v>
      </c>
      <c r="CH408" s="65">
        <f>'Special Corporate+ RI+TPS'!CH23</f>
        <v>0</v>
      </c>
      <c r="CI408" s="65">
        <f>'Special Corporate+ RI+TPS'!CI23</f>
        <v>0</v>
      </c>
      <c r="CJ408" s="65">
        <f>'Special Corporate+ RI+TPS'!CJ23</f>
        <v>0</v>
      </c>
      <c r="CK408" s="65">
        <f>'Special Corporate+ RI+TPS'!CK23</f>
        <v>0</v>
      </c>
      <c r="CL408" s="65">
        <f>'Special Corporate+ RI+TPS'!CL23</f>
        <v>0</v>
      </c>
      <c r="CM408" s="65">
        <f>'Special Corporate+ RI+TPS'!CM23</f>
        <v>0</v>
      </c>
      <c r="CN408" s="65">
        <f>'Special Corporate+ RI+TPS'!CN23</f>
        <v>0</v>
      </c>
      <c r="CO408" s="65">
        <f>'Special Corporate+ RI+TPS'!CO23</f>
        <v>0</v>
      </c>
      <c r="CP408" s="65">
        <f>'Special Corporate+ RI+TPS'!CP23</f>
        <v>0</v>
      </c>
      <c r="CQ408" s="65">
        <f>'Special Corporate+ RI+TPS'!CQ23</f>
        <v>0</v>
      </c>
      <c r="CR408" s="65">
        <f>'Special Corporate+ RI+TPS'!CR23</f>
        <v>0</v>
      </c>
      <c r="CS408" s="65">
        <f>'Special Corporate+ RI+TPS'!CS23</f>
        <v>0</v>
      </c>
      <c r="CT408" s="65">
        <f>'Special Corporate+ RI+TPS'!CT23</f>
        <v>0</v>
      </c>
      <c r="CU408" s="65">
        <f>'Special Corporate+ RI+TPS'!CU23</f>
        <v>0</v>
      </c>
      <c r="CV408" s="65">
        <f>'Special Corporate+ RI+TPS'!CV23</f>
        <v>0</v>
      </c>
      <c r="CW408" s="65">
        <f>'Special Corporate+ RI+TPS'!CW23</f>
        <v>0</v>
      </c>
      <c r="CX408" s="65">
        <f>'Special Corporate+ RI+TPS'!CX23</f>
        <v>0</v>
      </c>
      <c r="CY408" s="65">
        <f>'Special Corporate+ RI+TPS'!CY23</f>
        <v>0</v>
      </c>
      <c r="CZ408" s="65">
        <f>'Special Corporate+ RI+TPS'!CZ23</f>
        <v>0</v>
      </c>
      <c r="DA408" s="65">
        <f>'Special Corporate+ RI+TPS'!DA23</f>
        <v>0</v>
      </c>
      <c r="DB408" s="65">
        <f>'Special Corporate+ RI+TPS'!DB23</f>
        <v>0</v>
      </c>
      <c r="DC408" s="65">
        <f>'Special Corporate+ RI+TPS'!DC23</f>
        <v>0</v>
      </c>
      <c r="DD408" s="65">
        <f>'Special Corporate+ RI+TPS'!DD23</f>
        <v>0</v>
      </c>
      <c r="DE408" s="65">
        <f>'Special Corporate+ RI+TPS'!DE23</f>
        <v>0</v>
      </c>
      <c r="DF408" s="65">
        <f>'Special Corporate+ RI+TPS'!DF23</f>
        <v>0</v>
      </c>
      <c r="DG408" s="65">
        <f>'Special Corporate+ RI+TPS'!DG23</f>
        <v>0</v>
      </c>
      <c r="DH408" s="65">
        <f>'Special Corporate+ RI+TPS'!DH23</f>
        <v>0</v>
      </c>
      <c r="DI408" s="65">
        <f>'Special Corporate+ RI+TPS'!DI23</f>
        <v>0</v>
      </c>
      <c r="DJ408" s="65">
        <f>'Special Corporate+ RI+TPS'!DJ23</f>
        <v>0</v>
      </c>
      <c r="DK408" s="65">
        <f>'Special Corporate+ RI+TPS'!DK23</f>
        <v>0</v>
      </c>
      <c r="DL408" s="65">
        <f>'Special Corporate+ RI+TPS'!DL23</f>
        <v>0</v>
      </c>
      <c r="DM408" s="65">
        <f>'Special Corporate+ RI+TPS'!DM23</f>
        <v>0</v>
      </c>
      <c r="DN408" s="65">
        <f>'Special Corporate+ RI+TPS'!DN23</f>
        <v>0</v>
      </c>
      <c r="DO408" s="65">
        <f>'Special Corporate+ RI+TPS'!DO23</f>
        <v>0</v>
      </c>
      <c r="DP408" s="65">
        <f>'Special Corporate+ RI+TPS'!DP23</f>
        <v>0</v>
      </c>
      <c r="DQ408" s="65">
        <f>'Special Corporate+ RI+TPS'!DQ23</f>
        <v>0</v>
      </c>
      <c r="DR408" s="65">
        <f>'Special Corporate+ RI+TPS'!DR23</f>
        <v>0</v>
      </c>
      <c r="DS408" s="65">
        <f>'Special Corporate+ RI+TPS'!DS23</f>
        <v>0</v>
      </c>
      <c r="DT408" s="65">
        <f>'Special Corporate+ RI+TPS'!DT23</f>
        <v>0</v>
      </c>
      <c r="DU408" s="65">
        <f>'Special Corporate+ RI+TPS'!DU23</f>
        <v>0</v>
      </c>
      <c r="DV408" s="65">
        <f>'Special Corporate+ RI+TPS'!DV23</f>
        <v>0</v>
      </c>
      <c r="DW408" s="65">
        <f>'Special Corporate+ RI+TPS'!DW23</f>
        <v>0</v>
      </c>
      <c r="DX408" s="65">
        <f>'Special Corporate+ RI+TPS'!DX23</f>
        <v>0</v>
      </c>
      <c r="DY408" s="65">
        <f>'Special Corporate+ RI+TPS'!DY23</f>
        <v>0</v>
      </c>
      <c r="DZ408" s="65">
        <f>'Special Corporate+ RI+TPS'!DZ23</f>
        <v>0</v>
      </c>
      <c r="EA408" s="65">
        <f>'Special Corporate+ RI+TPS'!EA23</f>
        <v>0</v>
      </c>
      <c r="EB408" s="68"/>
    </row>
    <row r="409" spans="1:132" x14ac:dyDescent="0.2">
      <c r="A409" s="152"/>
      <c r="B409" s="65">
        <f>'Special Corporate+ RI+TPS'!B24</f>
        <v>0</v>
      </c>
      <c r="C409" s="65">
        <f>'Special Corporate+ RI+TPS'!C24</f>
        <v>0</v>
      </c>
      <c r="D409" s="65">
        <f>'Special Corporate+ RI+TPS'!D24</f>
        <v>0</v>
      </c>
      <c r="E409" s="65">
        <f>'Special Corporate+ RI+TPS'!E24</f>
        <v>0</v>
      </c>
      <c r="F409" s="65">
        <f>'Special Corporate+ RI+TPS'!F24</f>
        <v>0</v>
      </c>
      <c r="G409" s="65">
        <f>'Special Corporate+ RI+TPS'!G24</f>
        <v>0</v>
      </c>
      <c r="H409" s="65">
        <f>'Special Corporate+ RI+TPS'!H24</f>
        <v>0</v>
      </c>
      <c r="I409" s="65">
        <f>'Special Corporate+ RI+TPS'!I24</f>
        <v>0</v>
      </c>
      <c r="J409" s="65">
        <f>'Special Corporate+ RI+TPS'!J24</f>
        <v>0</v>
      </c>
      <c r="K409" s="65">
        <f>'Special Corporate+ RI+TPS'!K24</f>
        <v>0</v>
      </c>
      <c r="L409" s="65">
        <f>'Special Corporate+ RI+TPS'!L24</f>
        <v>0</v>
      </c>
      <c r="M409" s="65">
        <f>'Special Corporate+ RI+TPS'!M24</f>
        <v>0</v>
      </c>
      <c r="N409" s="65">
        <f>'Special Corporate+ RI+TPS'!N24</f>
        <v>0</v>
      </c>
      <c r="O409" s="65">
        <f>'Special Corporate+ RI+TPS'!O24</f>
        <v>0</v>
      </c>
      <c r="P409" s="65">
        <f>'Special Corporate+ RI+TPS'!P24</f>
        <v>0</v>
      </c>
      <c r="Q409" s="65">
        <f>'Special Corporate+ RI+TPS'!Q24</f>
        <v>0</v>
      </c>
      <c r="R409" s="65">
        <f>'Special Corporate+ RI+TPS'!R24</f>
        <v>0</v>
      </c>
      <c r="S409" s="65">
        <f>'Special Corporate+ RI+TPS'!S24</f>
        <v>0</v>
      </c>
      <c r="T409" s="65">
        <f>'Special Corporate+ RI+TPS'!T24</f>
        <v>0</v>
      </c>
      <c r="U409" s="65">
        <f>'Special Corporate+ RI+TPS'!U24</f>
        <v>0</v>
      </c>
      <c r="V409" s="65">
        <f>'Special Corporate+ RI+TPS'!V24</f>
        <v>0</v>
      </c>
      <c r="W409" s="65">
        <f>'Special Corporate+ RI+TPS'!W24</f>
        <v>0</v>
      </c>
      <c r="X409" s="65">
        <f>'Special Corporate+ RI+TPS'!X24</f>
        <v>0</v>
      </c>
      <c r="Y409" s="65">
        <f>'Special Corporate+ RI+TPS'!Y24</f>
        <v>0</v>
      </c>
      <c r="Z409" s="65">
        <f>'Special Corporate+ RI+TPS'!Z24</f>
        <v>0</v>
      </c>
      <c r="AA409" s="65">
        <f>'Special Corporate+ RI+TPS'!AA24</f>
        <v>0</v>
      </c>
      <c r="AB409" s="65">
        <f>'Special Corporate+ RI+TPS'!AB24</f>
        <v>0</v>
      </c>
      <c r="AC409" s="65">
        <f>'Special Corporate+ RI+TPS'!AC24</f>
        <v>0</v>
      </c>
      <c r="AD409" s="65">
        <f>'Special Corporate+ RI+TPS'!AD24</f>
        <v>0</v>
      </c>
      <c r="AE409" s="65">
        <f>'Special Corporate+ RI+TPS'!AE24</f>
        <v>0</v>
      </c>
      <c r="AF409" s="65">
        <f>'Special Corporate+ RI+TPS'!AF24</f>
        <v>0</v>
      </c>
      <c r="AG409" s="65">
        <f>'Special Corporate+ RI+TPS'!AG24</f>
        <v>0</v>
      </c>
      <c r="AH409" s="65">
        <f>'Special Corporate+ RI+TPS'!AH24</f>
        <v>0</v>
      </c>
      <c r="AI409" s="65">
        <f>'Special Corporate+ RI+TPS'!AI24</f>
        <v>0</v>
      </c>
      <c r="AJ409" s="65">
        <f>'Special Corporate+ RI+TPS'!AJ24</f>
        <v>0</v>
      </c>
      <c r="AK409" s="65">
        <f>'Special Corporate+ RI+TPS'!AK24</f>
        <v>0</v>
      </c>
      <c r="AL409" s="65">
        <f>'Special Corporate+ RI+TPS'!AL24</f>
        <v>0</v>
      </c>
      <c r="AM409" s="65">
        <f>'Special Corporate+ RI+TPS'!AM24</f>
        <v>0</v>
      </c>
      <c r="AN409" s="65">
        <f>'Special Corporate+ RI+TPS'!AN24</f>
        <v>0</v>
      </c>
      <c r="AO409" s="65">
        <f>'Special Corporate+ RI+TPS'!AO24</f>
        <v>0</v>
      </c>
      <c r="AP409" s="65">
        <f>'Special Corporate+ RI+TPS'!AP24</f>
        <v>0</v>
      </c>
      <c r="AQ409" s="65">
        <f>'Special Corporate+ RI+TPS'!AQ24</f>
        <v>0</v>
      </c>
      <c r="AR409" s="65">
        <f>'Special Corporate+ RI+TPS'!AR24</f>
        <v>0</v>
      </c>
      <c r="AS409" s="65">
        <f>'Special Corporate+ RI+TPS'!AS24</f>
        <v>0</v>
      </c>
      <c r="AT409" s="65">
        <f>'Special Corporate+ RI+TPS'!AT24</f>
        <v>0</v>
      </c>
      <c r="AU409" s="65">
        <f>'Special Corporate+ RI+TPS'!AU24</f>
        <v>0</v>
      </c>
      <c r="AV409" s="65">
        <f>'Special Corporate+ RI+TPS'!AV24</f>
        <v>0</v>
      </c>
      <c r="AW409" s="65">
        <f>'Special Corporate+ RI+TPS'!AW24</f>
        <v>0</v>
      </c>
      <c r="AX409" s="65">
        <f>'Special Corporate+ RI+TPS'!AX24</f>
        <v>0</v>
      </c>
      <c r="AY409" s="65">
        <f>'Special Corporate+ RI+TPS'!AY24</f>
        <v>0</v>
      </c>
      <c r="AZ409" s="65">
        <f>'Special Corporate+ RI+TPS'!AZ24</f>
        <v>0</v>
      </c>
      <c r="BA409" s="65">
        <f>'Special Corporate+ RI+TPS'!BA24</f>
        <v>0</v>
      </c>
      <c r="BB409" s="65">
        <f>'Special Corporate+ RI+TPS'!BB24</f>
        <v>0</v>
      </c>
      <c r="BC409" s="65">
        <f>'Special Corporate+ RI+TPS'!BC24</f>
        <v>0</v>
      </c>
      <c r="BD409" s="65">
        <f>'Special Corporate+ RI+TPS'!BD24</f>
        <v>0</v>
      </c>
      <c r="BE409" s="65">
        <f>'Special Corporate+ RI+TPS'!BE24</f>
        <v>0</v>
      </c>
      <c r="BF409" s="65">
        <f>'Special Corporate+ RI+TPS'!BF24</f>
        <v>0</v>
      </c>
      <c r="BG409" s="65">
        <f>'Special Corporate+ RI+TPS'!BG24</f>
        <v>0</v>
      </c>
      <c r="BH409" s="65">
        <f>'Special Corporate+ RI+TPS'!BH24</f>
        <v>0</v>
      </c>
      <c r="BI409" s="65">
        <f>'Special Corporate+ RI+TPS'!BI24</f>
        <v>0</v>
      </c>
      <c r="BJ409" s="65">
        <f>'Special Corporate+ RI+TPS'!BJ24</f>
        <v>0</v>
      </c>
      <c r="BK409" s="65">
        <f>'Special Corporate+ RI+TPS'!BK24</f>
        <v>0</v>
      </c>
      <c r="BL409" s="65">
        <f>'Special Corporate+ RI+TPS'!BL24</f>
        <v>0</v>
      </c>
      <c r="BM409" s="65">
        <f>'Special Corporate+ RI+TPS'!BM24</f>
        <v>0</v>
      </c>
      <c r="BN409" s="65">
        <f>'Special Corporate+ RI+TPS'!BN24</f>
        <v>0</v>
      </c>
      <c r="BO409" s="65">
        <f>'Special Corporate+ RI+TPS'!BO24</f>
        <v>0</v>
      </c>
      <c r="BP409" s="65">
        <f>'Special Corporate+ RI+TPS'!BP24</f>
        <v>0</v>
      </c>
      <c r="BQ409" s="65">
        <f>'Special Corporate+ RI+TPS'!BQ24</f>
        <v>0</v>
      </c>
      <c r="BR409" s="65">
        <f>'Special Corporate+ RI+TPS'!BR24</f>
        <v>0</v>
      </c>
      <c r="BS409" s="65">
        <f>'Special Corporate+ RI+TPS'!BS24</f>
        <v>0</v>
      </c>
      <c r="BT409" s="65">
        <f>'Special Corporate+ RI+TPS'!BT24</f>
        <v>0</v>
      </c>
      <c r="BU409" s="65">
        <f>'Special Corporate+ RI+TPS'!BU24</f>
        <v>0</v>
      </c>
      <c r="BV409" s="65">
        <f>'Special Corporate+ RI+TPS'!BV24</f>
        <v>0</v>
      </c>
      <c r="BW409" s="65">
        <f>'Special Corporate+ RI+TPS'!BW24</f>
        <v>0</v>
      </c>
      <c r="BX409" s="65">
        <f>'Special Corporate+ RI+TPS'!BX24</f>
        <v>0</v>
      </c>
      <c r="BY409" s="65">
        <f>'Special Corporate+ RI+TPS'!BY24</f>
        <v>0</v>
      </c>
      <c r="BZ409" s="65">
        <f>'Special Corporate+ RI+TPS'!BZ24</f>
        <v>0</v>
      </c>
      <c r="CA409" s="65">
        <f>'Special Corporate+ RI+TPS'!CA24</f>
        <v>0</v>
      </c>
      <c r="CB409" s="65">
        <f>'Special Corporate+ RI+TPS'!CB24</f>
        <v>0</v>
      </c>
      <c r="CC409" s="65">
        <f>'Special Corporate+ RI+TPS'!CC24</f>
        <v>0</v>
      </c>
      <c r="CD409" s="65">
        <f>'Special Corporate+ RI+TPS'!CD24</f>
        <v>0</v>
      </c>
      <c r="CE409" s="65">
        <f>'Special Corporate+ RI+TPS'!CE24</f>
        <v>0</v>
      </c>
      <c r="CF409" s="65">
        <f>'Special Corporate+ RI+TPS'!CF24</f>
        <v>0</v>
      </c>
      <c r="CG409" s="65">
        <f>'Special Corporate+ RI+TPS'!CG24</f>
        <v>0</v>
      </c>
      <c r="CH409" s="65">
        <f>'Special Corporate+ RI+TPS'!CH24</f>
        <v>0</v>
      </c>
      <c r="CI409" s="65">
        <f>'Special Corporate+ RI+TPS'!CI24</f>
        <v>0</v>
      </c>
      <c r="CJ409" s="65">
        <f>'Special Corporate+ RI+TPS'!CJ24</f>
        <v>0</v>
      </c>
      <c r="CK409" s="65">
        <f>'Special Corporate+ RI+TPS'!CK24</f>
        <v>0</v>
      </c>
      <c r="CL409" s="65">
        <f>'Special Corporate+ RI+TPS'!CL24</f>
        <v>0</v>
      </c>
      <c r="CM409" s="65">
        <f>'Special Corporate+ RI+TPS'!CM24</f>
        <v>0</v>
      </c>
      <c r="CN409" s="65">
        <f>'Special Corporate+ RI+TPS'!CN24</f>
        <v>0</v>
      </c>
      <c r="CO409" s="65">
        <f>'Special Corporate+ RI+TPS'!CO24</f>
        <v>0</v>
      </c>
      <c r="CP409" s="65">
        <f>'Special Corporate+ RI+TPS'!CP24</f>
        <v>0</v>
      </c>
      <c r="CQ409" s="65">
        <f>'Special Corporate+ RI+TPS'!CQ24</f>
        <v>0</v>
      </c>
      <c r="CR409" s="65">
        <f>'Special Corporate+ RI+TPS'!CR24</f>
        <v>0</v>
      </c>
      <c r="CS409" s="65">
        <f>'Special Corporate+ RI+TPS'!CS24</f>
        <v>0</v>
      </c>
      <c r="CT409" s="65">
        <f>'Special Corporate+ RI+TPS'!CT24</f>
        <v>0</v>
      </c>
      <c r="CU409" s="65">
        <f>'Special Corporate+ RI+TPS'!CU24</f>
        <v>0</v>
      </c>
      <c r="CV409" s="65">
        <f>'Special Corporate+ RI+TPS'!CV24</f>
        <v>0</v>
      </c>
      <c r="CW409" s="65">
        <f>'Special Corporate+ RI+TPS'!CW24</f>
        <v>0</v>
      </c>
      <c r="CX409" s="65">
        <f>'Special Corporate+ RI+TPS'!CX24</f>
        <v>0</v>
      </c>
      <c r="CY409" s="65">
        <f>'Special Corporate+ RI+TPS'!CY24</f>
        <v>0</v>
      </c>
      <c r="CZ409" s="65">
        <f>'Special Corporate+ RI+TPS'!CZ24</f>
        <v>0</v>
      </c>
      <c r="DA409" s="65">
        <f>'Special Corporate+ RI+TPS'!DA24</f>
        <v>0</v>
      </c>
      <c r="DB409" s="65">
        <f>'Special Corporate+ RI+TPS'!DB24</f>
        <v>0</v>
      </c>
      <c r="DC409" s="65">
        <f>'Special Corporate+ RI+TPS'!DC24</f>
        <v>0</v>
      </c>
      <c r="DD409" s="65">
        <f>'Special Corporate+ RI+TPS'!DD24</f>
        <v>0</v>
      </c>
      <c r="DE409" s="65">
        <f>'Special Corporate+ RI+TPS'!DE24</f>
        <v>0</v>
      </c>
      <c r="DF409" s="65">
        <f>'Special Corporate+ RI+TPS'!DF24</f>
        <v>0</v>
      </c>
      <c r="DG409" s="65">
        <f>'Special Corporate+ RI+TPS'!DG24</f>
        <v>0</v>
      </c>
      <c r="DH409" s="65">
        <f>'Special Corporate+ RI+TPS'!DH24</f>
        <v>0</v>
      </c>
      <c r="DI409" s="65">
        <f>'Special Corporate+ RI+TPS'!DI24</f>
        <v>0</v>
      </c>
      <c r="DJ409" s="65">
        <f>'Special Corporate+ RI+TPS'!DJ24</f>
        <v>0</v>
      </c>
      <c r="DK409" s="65">
        <f>'Special Corporate+ RI+TPS'!DK24</f>
        <v>0</v>
      </c>
      <c r="DL409" s="65">
        <f>'Special Corporate+ RI+TPS'!DL24</f>
        <v>0</v>
      </c>
      <c r="DM409" s="65">
        <f>'Special Corporate+ RI+TPS'!DM24</f>
        <v>0</v>
      </c>
      <c r="DN409" s="65">
        <f>'Special Corporate+ RI+TPS'!DN24</f>
        <v>0</v>
      </c>
      <c r="DO409" s="65">
        <f>'Special Corporate+ RI+TPS'!DO24</f>
        <v>0</v>
      </c>
      <c r="DP409" s="65">
        <f>'Special Corporate+ RI+TPS'!DP24</f>
        <v>0</v>
      </c>
      <c r="DQ409" s="65">
        <f>'Special Corporate+ RI+TPS'!DQ24</f>
        <v>0</v>
      </c>
      <c r="DR409" s="65">
        <f>'Special Corporate+ RI+TPS'!DR24</f>
        <v>0</v>
      </c>
      <c r="DS409" s="65">
        <f>'Special Corporate+ RI+TPS'!DS24</f>
        <v>0</v>
      </c>
      <c r="DT409" s="65">
        <f>'Special Corporate+ RI+TPS'!DT24</f>
        <v>0</v>
      </c>
      <c r="DU409" s="65">
        <f>'Special Corporate+ RI+TPS'!DU24</f>
        <v>0</v>
      </c>
      <c r="DV409" s="65">
        <f>'Special Corporate+ RI+TPS'!DV24</f>
        <v>0</v>
      </c>
      <c r="DW409" s="65">
        <f>'Special Corporate+ RI+TPS'!DW24</f>
        <v>0</v>
      </c>
      <c r="DX409" s="65">
        <f>'Special Corporate+ RI+TPS'!DX24</f>
        <v>0</v>
      </c>
      <c r="DY409" s="65">
        <f>'Special Corporate+ RI+TPS'!DY24</f>
        <v>0</v>
      </c>
      <c r="DZ409" s="65">
        <f>'Special Corporate+ RI+TPS'!DZ24</f>
        <v>0</v>
      </c>
      <c r="EA409" s="65">
        <f>'Special Corporate+ RI+TPS'!EA24</f>
        <v>0</v>
      </c>
      <c r="EB409" s="68"/>
    </row>
    <row r="410" spans="1:132" x14ac:dyDescent="0.2">
      <c r="A410" s="152"/>
      <c r="B410" s="65">
        <f>'Special Corporate+ RI+TPS'!B25</f>
        <v>0</v>
      </c>
      <c r="C410" s="65">
        <f>'Special Corporate+ RI+TPS'!C25</f>
        <v>0</v>
      </c>
      <c r="D410" s="65">
        <f>'Special Corporate+ RI+TPS'!D25</f>
        <v>0</v>
      </c>
      <c r="E410" s="65">
        <f>'Special Corporate+ RI+TPS'!E25</f>
        <v>0</v>
      </c>
      <c r="F410" s="65">
        <f>'Special Corporate+ RI+TPS'!F25</f>
        <v>0</v>
      </c>
      <c r="G410" s="65">
        <f>'Special Corporate+ RI+TPS'!G25</f>
        <v>0</v>
      </c>
      <c r="H410" s="65">
        <f>'Special Corporate+ RI+TPS'!H25</f>
        <v>0</v>
      </c>
      <c r="I410" s="65">
        <f>'Special Corporate+ RI+TPS'!I25</f>
        <v>0</v>
      </c>
      <c r="J410" s="65">
        <f>'Special Corporate+ RI+TPS'!J25</f>
        <v>0</v>
      </c>
      <c r="K410" s="65">
        <f>'Special Corporate+ RI+TPS'!K25</f>
        <v>0</v>
      </c>
      <c r="L410" s="65">
        <f>'Special Corporate+ RI+TPS'!L25</f>
        <v>0</v>
      </c>
      <c r="M410" s="65">
        <f>'Special Corporate+ RI+TPS'!M25</f>
        <v>0</v>
      </c>
      <c r="N410" s="65">
        <f>'Special Corporate+ RI+TPS'!N25</f>
        <v>0</v>
      </c>
      <c r="O410" s="65">
        <f>'Special Corporate+ RI+TPS'!O25</f>
        <v>0</v>
      </c>
      <c r="P410" s="65">
        <f>'Special Corporate+ RI+TPS'!P25</f>
        <v>0</v>
      </c>
      <c r="Q410" s="65">
        <f>'Special Corporate+ RI+TPS'!Q25</f>
        <v>0</v>
      </c>
      <c r="R410" s="65">
        <f>'Special Corporate+ RI+TPS'!R25</f>
        <v>0</v>
      </c>
      <c r="S410" s="65">
        <f>'Special Corporate+ RI+TPS'!S25</f>
        <v>0</v>
      </c>
      <c r="T410" s="65">
        <f>'Special Corporate+ RI+TPS'!T25</f>
        <v>0</v>
      </c>
      <c r="U410" s="65">
        <f>'Special Corporate+ RI+TPS'!U25</f>
        <v>0</v>
      </c>
      <c r="V410" s="65">
        <f>'Special Corporate+ RI+TPS'!V25</f>
        <v>0</v>
      </c>
      <c r="W410" s="65">
        <f>'Special Corporate+ RI+TPS'!W25</f>
        <v>0</v>
      </c>
      <c r="X410" s="65">
        <f>'Special Corporate+ RI+TPS'!X25</f>
        <v>0</v>
      </c>
      <c r="Y410" s="65">
        <f>'Special Corporate+ RI+TPS'!Y25</f>
        <v>0</v>
      </c>
      <c r="Z410" s="65">
        <f>'Special Corporate+ RI+TPS'!Z25</f>
        <v>0</v>
      </c>
      <c r="AA410" s="65">
        <f>'Special Corporate+ RI+TPS'!AA25</f>
        <v>0</v>
      </c>
      <c r="AB410" s="65">
        <f>'Special Corporate+ RI+TPS'!AB25</f>
        <v>0</v>
      </c>
      <c r="AC410" s="65">
        <f>'Special Corporate+ RI+TPS'!AC25</f>
        <v>0</v>
      </c>
      <c r="AD410" s="65">
        <f>'Special Corporate+ RI+TPS'!AD25</f>
        <v>0</v>
      </c>
      <c r="AE410" s="65">
        <f>'Special Corporate+ RI+TPS'!AE25</f>
        <v>0</v>
      </c>
      <c r="AF410" s="65">
        <f>'Special Corporate+ RI+TPS'!AF25</f>
        <v>0</v>
      </c>
      <c r="AG410" s="65">
        <f>'Special Corporate+ RI+TPS'!AG25</f>
        <v>0</v>
      </c>
      <c r="AH410" s="65">
        <f>'Special Corporate+ RI+TPS'!AH25</f>
        <v>0</v>
      </c>
      <c r="AI410" s="65">
        <f>'Special Corporate+ RI+TPS'!AI25</f>
        <v>0</v>
      </c>
      <c r="AJ410" s="65">
        <f>'Special Corporate+ RI+TPS'!AJ25</f>
        <v>0</v>
      </c>
      <c r="AK410" s="65">
        <f>'Special Corporate+ RI+TPS'!AK25</f>
        <v>0</v>
      </c>
      <c r="AL410" s="65">
        <f>'Special Corporate+ RI+TPS'!AL25</f>
        <v>0</v>
      </c>
      <c r="AM410" s="65">
        <f>'Special Corporate+ RI+TPS'!AM25</f>
        <v>0</v>
      </c>
      <c r="AN410" s="65">
        <f>'Special Corporate+ RI+TPS'!AN25</f>
        <v>0</v>
      </c>
      <c r="AO410" s="65">
        <f>'Special Corporate+ RI+TPS'!AO25</f>
        <v>0</v>
      </c>
      <c r="AP410" s="65">
        <f>'Special Corporate+ RI+TPS'!AP25</f>
        <v>0</v>
      </c>
      <c r="AQ410" s="65">
        <f>'Special Corporate+ RI+TPS'!AQ25</f>
        <v>0</v>
      </c>
      <c r="AR410" s="65">
        <f>'Special Corporate+ RI+TPS'!AR25</f>
        <v>0</v>
      </c>
      <c r="AS410" s="65">
        <f>'Special Corporate+ RI+TPS'!AS25</f>
        <v>0</v>
      </c>
      <c r="AT410" s="65">
        <f>'Special Corporate+ RI+TPS'!AT25</f>
        <v>0</v>
      </c>
      <c r="AU410" s="65">
        <f>'Special Corporate+ RI+TPS'!AU25</f>
        <v>0</v>
      </c>
      <c r="AV410" s="65">
        <f>'Special Corporate+ RI+TPS'!AV25</f>
        <v>0</v>
      </c>
      <c r="AW410" s="65">
        <f>'Special Corporate+ RI+TPS'!AW25</f>
        <v>0</v>
      </c>
      <c r="AX410" s="65">
        <f>'Special Corporate+ RI+TPS'!AX25</f>
        <v>0</v>
      </c>
      <c r="AY410" s="65">
        <f>'Special Corporate+ RI+TPS'!AY25</f>
        <v>0</v>
      </c>
      <c r="AZ410" s="65">
        <f>'Special Corporate+ RI+TPS'!AZ25</f>
        <v>0</v>
      </c>
      <c r="BA410" s="65">
        <f>'Special Corporate+ RI+TPS'!BA25</f>
        <v>0</v>
      </c>
      <c r="BB410" s="65">
        <f>'Special Corporate+ RI+TPS'!BB25</f>
        <v>0</v>
      </c>
      <c r="BC410" s="65">
        <f>'Special Corporate+ RI+TPS'!BC25</f>
        <v>0</v>
      </c>
      <c r="BD410" s="65">
        <f>'Special Corporate+ RI+TPS'!BD25</f>
        <v>0</v>
      </c>
      <c r="BE410" s="65">
        <f>'Special Corporate+ RI+TPS'!BE25</f>
        <v>0</v>
      </c>
      <c r="BF410" s="65">
        <f>'Special Corporate+ RI+TPS'!BF25</f>
        <v>0</v>
      </c>
      <c r="BG410" s="65">
        <f>'Special Corporate+ RI+TPS'!BG25</f>
        <v>0</v>
      </c>
      <c r="BH410" s="65">
        <f>'Special Corporate+ RI+TPS'!BH25</f>
        <v>0</v>
      </c>
      <c r="BI410" s="65">
        <f>'Special Corporate+ RI+TPS'!BI25</f>
        <v>0</v>
      </c>
      <c r="BJ410" s="65">
        <f>'Special Corporate+ RI+TPS'!BJ25</f>
        <v>0</v>
      </c>
      <c r="BK410" s="65">
        <f>'Special Corporate+ RI+TPS'!BK25</f>
        <v>0</v>
      </c>
      <c r="BL410" s="65">
        <f>'Special Corporate+ RI+TPS'!BL25</f>
        <v>0</v>
      </c>
      <c r="BM410" s="65">
        <f>'Special Corporate+ RI+TPS'!BM25</f>
        <v>0</v>
      </c>
      <c r="BN410" s="65">
        <f>'Special Corporate+ RI+TPS'!BN25</f>
        <v>0</v>
      </c>
      <c r="BO410" s="65">
        <f>'Special Corporate+ RI+TPS'!BO25</f>
        <v>0</v>
      </c>
      <c r="BP410" s="65">
        <f>'Special Corporate+ RI+TPS'!BP25</f>
        <v>0</v>
      </c>
      <c r="BQ410" s="65">
        <f>'Special Corporate+ RI+TPS'!BQ25</f>
        <v>0</v>
      </c>
      <c r="BR410" s="65">
        <f>'Special Corporate+ RI+TPS'!BR25</f>
        <v>0</v>
      </c>
      <c r="BS410" s="65">
        <f>'Special Corporate+ RI+TPS'!BS25</f>
        <v>0</v>
      </c>
      <c r="BT410" s="65">
        <f>'Special Corporate+ RI+TPS'!BT25</f>
        <v>0</v>
      </c>
      <c r="BU410" s="65">
        <f>'Special Corporate+ RI+TPS'!BU25</f>
        <v>0</v>
      </c>
      <c r="BV410" s="65">
        <f>'Special Corporate+ RI+TPS'!BV25</f>
        <v>0</v>
      </c>
      <c r="BW410" s="65">
        <f>'Special Corporate+ RI+TPS'!BW25</f>
        <v>0</v>
      </c>
      <c r="BX410" s="65">
        <f>'Special Corporate+ RI+TPS'!BX25</f>
        <v>0</v>
      </c>
      <c r="BY410" s="65">
        <f>'Special Corporate+ RI+TPS'!BY25</f>
        <v>0</v>
      </c>
      <c r="BZ410" s="65">
        <f>'Special Corporate+ RI+TPS'!BZ25</f>
        <v>0</v>
      </c>
      <c r="CA410" s="65">
        <f>'Special Corporate+ RI+TPS'!CA25</f>
        <v>0</v>
      </c>
      <c r="CB410" s="65">
        <f>'Special Corporate+ RI+TPS'!CB25</f>
        <v>0</v>
      </c>
      <c r="CC410" s="65">
        <f>'Special Corporate+ RI+TPS'!CC25</f>
        <v>0</v>
      </c>
      <c r="CD410" s="65">
        <f>'Special Corporate+ RI+TPS'!CD25</f>
        <v>0</v>
      </c>
      <c r="CE410" s="65">
        <f>'Special Corporate+ RI+TPS'!CE25</f>
        <v>0</v>
      </c>
      <c r="CF410" s="65">
        <f>'Special Corporate+ RI+TPS'!CF25</f>
        <v>0</v>
      </c>
      <c r="CG410" s="65">
        <f>'Special Corporate+ RI+TPS'!CG25</f>
        <v>0</v>
      </c>
      <c r="CH410" s="65">
        <f>'Special Corporate+ RI+TPS'!CH25</f>
        <v>0</v>
      </c>
      <c r="CI410" s="65">
        <f>'Special Corporate+ RI+TPS'!CI25</f>
        <v>0</v>
      </c>
      <c r="CJ410" s="65">
        <f>'Special Corporate+ RI+TPS'!CJ25</f>
        <v>0</v>
      </c>
      <c r="CK410" s="65">
        <f>'Special Corporate+ RI+TPS'!CK25</f>
        <v>0</v>
      </c>
      <c r="CL410" s="65">
        <f>'Special Corporate+ RI+TPS'!CL25</f>
        <v>0</v>
      </c>
      <c r="CM410" s="65">
        <f>'Special Corporate+ RI+TPS'!CM25</f>
        <v>0</v>
      </c>
      <c r="CN410" s="65">
        <f>'Special Corporate+ RI+TPS'!CN25</f>
        <v>0</v>
      </c>
      <c r="CO410" s="65">
        <f>'Special Corporate+ RI+TPS'!CO25</f>
        <v>0</v>
      </c>
      <c r="CP410" s="65">
        <f>'Special Corporate+ RI+TPS'!CP25</f>
        <v>0</v>
      </c>
      <c r="CQ410" s="65">
        <f>'Special Corporate+ RI+TPS'!CQ25</f>
        <v>0</v>
      </c>
      <c r="CR410" s="65">
        <f>'Special Corporate+ RI+TPS'!CR25</f>
        <v>0</v>
      </c>
      <c r="CS410" s="65">
        <f>'Special Corporate+ RI+TPS'!CS25</f>
        <v>0</v>
      </c>
      <c r="CT410" s="65">
        <f>'Special Corporate+ RI+TPS'!CT25</f>
        <v>0</v>
      </c>
      <c r="CU410" s="65">
        <f>'Special Corporate+ RI+TPS'!CU25</f>
        <v>0</v>
      </c>
      <c r="CV410" s="65">
        <f>'Special Corporate+ RI+TPS'!CV25</f>
        <v>0</v>
      </c>
      <c r="CW410" s="65">
        <f>'Special Corporate+ RI+TPS'!CW25</f>
        <v>0</v>
      </c>
      <c r="CX410" s="65">
        <f>'Special Corporate+ RI+TPS'!CX25</f>
        <v>0</v>
      </c>
      <c r="CY410" s="65">
        <f>'Special Corporate+ RI+TPS'!CY25</f>
        <v>0</v>
      </c>
      <c r="CZ410" s="65">
        <f>'Special Corporate+ RI+TPS'!CZ25</f>
        <v>0</v>
      </c>
      <c r="DA410" s="65">
        <f>'Special Corporate+ RI+TPS'!DA25</f>
        <v>0</v>
      </c>
      <c r="DB410" s="65">
        <f>'Special Corporate+ RI+TPS'!DB25</f>
        <v>0</v>
      </c>
      <c r="DC410" s="65">
        <f>'Special Corporate+ RI+TPS'!DC25</f>
        <v>0</v>
      </c>
      <c r="DD410" s="65">
        <f>'Special Corporate+ RI+TPS'!DD25</f>
        <v>0</v>
      </c>
      <c r="DE410" s="65">
        <f>'Special Corporate+ RI+TPS'!DE25</f>
        <v>0</v>
      </c>
      <c r="DF410" s="65">
        <f>'Special Corporate+ RI+TPS'!DF25</f>
        <v>0</v>
      </c>
      <c r="DG410" s="65">
        <f>'Special Corporate+ RI+TPS'!DG25</f>
        <v>0</v>
      </c>
      <c r="DH410" s="65">
        <f>'Special Corporate+ RI+TPS'!DH25</f>
        <v>0</v>
      </c>
      <c r="DI410" s="65">
        <f>'Special Corporate+ RI+TPS'!DI25</f>
        <v>0</v>
      </c>
      <c r="DJ410" s="65">
        <f>'Special Corporate+ RI+TPS'!DJ25</f>
        <v>0</v>
      </c>
      <c r="DK410" s="65">
        <f>'Special Corporate+ RI+TPS'!DK25</f>
        <v>0</v>
      </c>
      <c r="DL410" s="65">
        <f>'Special Corporate+ RI+TPS'!DL25</f>
        <v>0</v>
      </c>
      <c r="DM410" s="65">
        <f>'Special Corporate+ RI+TPS'!DM25</f>
        <v>0</v>
      </c>
      <c r="DN410" s="65">
        <f>'Special Corporate+ RI+TPS'!DN25</f>
        <v>0</v>
      </c>
      <c r="DO410" s="65">
        <f>'Special Corporate+ RI+TPS'!DO25</f>
        <v>0</v>
      </c>
      <c r="DP410" s="65">
        <f>'Special Corporate+ RI+TPS'!DP25</f>
        <v>0</v>
      </c>
      <c r="DQ410" s="65">
        <f>'Special Corporate+ RI+TPS'!DQ25</f>
        <v>0</v>
      </c>
      <c r="DR410" s="65">
        <f>'Special Corporate+ RI+TPS'!DR25</f>
        <v>0</v>
      </c>
      <c r="DS410" s="65">
        <f>'Special Corporate+ RI+TPS'!DS25</f>
        <v>0</v>
      </c>
      <c r="DT410" s="65">
        <f>'Special Corporate+ RI+TPS'!DT25</f>
        <v>0</v>
      </c>
      <c r="DU410" s="65">
        <f>'Special Corporate+ RI+TPS'!DU25</f>
        <v>0</v>
      </c>
      <c r="DV410" s="65">
        <f>'Special Corporate+ RI+TPS'!DV25</f>
        <v>0</v>
      </c>
      <c r="DW410" s="65">
        <f>'Special Corporate+ RI+TPS'!DW25</f>
        <v>0</v>
      </c>
      <c r="DX410" s="65">
        <f>'Special Corporate+ RI+TPS'!DX25</f>
        <v>0</v>
      </c>
      <c r="DY410" s="65">
        <f>'Special Corporate+ RI+TPS'!DY25</f>
        <v>0</v>
      </c>
      <c r="DZ410" s="65">
        <f>'Special Corporate+ RI+TPS'!DZ25</f>
        <v>0</v>
      </c>
      <c r="EA410" s="65">
        <f>'Special Corporate+ RI+TPS'!EA25</f>
        <v>0</v>
      </c>
      <c r="EB410" s="68"/>
    </row>
    <row r="411" spans="1:132" x14ac:dyDescent="0.2">
      <c r="A411" s="152"/>
      <c r="B411" s="65">
        <f>'Special Corporate+ RI+TPS'!B26</f>
        <v>0</v>
      </c>
      <c r="C411" s="65">
        <f>'Special Corporate+ RI+TPS'!C26</f>
        <v>0</v>
      </c>
      <c r="D411" s="65">
        <f>'Special Corporate+ RI+TPS'!D26</f>
        <v>0</v>
      </c>
      <c r="E411" s="65">
        <f>'Special Corporate+ RI+TPS'!E26</f>
        <v>0</v>
      </c>
      <c r="F411" s="65">
        <f>'Special Corporate+ RI+TPS'!F26</f>
        <v>0</v>
      </c>
      <c r="G411" s="65">
        <f>'Special Corporate+ RI+TPS'!G26</f>
        <v>0</v>
      </c>
      <c r="H411" s="65">
        <f>'Special Corporate+ RI+TPS'!H26</f>
        <v>0</v>
      </c>
      <c r="I411" s="65">
        <f>'Special Corporate+ RI+TPS'!I26</f>
        <v>0</v>
      </c>
      <c r="J411" s="65">
        <f>'Special Corporate+ RI+TPS'!J26</f>
        <v>0</v>
      </c>
      <c r="K411" s="65">
        <f>'Special Corporate+ RI+TPS'!K26</f>
        <v>0</v>
      </c>
      <c r="L411" s="65">
        <f>'Special Corporate+ RI+TPS'!L26</f>
        <v>0</v>
      </c>
      <c r="M411" s="65">
        <f>'Special Corporate+ RI+TPS'!M26</f>
        <v>0</v>
      </c>
      <c r="N411" s="65">
        <f>'Special Corporate+ RI+TPS'!N26</f>
        <v>0</v>
      </c>
      <c r="O411" s="65">
        <f>'Special Corporate+ RI+TPS'!O26</f>
        <v>0</v>
      </c>
      <c r="P411" s="65">
        <f>'Special Corporate+ RI+TPS'!P26</f>
        <v>0</v>
      </c>
      <c r="Q411" s="65">
        <f>'Special Corporate+ RI+TPS'!Q26</f>
        <v>0</v>
      </c>
      <c r="R411" s="65">
        <f>'Special Corporate+ RI+TPS'!R26</f>
        <v>0</v>
      </c>
      <c r="S411" s="65">
        <f>'Special Corporate+ RI+TPS'!S26</f>
        <v>0</v>
      </c>
      <c r="T411" s="65">
        <f>'Special Corporate+ RI+TPS'!T26</f>
        <v>0</v>
      </c>
      <c r="U411" s="65">
        <f>'Special Corporate+ RI+TPS'!U26</f>
        <v>0</v>
      </c>
      <c r="V411" s="65">
        <f>'Special Corporate+ RI+TPS'!V26</f>
        <v>0</v>
      </c>
      <c r="W411" s="65">
        <f>'Special Corporate+ RI+TPS'!W26</f>
        <v>0</v>
      </c>
      <c r="X411" s="65">
        <f>'Special Corporate+ RI+TPS'!X26</f>
        <v>0</v>
      </c>
      <c r="Y411" s="65">
        <f>'Special Corporate+ RI+TPS'!Y26</f>
        <v>0</v>
      </c>
      <c r="Z411" s="65">
        <f>'Special Corporate+ RI+TPS'!Z26</f>
        <v>0</v>
      </c>
      <c r="AA411" s="65">
        <f>'Special Corporate+ RI+TPS'!AA26</f>
        <v>0</v>
      </c>
      <c r="AB411" s="65">
        <f>'Special Corporate+ RI+TPS'!AB26</f>
        <v>0</v>
      </c>
      <c r="AC411" s="65">
        <f>'Special Corporate+ RI+TPS'!AC26</f>
        <v>0</v>
      </c>
      <c r="AD411" s="65">
        <f>'Special Corporate+ RI+TPS'!AD26</f>
        <v>0</v>
      </c>
      <c r="AE411" s="65">
        <f>'Special Corporate+ RI+TPS'!AE26</f>
        <v>0</v>
      </c>
      <c r="AF411" s="65">
        <f>'Special Corporate+ RI+TPS'!AF26</f>
        <v>0</v>
      </c>
      <c r="AG411" s="65">
        <f>'Special Corporate+ RI+TPS'!AG26</f>
        <v>0</v>
      </c>
      <c r="AH411" s="65">
        <f>'Special Corporate+ RI+TPS'!AH26</f>
        <v>0</v>
      </c>
      <c r="AI411" s="65">
        <f>'Special Corporate+ RI+TPS'!AI26</f>
        <v>0</v>
      </c>
      <c r="AJ411" s="65">
        <f>'Special Corporate+ RI+TPS'!AJ26</f>
        <v>0</v>
      </c>
      <c r="AK411" s="65">
        <f>'Special Corporate+ RI+TPS'!AK26</f>
        <v>0</v>
      </c>
      <c r="AL411" s="65">
        <f>'Special Corporate+ RI+TPS'!AL26</f>
        <v>0</v>
      </c>
      <c r="AM411" s="65">
        <f>'Special Corporate+ RI+TPS'!AM26</f>
        <v>0</v>
      </c>
      <c r="AN411" s="65">
        <f>'Special Corporate+ RI+TPS'!AN26</f>
        <v>0</v>
      </c>
      <c r="AO411" s="65">
        <f>'Special Corporate+ RI+TPS'!AO26</f>
        <v>0</v>
      </c>
      <c r="AP411" s="65">
        <f>'Special Corporate+ RI+TPS'!AP26</f>
        <v>0</v>
      </c>
      <c r="AQ411" s="65">
        <f>'Special Corporate+ RI+TPS'!AQ26</f>
        <v>0</v>
      </c>
      <c r="AR411" s="65">
        <f>'Special Corporate+ RI+TPS'!AR26</f>
        <v>0</v>
      </c>
      <c r="AS411" s="65">
        <f>'Special Corporate+ RI+TPS'!AS26</f>
        <v>0</v>
      </c>
      <c r="AT411" s="65">
        <f>'Special Corporate+ RI+TPS'!AT26</f>
        <v>0</v>
      </c>
      <c r="AU411" s="65">
        <f>'Special Corporate+ RI+TPS'!AU26</f>
        <v>0</v>
      </c>
      <c r="AV411" s="65">
        <f>'Special Corporate+ RI+TPS'!AV26</f>
        <v>0</v>
      </c>
      <c r="AW411" s="65">
        <f>'Special Corporate+ RI+TPS'!AW26</f>
        <v>0</v>
      </c>
      <c r="AX411" s="65">
        <f>'Special Corporate+ RI+TPS'!AX26</f>
        <v>0</v>
      </c>
      <c r="AY411" s="65">
        <f>'Special Corporate+ RI+TPS'!AY26</f>
        <v>0</v>
      </c>
      <c r="AZ411" s="65">
        <f>'Special Corporate+ RI+TPS'!AZ26</f>
        <v>0</v>
      </c>
      <c r="BA411" s="65">
        <f>'Special Corporate+ RI+TPS'!BA26</f>
        <v>0</v>
      </c>
      <c r="BB411" s="65">
        <f>'Special Corporate+ RI+TPS'!BB26</f>
        <v>0</v>
      </c>
      <c r="BC411" s="65">
        <f>'Special Corporate+ RI+TPS'!BC26</f>
        <v>0</v>
      </c>
      <c r="BD411" s="65">
        <f>'Special Corporate+ RI+TPS'!BD26</f>
        <v>0</v>
      </c>
      <c r="BE411" s="65">
        <f>'Special Corporate+ RI+TPS'!BE26</f>
        <v>0</v>
      </c>
      <c r="BF411" s="65">
        <f>'Special Corporate+ RI+TPS'!BF26</f>
        <v>0</v>
      </c>
      <c r="BG411" s="65">
        <f>'Special Corporate+ RI+TPS'!BG26</f>
        <v>0</v>
      </c>
      <c r="BH411" s="65">
        <f>'Special Corporate+ RI+TPS'!BH26</f>
        <v>0</v>
      </c>
      <c r="BI411" s="65">
        <f>'Special Corporate+ RI+TPS'!BI26</f>
        <v>0</v>
      </c>
      <c r="BJ411" s="65">
        <f>'Special Corporate+ RI+TPS'!BJ26</f>
        <v>0</v>
      </c>
      <c r="BK411" s="65">
        <f>'Special Corporate+ RI+TPS'!BK26</f>
        <v>0</v>
      </c>
      <c r="BL411" s="65">
        <f>'Special Corporate+ RI+TPS'!BL26</f>
        <v>0</v>
      </c>
      <c r="BM411" s="65">
        <f>'Special Corporate+ RI+TPS'!BM26</f>
        <v>0</v>
      </c>
      <c r="BN411" s="65">
        <f>'Special Corporate+ RI+TPS'!BN26</f>
        <v>0</v>
      </c>
      <c r="BO411" s="65">
        <f>'Special Corporate+ RI+TPS'!BO26</f>
        <v>0</v>
      </c>
      <c r="BP411" s="65">
        <f>'Special Corporate+ RI+TPS'!BP26</f>
        <v>0</v>
      </c>
      <c r="BQ411" s="65">
        <f>'Special Corporate+ RI+TPS'!BQ26</f>
        <v>0</v>
      </c>
      <c r="BR411" s="65">
        <f>'Special Corporate+ RI+TPS'!BR26</f>
        <v>0</v>
      </c>
      <c r="BS411" s="65">
        <f>'Special Corporate+ RI+TPS'!BS26</f>
        <v>0</v>
      </c>
      <c r="BT411" s="65">
        <f>'Special Corporate+ RI+TPS'!BT26</f>
        <v>0</v>
      </c>
      <c r="BU411" s="65">
        <f>'Special Corporate+ RI+TPS'!BU26</f>
        <v>0</v>
      </c>
      <c r="BV411" s="65">
        <f>'Special Corporate+ RI+TPS'!BV26</f>
        <v>0</v>
      </c>
      <c r="BW411" s="65">
        <f>'Special Corporate+ RI+TPS'!BW26</f>
        <v>0</v>
      </c>
      <c r="BX411" s="65">
        <f>'Special Corporate+ RI+TPS'!BX26</f>
        <v>0</v>
      </c>
      <c r="BY411" s="65">
        <f>'Special Corporate+ RI+TPS'!BY26</f>
        <v>0</v>
      </c>
      <c r="BZ411" s="65">
        <f>'Special Corporate+ RI+TPS'!BZ26</f>
        <v>0</v>
      </c>
      <c r="CA411" s="65">
        <f>'Special Corporate+ RI+TPS'!CA26</f>
        <v>0</v>
      </c>
      <c r="CB411" s="65">
        <f>'Special Corporate+ RI+TPS'!CB26</f>
        <v>0</v>
      </c>
      <c r="CC411" s="65">
        <f>'Special Corporate+ RI+TPS'!CC26</f>
        <v>0</v>
      </c>
      <c r="CD411" s="65">
        <f>'Special Corporate+ RI+TPS'!CD26</f>
        <v>0</v>
      </c>
      <c r="CE411" s="65">
        <f>'Special Corporate+ RI+TPS'!CE26</f>
        <v>0</v>
      </c>
      <c r="CF411" s="65">
        <f>'Special Corporate+ RI+TPS'!CF26</f>
        <v>0</v>
      </c>
      <c r="CG411" s="65">
        <f>'Special Corporate+ RI+TPS'!CG26</f>
        <v>0</v>
      </c>
      <c r="CH411" s="65">
        <f>'Special Corporate+ RI+TPS'!CH26</f>
        <v>0</v>
      </c>
      <c r="CI411" s="65">
        <f>'Special Corporate+ RI+TPS'!CI26</f>
        <v>0</v>
      </c>
      <c r="CJ411" s="65">
        <f>'Special Corporate+ RI+TPS'!CJ26</f>
        <v>0</v>
      </c>
      <c r="CK411" s="65">
        <f>'Special Corporate+ RI+TPS'!CK26</f>
        <v>0</v>
      </c>
      <c r="CL411" s="65">
        <f>'Special Corporate+ RI+TPS'!CL26</f>
        <v>0</v>
      </c>
      <c r="CM411" s="65">
        <f>'Special Corporate+ RI+TPS'!CM26</f>
        <v>0</v>
      </c>
      <c r="CN411" s="65">
        <f>'Special Corporate+ RI+TPS'!CN26</f>
        <v>0</v>
      </c>
      <c r="CO411" s="65">
        <f>'Special Corporate+ RI+TPS'!CO26</f>
        <v>0</v>
      </c>
      <c r="CP411" s="65">
        <f>'Special Corporate+ RI+TPS'!CP26</f>
        <v>0</v>
      </c>
      <c r="CQ411" s="65">
        <f>'Special Corporate+ RI+TPS'!CQ26</f>
        <v>0</v>
      </c>
      <c r="CR411" s="65">
        <f>'Special Corporate+ RI+TPS'!CR26</f>
        <v>0</v>
      </c>
      <c r="CS411" s="65">
        <f>'Special Corporate+ RI+TPS'!CS26</f>
        <v>0</v>
      </c>
      <c r="CT411" s="65">
        <f>'Special Corporate+ RI+TPS'!CT26</f>
        <v>0</v>
      </c>
      <c r="CU411" s="65">
        <f>'Special Corporate+ RI+TPS'!CU26</f>
        <v>0</v>
      </c>
      <c r="CV411" s="65">
        <f>'Special Corporate+ RI+TPS'!CV26</f>
        <v>0</v>
      </c>
      <c r="CW411" s="65">
        <f>'Special Corporate+ RI+TPS'!CW26</f>
        <v>0</v>
      </c>
      <c r="CX411" s="65">
        <f>'Special Corporate+ RI+TPS'!CX26</f>
        <v>0</v>
      </c>
      <c r="CY411" s="65">
        <f>'Special Corporate+ RI+TPS'!CY26</f>
        <v>0</v>
      </c>
      <c r="CZ411" s="65">
        <f>'Special Corporate+ RI+TPS'!CZ26</f>
        <v>0</v>
      </c>
      <c r="DA411" s="65">
        <f>'Special Corporate+ RI+TPS'!DA26</f>
        <v>0</v>
      </c>
      <c r="DB411" s="65">
        <f>'Special Corporate+ RI+TPS'!DB26</f>
        <v>0</v>
      </c>
      <c r="DC411" s="65">
        <f>'Special Corporate+ RI+TPS'!DC26</f>
        <v>0</v>
      </c>
      <c r="DD411" s="65">
        <f>'Special Corporate+ RI+TPS'!DD26</f>
        <v>0</v>
      </c>
      <c r="DE411" s="65">
        <f>'Special Corporate+ RI+TPS'!DE26</f>
        <v>0</v>
      </c>
      <c r="DF411" s="65">
        <f>'Special Corporate+ RI+TPS'!DF26</f>
        <v>0</v>
      </c>
      <c r="DG411" s="65">
        <f>'Special Corporate+ RI+TPS'!DG26</f>
        <v>0</v>
      </c>
      <c r="DH411" s="65">
        <f>'Special Corporate+ RI+TPS'!DH26</f>
        <v>0</v>
      </c>
      <c r="DI411" s="65">
        <f>'Special Corporate+ RI+TPS'!DI26</f>
        <v>0</v>
      </c>
      <c r="DJ411" s="65">
        <f>'Special Corporate+ RI+TPS'!DJ26</f>
        <v>0</v>
      </c>
      <c r="DK411" s="65">
        <f>'Special Corporate+ RI+TPS'!DK26</f>
        <v>0</v>
      </c>
      <c r="DL411" s="65">
        <f>'Special Corporate+ RI+TPS'!DL26</f>
        <v>0</v>
      </c>
      <c r="DM411" s="65">
        <f>'Special Corporate+ RI+TPS'!DM26</f>
        <v>0</v>
      </c>
      <c r="DN411" s="65">
        <f>'Special Corporate+ RI+TPS'!DN26</f>
        <v>0</v>
      </c>
      <c r="DO411" s="65">
        <f>'Special Corporate+ RI+TPS'!DO26</f>
        <v>0</v>
      </c>
      <c r="DP411" s="65">
        <f>'Special Corporate+ RI+TPS'!DP26</f>
        <v>0</v>
      </c>
      <c r="DQ411" s="65">
        <f>'Special Corporate+ RI+TPS'!DQ26</f>
        <v>0</v>
      </c>
      <c r="DR411" s="65">
        <f>'Special Corporate+ RI+TPS'!DR26</f>
        <v>0</v>
      </c>
      <c r="DS411" s="65">
        <f>'Special Corporate+ RI+TPS'!DS26</f>
        <v>0</v>
      </c>
      <c r="DT411" s="65">
        <f>'Special Corporate+ RI+TPS'!DT26</f>
        <v>0</v>
      </c>
      <c r="DU411" s="65">
        <f>'Special Corporate+ RI+TPS'!DU26</f>
        <v>0</v>
      </c>
      <c r="DV411" s="65">
        <f>'Special Corporate+ RI+TPS'!DV26</f>
        <v>0</v>
      </c>
      <c r="DW411" s="65">
        <f>'Special Corporate+ RI+TPS'!DW26</f>
        <v>0</v>
      </c>
      <c r="DX411" s="65">
        <f>'Special Corporate+ RI+TPS'!DX26</f>
        <v>0</v>
      </c>
      <c r="DY411" s="65">
        <f>'Special Corporate+ RI+TPS'!DY26</f>
        <v>0</v>
      </c>
      <c r="DZ411" s="65">
        <f>'Special Corporate+ RI+TPS'!DZ26</f>
        <v>0</v>
      </c>
      <c r="EA411" s="65">
        <f>'Special Corporate+ RI+TPS'!EA26</f>
        <v>0</v>
      </c>
      <c r="EB411" s="68"/>
    </row>
    <row r="412" spans="1:132" x14ac:dyDescent="0.2">
      <c r="A412" s="152"/>
      <c r="B412" s="65">
        <f>'Special Corporate+ RI+TPS'!B27</f>
        <v>0</v>
      </c>
      <c r="C412" s="65">
        <f>'Special Corporate+ RI+TPS'!C27</f>
        <v>0</v>
      </c>
      <c r="D412" s="65">
        <f>'Special Corporate+ RI+TPS'!D27</f>
        <v>0</v>
      </c>
      <c r="E412" s="65">
        <f>'Special Corporate+ RI+TPS'!E27</f>
        <v>0</v>
      </c>
      <c r="F412" s="65">
        <f>'Special Corporate+ RI+TPS'!F27</f>
        <v>0</v>
      </c>
      <c r="G412" s="65">
        <f>'Special Corporate+ RI+TPS'!G27</f>
        <v>0</v>
      </c>
      <c r="H412" s="65">
        <f>'Special Corporate+ RI+TPS'!H27</f>
        <v>0</v>
      </c>
      <c r="I412" s="65">
        <f>'Special Corporate+ RI+TPS'!I27</f>
        <v>0</v>
      </c>
      <c r="J412" s="65">
        <f>'Special Corporate+ RI+TPS'!J27</f>
        <v>0</v>
      </c>
      <c r="K412" s="65">
        <f>'Special Corporate+ RI+TPS'!K27</f>
        <v>0</v>
      </c>
      <c r="L412" s="65">
        <f>'Special Corporate+ RI+TPS'!L27</f>
        <v>0</v>
      </c>
      <c r="M412" s="65">
        <f>'Special Corporate+ RI+TPS'!M27</f>
        <v>0</v>
      </c>
      <c r="N412" s="65">
        <f>'Special Corporate+ RI+TPS'!N27</f>
        <v>0</v>
      </c>
      <c r="O412" s="65">
        <f>'Special Corporate+ RI+TPS'!O27</f>
        <v>0</v>
      </c>
      <c r="P412" s="65">
        <f>'Special Corporate+ RI+TPS'!P27</f>
        <v>0</v>
      </c>
      <c r="Q412" s="65">
        <f>'Special Corporate+ RI+TPS'!Q27</f>
        <v>0</v>
      </c>
      <c r="R412" s="65">
        <f>'Special Corporate+ RI+TPS'!R27</f>
        <v>0</v>
      </c>
      <c r="S412" s="65">
        <f>'Special Corporate+ RI+TPS'!S27</f>
        <v>0</v>
      </c>
      <c r="T412" s="65">
        <f>'Special Corporate+ RI+TPS'!T27</f>
        <v>0</v>
      </c>
      <c r="U412" s="65">
        <f>'Special Corporate+ RI+TPS'!U27</f>
        <v>0</v>
      </c>
      <c r="V412" s="65">
        <f>'Special Corporate+ RI+TPS'!V27</f>
        <v>0</v>
      </c>
      <c r="W412" s="65">
        <f>'Special Corporate+ RI+TPS'!W27</f>
        <v>0</v>
      </c>
      <c r="X412" s="65">
        <f>'Special Corporate+ RI+TPS'!X27</f>
        <v>0</v>
      </c>
      <c r="Y412" s="65">
        <f>'Special Corporate+ RI+TPS'!Y27</f>
        <v>0</v>
      </c>
      <c r="Z412" s="65">
        <f>'Special Corporate+ RI+TPS'!Z27</f>
        <v>0</v>
      </c>
      <c r="AA412" s="65">
        <f>'Special Corporate+ RI+TPS'!AA27</f>
        <v>0</v>
      </c>
      <c r="AB412" s="65">
        <f>'Special Corporate+ RI+TPS'!AB27</f>
        <v>0</v>
      </c>
      <c r="AC412" s="65">
        <f>'Special Corporate+ RI+TPS'!AC27</f>
        <v>0</v>
      </c>
      <c r="AD412" s="65">
        <f>'Special Corporate+ RI+TPS'!AD27</f>
        <v>0</v>
      </c>
      <c r="AE412" s="65">
        <f>'Special Corporate+ RI+TPS'!AE27</f>
        <v>0</v>
      </c>
      <c r="AF412" s="65">
        <f>'Special Corporate+ RI+TPS'!AF27</f>
        <v>0</v>
      </c>
      <c r="AG412" s="65">
        <f>'Special Corporate+ RI+TPS'!AG27</f>
        <v>0</v>
      </c>
      <c r="AH412" s="65">
        <f>'Special Corporate+ RI+TPS'!AH27</f>
        <v>0</v>
      </c>
      <c r="AI412" s="65">
        <f>'Special Corporate+ RI+TPS'!AI27</f>
        <v>0</v>
      </c>
      <c r="AJ412" s="65">
        <f>'Special Corporate+ RI+TPS'!AJ27</f>
        <v>0</v>
      </c>
      <c r="AK412" s="65">
        <f>'Special Corporate+ RI+TPS'!AK27</f>
        <v>0</v>
      </c>
      <c r="AL412" s="65">
        <f>'Special Corporate+ RI+TPS'!AL27</f>
        <v>0</v>
      </c>
      <c r="AM412" s="65">
        <f>'Special Corporate+ RI+TPS'!AM27</f>
        <v>0</v>
      </c>
      <c r="AN412" s="65">
        <f>'Special Corporate+ RI+TPS'!AN27</f>
        <v>0</v>
      </c>
      <c r="AO412" s="65">
        <f>'Special Corporate+ RI+TPS'!AO27</f>
        <v>0</v>
      </c>
      <c r="AP412" s="65">
        <f>'Special Corporate+ RI+TPS'!AP27</f>
        <v>0</v>
      </c>
      <c r="AQ412" s="65">
        <f>'Special Corporate+ RI+TPS'!AQ27</f>
        <v>0</v>
      </c>
      <c r="AR412" s="65">
        <f>'Special Corporate+ RI+TPS'!AR27</f>
        <v>0</v>
      </c>
      <c r="AS412" s="65">
        <f>'Special Corporate+ RI+TPS'!AS27</f>
        <v>0</v>
      </c>
      <c r="AT412" s="65">
        <f>'Special Corporate+ RI+TPS'!AT27</f>
        <v>0</v>
      </c>
      <c r="AU412" s="65">
        <f>'Special Corporate+ RI+TPS'!AU27</f>
        <v>0</v>
      </c>
      <c r="AV412" s="65">
        <f>'Special Corporate+ RI+TPS'!AV27</f>
        <v>0</v>
      </c>
      <c r="AW412" s="65">
        <f>'Special Corporate+ RI+TPS'!AW27</f>
        <v>0</v>
      </c>
      <c r="AX412" s="65">
        <f>'Special Corporate+ RI+TPS'!AX27</f>
        <v>0</v>
      </c>
      <c r="AY412" s="65">
        <f>'Special Corporate+ RI+TPS'!AY27</f>
        <v>0</v>
      </c>
      <c r="AZ412" s="65">
        <f>'Special Corporate+ RI+TPS'!AZ27</f>
        <v>0</v>
      </c>
      <c r="BA412" s="65">
        <f>'Special Corporate+ RI+TPS'!BA27</f>
        <v>0</v>
      </c>
      <c r="BB412" s="65">
        <f>'Special Corporate+ RI+TPS'!BB27</f>
        <v>0</v>
      </c>
      <c r="BC412" s="65">
        <f>'Special Corporate+ RI+TPS'!BC27</f>
        <v>0</v>
      </c>
      <c r="BD412" s="65">
        <f>'Special Corporate+ RI+TPS'!BD27</f>
        <v>0</v>
      </c>
      <c r="BE412" s="65">
        <f>'Special Corporate+ RI+TPS'!BE27</f>
        <v>0</v>
      </c>
      <c r="BF412" s="65">
        <f>'Special Corporate+ RI+TPS'!BF27</f>
        <v>0</v>
      </c>
      <c r="BG412" s="65">
        <f>'Special Corporate+ RI+TPS'!BG27</f>
        <v>0</v>
      </c>
      <c r="BH412" s="65">
        <f>'Special Corporate+ RI+TPS'!BH27</f>
        <v>0</v>
      </c>
      <c r="BI412" s="65">
        <f>'Special Corporate+ RI+TPS'!BI27</f>
        <v>0</v>
      </c>
      <c r="BJ412" s="65">
        <f>'Special Corporate+ RI+TPS'!BJ27</f>
        <v>0</v>
      </c>
      <c r="BK412" s="65">
        <f>'Special Corporate+ RI+TPS'!BK27</f>
        <v>0</v>
      </c>
      <c r="BL412" s="65">
        <f>'Special Corporate+ RI+TPS'!BL27</f>
        <v>0</v>
      </c>
      <c r="BM412" s="65">
        <f>'Special Corporate+ RI+TPS'!BM27</f>
        <v>0</v>
      </c>
      <c r="BN412" s="65">
        <f>'Special Corporate+ RI+TPS'!BN27</f>
        <v>0</v>
      </c>
      <c r="BO412" s="65">
        <f>'Special Corporate+ RI+TPS'!BO27</f>
        <v>0</v>
      </c>
      <c r="BP412" s="65">
        <f>'Special Corporate+ RI+TPS'!BP27</f>
        <v>0</v>
      </c>
      <c r="BQ412" s="65">
        <f>'Special Corporate+ RI+TPS'!BQ27</f>
        <v>0</v>
      </c>
      <c r="BR412" s="65">
        <f>'Special Corporate+ RI+TPS'!BR27</f>
        <v>0</v>
      </c>
      <c r="BS412" s="65">
        <f>'Special Corporate+ RI+TPS'!BS27</f>
        <v>0</v>
      </c>
      <c r="BT412" s="65">
        <f>'Special Corporate+ RI+TPS'!BT27</f>
        <v>0</v>
      </c>
      <c r="BU412" s="65">
        <f>'Special Corporate+ RI+TPS'!BU27</f>
        <v>0</v>
      </c>
      <c r="BV412" s="65">
        <f>'Special Corporate+ RI+TPS'!BV27</f>
        <v>0</v>
      </c>
      <c r="BW412" s="65">
        <f>'Special Corporate+ RI+TPS'!BW27</f>
        <v>0</v>
      </c>
      <c r="BX412" s="65">
        <f>'Special Corporate+ RI+TPS'!BX27</f>
        <v>0</v>
      </c>
      <c r="BY412" s="65">
        <f>'Special Corporate+ RI+TPS'!BY27</f>
        <v>0</v>
      </c>
      <c r="BZ412" s="65">
        <f>'Special Corporate+ RI+TPS'!BZ27</f>
        <v>0</v>
      </c>
      <c r="CA412" s="65">
        <f>'Special Corporate+ RI+TPS'!CA27</f>
        <v>0</v>
      </c>
      <c r="CB412" s="65">
        <f>'Special Corporate+ RI+TPS'!CB27</f>
        <v>0</v>
      </c>
      <c r="CC412" s="65">
        <f>'Special Corporate+ RI+TPS'!CC27</f>
        <v>0</v>
      </c>
      <c r="CD412" s="65">
        <f>'Special Corporate+ RI+TPS'!CD27</f>
        <v>0</v>
      </c>
      <c r="CE412" s="65">
        <f>'Special Corporate+ RI+TPS'!CE27</f>
        <v>0</v>
      </c>
      <c r="CF412" s="65">
        <f>'Special Corporate+ RI+TPS'!CF27</f>
        <v>0</v>
      </c>
      <c r="CG412" s="65">
        <f>'Special Corporate+ RI+TPS'!CG27</f>
        <v>0</v>
      </c>
      <c r="CH412" s="65">
        <f>'Special Corporate+ RI+TPS'!CH27</f>
        <v>0</v>
      </c>
      <c r="CI412" s="65">
        <f>'Special Corporate+ RI+TPS'!CI27</f>
        <v>0</v>
      </c>
      <c r="CJ412" s="65">
        <f>'Special Corporate+ RI+TPS'!CJ27</f>
        <v>0</v>
      </c>
      <c r="CK412" s="65">
        <f>'Special Corporate+ RI+TPS'!CK27</f>
        <v>0</v>
      </c>
      <c r="CL412" s="65">
        <f>'Special Corporate+ RI+TPS'!CL27</f>
        <v>0</v>
      </c>
      <c r="CM412" s="65">
        <f>'Special Corporate+ RI+TPS'!CM27</f>
        <v>0</v>
      </c>
      <c r="CN412" s="65">
        <f>'Special Corporate+ RI+TPS'!CN27</f>
        <v>0</v>
      </c>
      <c r="CO412" s="65">
        <f>'Special Corporate+ RI+TPS'!CO27</f>
        <v>0</v>
      </c>
      <c r="CP412" s="65">
        <f>'Special Corporate+ RI+TPS'!CP27</f>
        <v>0</v>
      </c>
      <c r="CQ412" s="65">
        <f>'Special Corporate+ RI+TPS'!CQ27</f>
        <v>0</v>
      </c>
      <c r="CR412" s="65">
        <f>'Special Corporate+ RI+TPS'!CR27</f>
        <v>0</v>
      </c>
      <c r="CS412" s="65">
        <f>'Special Corporate+ RI+TPS'!CS27</f>
        <v>0</v>
      </c>
      <c r="CT412" s="65">
        <f>'Special Corporate+ RI+TPS'!CT27</f>
        <v>0</v>
      </c>
      <c r="CU412" s="65">
        <f>'Special Corporate+ RI+TPS'!CU27</f>
        <v>0</v>
      </c>
      <c r="CV412" s="65">
        <f>'Special Corporate+ RI+TPS'!CV27</f>
        <v>0</v>
      </c>
      <c r="CW412" s="65">
        <f>'Special Corporate+ RI+TPS'!CW27</f>
        <v>0</v>
      </c>
      <c r="CX412" s="65">
        <f>'Special Corporate+ RI+TPS'!CX27</f>
        <v>0</v>
      </c>
      <c r="CY412" s="65">
        <f>'Special Corporate+ RI+TPS'!CY27</f>
        <v>0</v>
      </c>
      <c r="CZ412" s="65">
        <f>'Special Corporate+ RI+TPS'!CZ27</f>
        <v>0</v>
      </c>
      <c r="DA412" s="65">
        <f>'Special Corporate+ RI+TPS'!DA27</f>
        <v>0</v>
      </c>
      <c r="DB412" s="65">
        <f>'Special Corporate+ RI+TPS'!DB27</f>
        <v>0</v>
      </c>
      <c r="DC412" s="65">
        <f>'Special Corporate+ RI+TPS'!DC27</f>
        <v>0</v>
      </c>
      <c r="DD412" s="65">
        <f>'Special Corporate+ RI+TPS'!DD27</f>
        <v>0</v>
      </c>
      <c r="DE412" s="65">
        <f>'Special Corporate+ RI+TPS'!DE27</f>
        <v>0</v>
      </c>
      <c r="DF412" s="65">
        <f>'Special Corporate+ RI+TPS'!DF27</f>
        <v>0</v>
      </c>
      <c r="DG412" s="65">
        <f>'Special Corporate+ RI+TPS'!DG27</f>
        <v>0</v>
      </c>
      <c r="DH412" s="65">
        <f>'Special Corporate+ RI+TPS'!DH27</f>
        <v>0</v>
      </c>
      <c r="DI412" s="65">
        <f>'Special Corporate+ RI+TPS'!DI27</f>
        <v>0</v>
      </c>
      <c r="DJ412" s="65">
        <f>'Special Corporate+ RI+TPS'!DJ27</f>
        <v>0</v>
      </c>
      <c r="DK412" s="65">
        <f>'Special Corporate+ RI+TPS'!DK27</f>
        <v>0</v>
      </c>
      <c r="DL412" s="65">
        <f>'Special Corporate+ RI+TPS'!DL27</f>
        <v>0</v>
      </c>
      <c r="DM412" s="65">
        <f>'Special Corporate+ RI+TPS'!DM27</f>
        <v>0</v>
      </c>
      <c r="DN412" s="65">
        <f>'Special Corporate+ RI+TPS'!DN27</f>
        <v>0</v>
      </c>
      <c r="DO412" s="65">
        <f>'Special Corporate+ RI+TPS'!DO27</f>
        <v>0</v>
      </c>
      <c r="DP412" s="65">
        <f>'Special Corporate+ RI+TPS'!DP27</f>
        <v>0</v>
      </c>
      <c r="DQ412" s="65">
        <f>'Special Corporate+ RI+TPS'!DQ27</f>
        <v>0</v>
      </c>
      <c r="DR412" s="65">
        <f>'Special Corporate+ RI+TPS'!DR27</f>
        <v>0</v>
      </c>
      <c r="DS412" s="65">
        <f>'Special Corporate+ RI+TPS'!DS27</f>
        <v>0</v>
      </c>
      <c r="DT412" s="65">
        <f>'Special Corporate+ RI+TPS'!DT27</f>
        <v>0</v>
      </c>
      <c r="DU412" s="65">
        <f>'Special Corporate+ RI+TPS'!DU27</f>
        <v>0</v>
      </c>
      <c r="DV412" s="65">
        <f>'Special Corporate+ RI+TPS'!DV27</f>
        <v>0</v>
      </c>
      <c r="DW412" s="65">
        <f>'Special Corporate+ RI+TPS'!DW27</f>
        <v>0</v>
      </c>
      <c r="DX412" s="65">
        <f>'Special Corporate+ RI+TPS'!DX27</f>
        <v>0</v>
      </c>
      <c r="DY412" s="65">
        <f>'Special Corporate+ RI+TPS'!DY27</f>
        <v>0</v>
      </c>
      <c r="DZ412" s="65">
        <f>'Special Corporate+ RI+TPS'!DZ27</f>
        <v>0</v>
      </c>
      <c r="EA412" s="65">
        <f>'Special Corporate+ RI+TPS'!EA27</f>
        <v>0</v>
      </c>
      <c r="EB412" s="68"/>
    </row>
    <row r="413" spans="1:132" x14ac:dyDescent="0.2">
      <c r="A413" s="152"/>
      <c r="B413" s="65">
        <f>'Special Corporate+ RI+TPS'!B28</f>
        <v>0</v>
      </c>
      <c r="C413" s="65">
        <f>'Special Corporate+ RI+TPS'!C28</f>
        <v>0</v>
      </c>
      <c r="D413" s="65">
        <f>'Special Corporate+ RI+TPS'!D28</f>
        <v>0</v>
      </c>
      <c r="E413" s="65">
        <f>'Special Corporate+ RI+TPS'!E28</f>
        <v>0</v>
      </c>
      <c r="F413" s="65">
        <f>'Special Corporate+ RI+TPS'!F28</f>
        <v>0</v>
      </c>
      <c r="G413" s="65">
        <f>'Special Corporate+ RI+TPS'!G28</f>
        <v>0</v>
      </c>
      <c r="H413" s="65">
        <f>'Special Corporate+ RI+TPS'!H28</f>
        <v>0</v>
      </c>
      <c r="I413" s="65">
        <f>'Special Corporate+ RI+TPS'!I28</f>
        <v>0</v>
      </c>
      <c r="J413" s="65">
        <f>'Special Corporate+ RI+TPS'!J28</f>
        <v>0</v>
      </c>
      <c r="K413" s="65">
        <f>'Special Corporate+ RI+TPS'!K28</f>
        <v>0</v>
      </c>
      <c r="L413" s="65">
        <f>'Special Corporate+ RI+TPS'!L28</f>
        <v>0</v>
      </c>
      <c r="M413" s="65">
        <f>'Special Corporate+ RI+TPS'!M28</f>
        <v>0</v>
      </c>
      <c r="N413" s="65">
        <f>'Special Corporate+ RI+TPS'!N28</f>
        <v>0</v>
      </c>
      <c r="O413" s="65">
        <f>'Special Corporate+ RI+TPS'!O28</f>
        <v>0</v>
      </c>
      <c r="P413" s="65">
        <f>'Special Corporate+ RI+TPS'!P28</f>
        <v>0</v>
      </c>
      <c r="Q413" s="65">
        <f>'Special Corporate+ RI+TPS'!Q28</f>
        <v>0</v>
      </c>
      <c r="R413" s="65">
        <f>'Special Corporate+ RI+TPS'!R28</f>
        <v>0</v>
      </c>
      <c r="S413" s="65">
        <f>'Special Corporate+ RI+TPS'!S28</f>
        <v>0</v>
      </c>
      <c r="T413" s="65">
        <f>'Special Corporate+ RI+TPS'!T28</f>
        <v>0</v>
      </c>
      <c r="U413" s="65">
        <f>'Special Corporate+ RI+TPS'!U28</f>
        <v>0</v>
      </c>
      <c r="V413" s="65">
        <f>'Special Corporate+ RI+TPS'!V28</f>
        <v>0</v>
      </c>
      <c r="W413" s="65">
        <f>'Special Corporate+ RI+TPS'!W28</f>
        <v>0</v>
      </c>
      <c r="X413" s="65">
        <f>'Special Corporate+ RI+TPS'!X28</f>
        <v>0</v>
      </c>
      <c r="Y413" s="65">
        <f>'Special Corporate+ RI+TPS'!Y28</f>
        <v>0</v>
      </c>
      <c r="Z413" s="65">
        <f>'Special Corporate+ RI+TPS'!Z28</f>
        <v>0</v>
      </c>
      <c r="AA413" s="65">
        <f>'Special Corporate+ RI+TPS'!AA28</f>
        <v>0</v>
      </c>
      <c r="AB413" s="65">
        <f>'Special Corporate+ RI+TPS'!AB28</f>
        <v>0</v>
      </c>
      <c r="AC413" s="65">
        <f>'Special Corporate+ RI+TPS'!AC28</f>
        <v>0</v>
      </c>
      <c r="AD413" s="65">
        <f>'Special Corporate+ RI+TPS'!AD28</f>
        <v>0</v>
      </c>
      <c r="AE413" s="65">
        <f>'Special Corporate+ RI+TPS'!AE28</f>
        <v>0</v>
      </c>
      <c r="AF413" s="65">
        <f>'Special Corporate+ RI+TPS'!AF28</f>
        <v>0</v>
      </c>
      <c r="AG413" s="65">
        <f>'Special Corporate+ RI+TPS'!AG28</f>
        <v>0</v>
      </c>
      <c r="AH413" s="65">
        <f>'Special Corporate+ RI+TPS'!AH28</f>
        <v>0</v>
      </c>
      <c r="AI413" s="65">
        <f>'Special Corporate+ RI+TPS'!AI28</f>
        <v>0</v>
      </c>
      <c r="AJ413" s="65">
        <f>'Special Corporate+ RI+TPS'!AJ28</f>
        <v>0</v>
      </c>
      <c r="AK413" s="65">
        <f>'Special Corporate+ RI+TPS'!AK28</f>
        <v>0</v>
      </c>
      <c r="AL413" s="65">
        <f>'Special Corporate+ RI+TPS'!AL28</f>
        <v>0</v>
      </c>
      <c r="AM413" s="65">
        <f>'Special Corporate+ RI+TPS'!AM28</f>
        <v>0</v>
      </c>
      <c r="AN413" s="65">
        <f>'Special Corporate+ RI+TPS'!AN28</f>
        <v>0</v>
      </c>
      <c r="AO413" s="65">
        <f>'Special Corporate+ RI+TPS'!AO28</f>
        <v>0</v>
      </c>
      <c r="AP413" s="65">
        <f>'Special Corporate+ RI+TPS'!AP28</f>
        <v>0</v>
      </c>
      <c r="AQ413" s="65">
        <f>'Special Corporate+ RI+TPS'!AQ28</f>
        <v>0</v>
      </c>
      <c r="AR413" s="65">
        <f>'Special Corporate+ RI+TPS'!AR28</f>
        <v>0</v>
      </c>
      <c r="AS413" s="65">
        <f>'Special Corporate+ RI+TPS'!AS28</f>
        <v>0</v>
      </c>
      <c r="AT413" s="65">
        <f>'Special Corporate+ RI+TPS'!AT28</f>
        <v>0</v>
      </c>
      <c r="AU413" s="65">
        <f>'Special Corporate+ RI+TPS'!AU28</f>
        <v>0</v>
      </c>
      <c r="AV413" s="65">
        <f>'Special Corporate+ RI+TPS'!AV28</f>
        <v>0</v>
      </c>
      <c r="AW413" s="65">
        <f>'Special Corporate+ RI+TPS'!AW28</f>
        <v>0</v>
      </c>
      <c r="AX413" s="65">
        <f>'Special Corporate+ RI+TPS'!AX28</f>
        <v>0</v>
      </c>
      <c r="AY413" s="65">
        <f>'Special Corporate+ RI+TPS'!AY28</f>
        <v>0</v>
      </c>
      <c r="AZ413" s="65">
        <f>'Special Corporate+ RI+TPS'!AZ28</f>
        <v>0</v>
      </c>
      <c r="BA413" s="65">
        <f>'Special Corporate+ RI+TPS'!BA28</f>
        <v>0</v>
      </c>
      <c r="BB413" s="65">
        <f>'Special Corporate+ RI+TPS'!BB28</f>
        <v>0</v>
      </c>
      <c r="BC413" s="65">
        <f>'Special Corporate+ RI+TPS'!BC28</f>
        <v>0</v>
      </c>
      <c r="BD413" s="65">
        <f>'Special Corporate+ RI+TPS'!BD28</f>
        <v>0</v>
      </c>
      <c r="BE413" s="65">
        <f>'Special Corporate+ RI+TPS'!BE28</f>
        <v>0</v>
      </c>
      <c r="BF413" s="65">
        <f>'Special Corporate+ RI+TPS'!BF28</f>
        <v>0</v>
      </c>
      <c r="BG413" s="65">
        <f>'Special Corporate+ RI+TPS'!BG28</f>
        <v>0</v>
      </c>
      <c r="BH413" s="65">
        <f>'Special Corporate+ RI+TPS'!BH28</f>
        <v>0</v>
      </c>
      <c r="BI413" s="65">
        <f>'Special Corporate+ RI+TPS'!BI28</f>
        <v>0</v>
      </c>
      <c r="BJ413" s="65">
        <f>'Special Corporate+ RI+TPS'!BJ28</f>
        <v>0</v>
      </c>
      <c r="BK413" s="65">
        <f>'Special Corporate+ RI+TPS'!BK28</f>
        <v>0</v>
      </c>
      <c r="BL413" s="65">
        <f>'Special Corporate+ RI+TPS'!BL28</f>
        <v>0</v>
      </c>
      <c r="BM413" s="65">
        <f>'Special Corporate+ RI+TPS'!BM28</f>
        <v>0</v>
      </c>
      <c r="BN413" s="65">
        <f>'Special Corporate+ RI+TPS'!BN28</f>
        <v>0</v>
      </c>
      <c r="BO413" s="65">
        <f>'Special Corporate+ RI+TPS'!BO28</f>
        <v>0</v>
      </c>
      <c r="BP413" s="65">
        <f>'Special Corporate+ RI+TPS'!BP28</f>
        <v>0</v>
      </c>
      <c r="BQ413" s="65">
        <f>'Special Corporate+ RI+TPS'!BQ28</f>
        <v>0</v>
      </c>
      <c r="BR413" s="65">
        <f>'Special Corporate+ RI+TPS'!BR28</f>
        <v>0</v>
      </c>
      <c r="BS413" s="65">
        <f>'Special Corporate+ RI+TPS'!BS28</f>
        <v>0</v>
      </c>
      <c r="BT413" s="65">
        <f>'Special Corporate+ RI+TPS'!BT28</f>
        <v>0</v>
      </c>
      <c r="BU413" s="65">
        <f>'Special Corporate+ RI+TPS'!BU28</f>
        <v>0</v>
      </c>
      <c r="BV413" s="65">
        <f>'Special Corporate+ RI+TPS'!BV28</f>
        <v>0</v>
      </c>
      <c r="BW413" s="65">
        <f>'Special Corporate+ RI+TPS'!BW28</f>
        <v>0</v>
      </c>
      <c r="BX413" s="65">
        <f>'Special Corporate+ RI+TPS'!BX28</f>
        <v>0</v>
      </c>
      <c r="BY413" s="65">
        <f>'Special Corporate+ RI+TPS'!BY28</f>
        <v>0</v>
      </c>
      <c r="BZ413" s="65">
        <f>'Special Corporate+ RI+TPS'!BZ28</f>
        <v>0</v>
      </c>
      <c r="CA413" s="65">
        <f>'Special Corporate+ RI+TPS'!CA28</f>
        <v>0</v>
      </c>
      <c r="CB413" s="65">
        <f>'Special Corporate+ RI+TPS'!CB28</f>
        <v>0</v>
      </c>
      <c r="CC413" s="65">
        <f>'Special Corporate+ RI+TPS'!CC28</f>
        <v>0</v>
      </c>
      <c r="CD413" s="65">
        <f>'Special Corporate+ RI+TPS'!CD28</f>
        <v>0</v>
      </c>
      <c r="CE413" s="65">
        <f>'Special Corporate+ RI+TPS'!CE28</f>
        <v>0</v>
      </c>
      <c r="CF413" s="65">
        <f>'Special Corporate+ RI+TPS'!CF28</f>
        <v>0</v>
      </c>
      <c r="CG413" s="65">
        <f>'Special Corporate+ RI+TPS'!CG28</f>
        <v>0</v>
      </c>
      <c r="CH413" s="65">
        <f>'Special Corporate+ RI+TPS'!CH28</f>
        <v>0</v>
      </c>
      <c r="CI413" s="65">
        <f>'Special Corporate+ RI+TPS'!CI28</f>
        <v>0</v>
      </c>
      <c r="CJ413" s="65">
        <f>'Special Corporate+ RI+TPS'!CJ28</f>
        <v>0</v>
      </c>
      <c r="CK413" s="65">
        <f>'Special Corporate+ RI+TPS'!CK28</f>
        <v>0</v>
      </c>
      <c r="CL413" s="65">
        <f>'Special Corporate+ RI+TPS'!CL28</f>
        <v>0</v>
      </c>
      <c r="CM413" s="65">
        <f>'Special Corporate+ RI+TPS'!CM28</f>
        <v>0</v>
      </c>
      <c r="CN413" s="65">
        <f>'Special Corporate+ RI+TPS'!CN28</f>
        <v>0</v>
      </c>
      <c r="CO413" s="65">
        <f>'Special Corporate+ RI+TPS'!CO28</f>
        <v>0</v>
      </c>
      <c r="CP413" s="65">
        <f>'Special Corporate+ RI+TPS'!CP28</f>
        <v>0</v>
      </c>
      <c r="CQ413" s="65">
        <f>'Special Corporate+ RI+TPS'!CQ28</f>
        <v>0</v>
      </c>
      <c r="CR413" s="65">
        <f>'Special Corporate+ RI+TPS'!CR28</f>
        <v>0</v>
      </c>
      <c r="CS413" s="65">
        <f>'Special Corporate+ RI+TPS'!CS28</f>
        <v>0</v>
      </c>
      <c r="CT413" s="65">
        <f>'Special Corporate+ RI+TPS'!CT28</f>
        <v>0</v>
      </c>
      <c r="CU413" s="65">
        <f>'Special Corporate+ RI+TPS'!CU28</f>
        <v>0</v>
      </c>
      <c r="CV413" s="65">
        <f>'Special Corporate+ RI+TPS'!CV28</f>
        <v>0</v>
      </c>
      <c r="CW413" s="65">
        <f>'Special Corporate+ RI+TPS'!CW28</f>
        <v>0</v>
      </c>
      <c r="CX413" s="65">
        <f>'Special Corporate+ RI+TPS'!CX28</f>
        <v>0</v>
      </c>
      <c r="CY413" s="65">
        <f>'Special Corporate+ RI+TPS'!CY28</f>
        <v>0</v>
      </c>
      <c r="CZ413" s="65">
        <f>'Special Corporate+ RI+TPS'!CZ28</f>
        <v>0</v>
      </c>
      <c r="DA413" s="65">
        <f>'Special Corporate+ RI+TPS'!DA28</f>
        <v>0</v>
      </c>
      <c r="DB413" s="65">
        <f>'Special Corporate+ RI+TPS'!DB28</f>
        <v>0</v>
      </c>
      <c r="DC413" s="65">
        <f>'Special Corporate+ RI+TPS'!DC28</f>
        <v>0</v>
      </c>
      <c r="DD413" s="65">
        <f>'Special Corporate+ RI+TPS'!DD28</f>
        <v>0</v>
      </c>
      <c r="DE413" s="65">
        <f>'Special Corporate+ RI+TPS'!DE28</f>
        <v>0</v>
      </c>
      <c r="DF413" s="65">
        <f>'Special Corporate+ RI+TPS'!DF28</f>
        <v>0</v>
      </c>
      <c r="DG413" s="65">
        <f>'Special Corporate+ RI+TPS'!DG28</f>
        <v>0</v>
      </c>
      <c r="DH413" s="65">
        <f>'Special Corporate+ RI+TPS'!DH28</f>
        <v>0</v>
      </c>
      <c r="DI413" s="65">
        <f>'Special Corporate+ RI+TPS'!DI28</f>
        <v>0</v>
      </c>
      <c r="DJ413" s="65">
        <f>'Special Corporate+ RI+TPS'!DJ28</f>
        <v>0</v>
      </c>
      <c r="DK413" s="65">
        <f>'Special Corporate+ RI+TPS'!DK28</f>
        <v>0</v>
      </c>
      <c r="DL413" s="65">
        <f>'Special Corporate+ RI+TPS'!DL28</f>
        <v>0</v>
      </c>
      <c r="DM413" s="65">
        <f>'Special Corporate+ RI+TPS'!DM28</f>
        <v>0</v>
      </c>
      <c r="DN413" s="65">
        <f>'Special Corporate+ RI+TPS'!DN28</f>
        <v>0</v>
      </c>
      <c r="DO413" s="65">
        <f>'Special Corporate+ RI+TPS'!DO28</f>
        <v>0</v>
      </c>
      <c r="DP413" s="65">
        <f>'Special Corporate+ RI+TPS'!DP28</f>
        <v>0</v>
      </c>
      <c r="DQ413" s="65">
        <f>'Special Corporate+ RI+TPS'!DQ28</f>
        <v>0</v>
      </c>
      <c r="DR413" s="65">
        <f>'Special Corporate+ RI+TPS'!DR28</f>
        <v>0</v>
      </c>
      <c r="DS413" s="65">
        <f>'Special Corporate+ RI+TPS'!DS28</f>
        <v>0</v>
      </c>
      <c r="DT413" s="65">
        <f>'Special Corporate+ RI+TPS'!DT28</f>
        <v>0</v>
      </c>
      <c r="DU413" s="65">
        <f>'Special Corporate+ RI+TPS'!DU28</f>
        <v>0</v>
      </c>
      <c r="DV413" s="65">
        <f>'Special Corporate+ RI+TPS'!DV28</f>
        <v>0</v>
      </c>
      <c r="DW413" s="65">
        <f>'Special Corporate+ RI+TPS'!DW28</f>
        <v>0</v>
      </c>
      <c r="DX413" s="65">
        <f>'Special Corporate+ RI+TPS'!DX28</f>
        <v>0</v>
      </c>
      <c r="DY413" s="65">
        <f>'Special Corporate+ RI+TPS'!DY28</f>
        <v>0</v>
      </c>
      <c r="DZ413" s="65">
        <f>'Special Corporate+ RI+TPS'!DZ28</f>
        <v>0</v>
      </c>
      <c r="EA413" s="65">
        <f>'Special Corporate+ RI+TPS'!EA28</f>
        <v>0</v>
      </c>
      <c r="EB413" s="68"/>
    </row>
    <row r="414" spans="1:132" x14ac:dyDescent="0.2">
      <c r="A414" s="152"/>
      <c r="B414" s="65" t="str">
        <f>'Special Corporate+ RI+TPS'!B29</f>
        <v>GDS Requests / Additional Comments</v>
      </c>
      <c r="C414" s="65">
        <f>'Special Corporate+ RI+TPS'!C29</f>
        <v>0</v>
      </c>
      <c r="D414" s="65">
        <f>'Special Corporate+ RI+TPS'!D29</f>
        <v>0</v>
      </c>
      <c r="E414" s="65">
        <f>'Special Corporate+ RI+TPS'!E29</f>
        <v>0</v>
      </c>
      <c r="F414" s="65">
        <f>'Special Corporate+ RI+TPS'!F29</f>
        <v>0</v>
      </c>
      <c r="G414" s="65">
        <f>'Special Corporate+ RI+TPS'!G29</f>
        <v>0</v>
      </c>
      <c r="H414" s="65">
        <f>'Special Corporate+ RI+TPS'!H29</f>
        <v>0</v>
      </c>
      <c r="I414" s="65">
        <f>'Special Corporate+ RI+TPS'!I29</f>
        <v>0</v>
      </c>
      <c r="J414" s="65">
        <f>'Special Corporate+ RI+TPS'!J29</f>
        <v>0</v>
      </c>
      <c r="K414" s="65">
        <f>'Special Corporate+ RI+TPS'!K29</f>
        <v>0</v>
      </c>
      <c r="L414" s="65">
        <f>'Special Corporate+ RI+TPS'!L29</f>
        <v>0</v>
      </c>
      <c r="M414" s="65">
        <f>'Special Corporate+ RI+TPS'!M29</f>
        <v>0</v>
      </c>
      <c r="N414" s="65">
        <f>'Special Corporate+ RI+TPS'!N29</f>
        <v>0</v>
      </c>
      <c r="O414" s="65">
        <f>'Special Corporate+ RI+TPS'!O29</f>
        <v>0</v>
      </c>
      <c r="P414" s="65">
        <f>'Special Corporate+ RI+TPS'!P29</f>
        <v>0</v>
      </c>
      <c r="Q414" s="65">
        <f>'Special Corporate+ RI+TPS'!Q29</f>
        <v>0</v>
      </c>
      <c r="R414" s="65">
        <f>'Special Corporate+ RI+TPS'!R29</f>
        <v>0</v>
      </c>
      <c r="S414" s="65">
        <f>'Special Corporate+ RI+TPS'!S29</f>
        <v>0</v>
      </c>
      <c r="T414" s="65">
        <f>'Special Corporate+ RI+TPS'!T29</f>
        <v>0</v>
      </c>
      <c r="U414" s="65">
        <f>'Special Corporate+ RI+TPS'!U29</f>
        <v>0</v>
      </c>
      <c r="V414" s="65">
        <f>'Special Corporate+ RI+TPS'!V29</f>
        <v>0</v>
      </c>
      <c r="W414" s="65">
        <f>'Special Corporate+ RI+TPS'!W29</f>
        <v>0</v>
      </c>
      <c r="X414" s="65">
        <f>'Special Corporate+ RI+TPS'!X29</f>
        <v>0</v>
      </c>
      <c r="Y414" s="65">
        <f>'Special Corporate+ RI+TPS'!Y29</f>
        <v>0</v>
      </c>
      <c r="Z414" s="65">
        <f>'Special Corporate+ RI+TPS'!Z29</f>
        <v>0</v>
      </c>
      <c r="AA414" s="65">
        <f>'Special Corporate+ RI+TPS'!AA29</f>
        <v>0</v>
      </c>
      <c r="AB414" s="65">
        <f>'Special Corporate+ RI+TPS'!AB29</f>
        <v>0</v>
      </c>
      <c r="AC414" s="65">
        <f>'Special Corporate+ RI+TPS'!AC29</f>
        <v>0</v>
      </c>
      <c r="AD414" s="65">
        <f>'Special Corporate+ RI+TPS'!AD29</f>
        <v>0</v>
      </c>
      <c r="AE414" s="65">
        <f>'Special Corporate+ RI+TPS'!AE29</f>
        <v>0</v>
      </c>
      <c r="AF414" s="65">
        <f>'Special Corporate+ RI+TPS'!AF29</f>
        <v>0</v>
      </c>
      <c r="AG414" s="65">
        <f>'Special Corporate+ RI+TPS'!AG29</f>
        <v>0</v>
      </c>
      <c r="AH414" s="65">
        <f>'Special Corporate+ RI+TPS'!AH29</f>
        <v>0</v>
      </c>
      <c r="AI414" s="65">
        <f>'Special Corporate+ RI+TPS'!AI29</f>
        <v>0</v>
      </c>
      <c r="AJ414" s="65">
        <f>'Special Corporate+ RI+TPS'!AJ29</f>
        <v>0</v>
      </c>
      <c r="AK414" s="65">
        <f>'Special Corporate+ RI+TPS'!AK29</f>
        <v>0</v>
      </c>
      <c r="AL414" s="65">
        <f>'Special Corporate+ RI+TPS'!AL29</f>
        <v>0</v>
      </c>
      <c r="AM414" s="65">
        <f>'Special Corporate+ RI+TPS'!AM29</f>
        <v>0</v>
      </c>
      <c r="AN414" s="65">
        <f>'Special Corporate+ RI+TPS'!AN29</f>
        <v>0</v>
      </c>
      <c r="AO414" s="65">
        <f>'Special Corporate+ RI+TPS'!AO29</f>
        <v>0</v>
      </c>
      <c r="AP414" s="65">
        <f>'Special Corporate+ RI+TPS'!AP29</f>
        <v>0</v>
      </c>
      <c r="AQ414" s="65">
        <f>'Special Corporate+ RI+TPS'!AQ29</f>
        <v>0</v>
      </c>
      <c r="AR414" s="65">
        <f>'Special Corporate+ RI+TPS'!AR29</f>
        <v>0</v>
      </c>
      <c r="AS414" s="65">
        <f>'Special Corporate+ RI+TPS'!AS29</f>
        <v>0</v>
      </c>
      <c r="AT414" s="65">
        <f>'Special Corporate+ RI+TPS'!AT29</f>
        <v>0</v>
      </c>
      <c r="AU414" s="65">
        <f>'Special Corporate+ RI+TPS'!AU29</f>
        <v>0</v>
      </c>
      <c r="AV414" s="65">
        <f>'Special Corporate+ RI+TPS'!AV29</f>
        <v>0</v>
      </c>
      <c r="AW414" s="65">
        <f>'Special Corporate+ RI+TPS'!AW29</f>
        <v>0</v>
      </c>
      <c r="AX414" s="65">
        <f>'Special Corporate+ RI+TPS'!AX29</f>
        <v>0</v>
      </c>
      <c r="AY414" s="65">
        <f>'Special Corporate+ RI+TPS'!AY29</f>
        <v>0</v>
      </c>
      <c r="AZ414" s="65">
        <f>'Special Corporate+ RI+TPS'!AZ29</f>
        <v>0</v>
      </c>
      <c r="BA414" s="65">
        <f>'Special Corporate+ RI+TPS'!BA29</f>
        <v>0</v>
      </c>
      <c r="BB414" s="65">
        <f>'Special Corporate+ RI+TPS'!BB29</f>
        <v>0</v>
      </c>
      <c r="BC414" s="65">
        <f>'Special Corporate+ RI+TPS'!BC29</f>
        <v>0</v>
      </c>
      <c r="BD414" s="65">
        <f>'Special Corporate+ RI+TPS'!BD29</f>
        <v>0</v>
      </c>
      <c r="BE414" s="65">
        <f>'Special Corporate+ RI+TPS'!BE29</f>
        <v>0</v>
      </c>
      <c r="BF414" s="65">
        <f>'Special Corporate+ RI+TPS'!BF29</f>
        <v>0</v>
      </c>
      <c r="BG414" s="65">
        <f>'Special Corporate+ RI+TPS'!BG29</f>
        <v>0</v>
      </c>
      <c r="BH414" s="65">
        <f>'Special Corporate+ RI+TPS'!BH29</f>
        <v>0</v>
      </c>
      <c r="BI414" s="65">
        <f>'Special Corporate+ RI+TPS'!BI29</f>
        <v>0</v>
      </c>
      <c r="BJ414" s="65">
        <f>'Special Corporate+ RI+TPS'!BJ29</f>
        <v>0</v>
      </c>
      <c r="BK414" s="65">
        <f>'Special Corporate+ RI+TPS'!BK29</f>
        <v>0</v>
      </c>
      <c r="BL414" s="65">
        <f>'Special Corporate+ RI+TPS'!BL29</f>
        <v>0</v>
      </c>
      <c r="BM414" s="65">
        <f>'Special Corporate+ RI+TPS'!BM29</f>
        <v>0</v>
      </c>
      <c r="BN414" s="65">
        <f>'Special Corporate+ RI+TPS'!BN29</f>
        <v>0</v>
      </c>
      <c r="BO414" s="65">
        <f>'Special Corporate+ RI+TPS'!BO29</f>
        <v>0</v>
      </c>
      <c r="BP414" s="65">
        <f>'Special Corporate+ RI+TPS'!BP29</f>
        <v>0</v>
      </c>
      <c r="BQ414" s="65">
        <f>'Special Corporate+ RI+TPS'!BQ29</f>
        <v>0</v>
      </c>
      <c r="BR414" s="65">
        <f>'Special Corporate+ RI+TPS'!BR29</f>
        <v>0</v>
      </c>
      <c r="BS414" s="65">
        <f>'Special Corporate+ RI+TPS'!BS29</f>
        <v>0</v>
      </c>
      <c r="BT414" s="65">
        <f>'Special Corporate+ RI+TPS'!BT29</f>
        <v>0</v>
      </c>
      <c r="BU414" s="65">
        <f>'Special Corporate+ RI+TPS'!BU29</f>
        <v>0</v>
      </c>
      <c r="BV414" s="65">
        <f>'Special Corporate+ RI+TPS'!BV29</f>
        <v>0</v>
      </c>
      <c r="BW414" s="65">
        <f>'Special Corporate+ RI+TPS'!BW29</f>
        <v>0</v>
      </c>
      <c r="BX414" s="65">
        <f>'Special Corporate+ RI+TPS'!BX29</f>
        <v>0</v>
      </c>
      <c r="BY414" s="65">
        <f>'Special Corporate+ RI+TPS'!BY29</f>
        <v>0</v>
      </c>
      <c r="BZ414" s="65">
        <f>'Special Corporate+ RI+TPS'!BZ29</f>
        <v>0</v>
      </c>
      <c r="CA414" s="65">
        <f>'Special Corporate+ RI+TPS'!CA29</f>
        <v>0</v>
      </c>
      <c r="CB414" s="65">
        <f>'Special Corporate+ RI+TPS'!CB29</f>
        <v>0</v>
      </c>
      <c r="CC414" s="65">
        <f>'Special Corporate+ RI+TPS'!CC29</f>
        <v>0</v>
      </c>
      <c r="CD414" s="65">
        <f>'Special Corporate+ RI+TPS'!CD29</f>
        <v>0</v>
      </c>
      <c r="CE414" s="65">
        <f>'Special Corporate+ RI+TPS'!CE29</f>
        <v>0</v>
      </c>
      <c r="CF414" s="65">
        <f>'Special Corporate+ RI+TPS'!CF29</f>
        <v>0</v>
      </c>
      <c r="CG414" s="65">
        <f>'Special Corporate+ RI+TPS'!CG29</f>
        <v>0</v>
      </c>
      <c r="CH414" s="65">
        <f>'Special Corporate+ RI+TPS'!CH29</f>
        <v>0</v>
      </c>
      <c r="CI414" s="65">
        <f>'Special Corporate+ RI+TPS'!CI29</f>
        <v>0</v>
      </c>
      <c r="CJ414" s="65">
        <f>'Special Corporate+ RI+TPS'!CJ29</f>
        <v>0</v>
      </c>
      <c r="CK414" s="65">
        <f>'Special Corporate+ RI+TPS'!CK29</f>
        <v>0</v>
      </c>
      <c r="CL414" s="65">
        <f>'Special Corporate+ RI+TPS'!CL29</f>
        <v>0</v>
      </c>
      <c r="CM414" s="65">
        <f>'Special Corporate+ RI+TPS'!CM29</f>
        <v>0</v>
      </c>
      <c r="CN414" s="65">
        <f>'Special Corporate+ RI+TPS'!CN29</f>
        <v>0</v>
      </c>
      <c r="CO414" s="65">
        <f>'Special Corporate+ RI+TPS'!CO29</f>
        <v>0</v>
      </c>
      <c r="CP414" s="65">
        <f>'Special Corporate+ RI+TPS'!CP29</f>
        <v>0</v>
      </c>
      <c r="CQ414" s="65">
        <f>'Special Corporate+ RI+TPS'!CQ29</f>
        <v>0</v>
      </c>
      <c r="CR414" s="65">
        <f>'Special Corporate+ RI+TPS'!CR29</f>
        <v>0</v>
      </c>
      <c r="CS414" s="65">
        <f>'Special Corporate+ RI+TPS'!CS29</f>
        <v>0</v>
      </c>
      <c r="CT414" s="65">
        <f>'Special Corporate+ RI+TPS'!CT29</f>
        <v>0</v>
      </c>
      <c r="CU414" s="65">
        <f>'Special Corporate+ RI+TPS'!CU29</f>
        <v>0</v>
      </c>
      <c r="CV414" s="65">
        <f>'Special Corporate+ RI+TPS'!CV29</f>
        <v>0</v>
      </c>
      <c r="CW414" s="65">
        <f>'Special Corporate+ RI+TPS'!CW29</f>
        <v>0</v>
      </c>
      <c r="CX414" s="65">
        <f>'Special Corporate+ RI+TPS'!CX29</f>
        <v>0</v>
      </c>
      <c r="CY414" s="65">
        <f>'Special Corporate+ RI+TPS'!CY29</f>
        <v>0</v>
      </c>
      <c r="CZ414" s="65">
        <f>'Special Corporate+ RI+TPS'!CZ29</f>
        <v>0</v>
      </c>
      <c r="DA414" s="65">
        <f>'Special Corporate+ RI+TPS'!DA29</f>
        <v>0</v>
      </c>
      <c r="DB414" s="65">
        <f>'Special Corporate+ RI+TPS'!DB29</f>
        <v>0</v>
      </c>
      <c r="DC414" s="65">
        <f>'Special Corporate+ RI+TPS'!DC29</f>
        <v>0</v>
      </c>
      <c r="DD414" s="65">
        <f>'Special Corporate+ RI+TPS'!DD29</f>
        <v>0</v>
      </c>
      <c r="DE414" s="65">
        <f>'Special Corporate+ RI+TPS'!DE29</f>
        <v>0</v>
      </c>
      <c r="DF414" s="65">
        <f>'Special Corporate+ RI+TPS'!DF29</f>
        <v>0</v>
      </c>
      <c r="DG414" s="65">
        <f>'Special Corporate+ RI+TPS'!DG29</f>
        <v>0</v>
      </c>
      <c r="DH414" s="65">
        <f>'Special Corporate+ RI+TPS'!DH29</f>
        <v>0</v>
      </c>
      <c r="DI414" s="65">
        <f>'Special Corporate+ RI+TPS'!DI29</f>
        <v>0</v>
      </c>
      <c r="DJ414" s="65">
        <f>'Special Corporate+ RI+TPS'!DJ29</f>
        <v>0</v>
      </c>
      <c r="DK414" s="65">
        <f>'Special Corporate+ RI+TPS'!DK29</f>
        <v>0</v>
      </c>
      <c r="DL414" s="65">
        <f>'Special Corporate+ RI+TPS'!DL29</f>
        <v>0</v>
      </c>
      <c r="DM414" s="65">
        <f>'Special Corporate+ RI+TPS'!DM29</f>
        <v>0</v>
      </c>
      <c r="DN414" s="65">
        <f>'Special Corporate+ RI+TPS'!DN29</f>
        <v>0</v>
      </c>
      <c r="DO414" s="65">
        <f>'Special Corporate+ RI+TPS'!DO29</f>
        <v>0</v>
      </c>
      <c r="DP414" s="65">
        <f>'Special Corporate+ RI+TPS'!DP29</f>
        <v>0</v>
      </c>
      <c r="DQ414" s="65">
        <f>'Special Corporate+ RI+TPS'!DQ29</f>
        <v>0</v>
      </c>
      <c r="DR414" s="65">
        <f>'Special Corporate+ RI+TPS'!DR29</f>
        <v>0</v>
      </c>
      <c r="DS414" s="65">
        <f>'Special Corporate+ RI+TPS'!DS29</f>
        <v>0</v>
      </c>
      <c r="DT414" s="65">
        <f>'Special Corporate+ RI+TPS'!DT29</f>
        <v>0</v>
      </c>
      <c r="DU414" s="65">
        <f>'Special Corporate+ RI+TPS'!DU29</f>
        <v>0</v>
      </c>
      <c r="DV414" s="65">
        <f>'Special Corporate+ RI+TPS'!DV29</f>
        <v>0</v>
      </c>
      <c r="DW414" s="65">
        <f>'Special Corporate+ RI+TPS'!DW29</f>
        <v>0</v>
      </c>
      <c r="DX414" s="65">
        <f>'Special Corporate+ RI+TPS'!DX29</f>
        <v>0</v>
      </c>
      <c r="DY414" s="65">
        <f>'Special Corporate+ RI+TPS'!DY29</f>
        <v>0</v>
      </c>
      <c r="DZ414" s="65">
        <f>'Special Corporate+ RI+TPS'!DZ29</f>
        <v>0</v>
      </c>
      <c r="EA414" s="65">
        <f>'Special Corporate+ RI+TPS'!EA29</f>
        <v>0</v>
      </c>
      <c r="EB414" s="68"/>
    </row>
    <row r="415" spans="1:132" x14ac:dyDescent="0.2">
      <c r="A415" s="152"/>
      <c r="B415" s="65">
        <f>'Special Corporate+ RI+TPS'!B30</f>
        <v>0</v>
      </c>
      <c r="C415" s="65">
        <f>'Special Corporate+ RI+TPS'!C30</f>
        <v>0</v>
      </c>
      <c r="D415" s="65">
        <f>'Special Corporate+ RI+TPS'!D30</f>
        <v>0</v>
      </c>
      <c r="E415" s="65">
        <f>'Special Corporate+ RI+TPS'!E30</f>
        <v>0</v>
      </c>
      <c r="F415" s="65">
        <f>'Special Corporate+ RI+TPS'!F30</f>
        <v>0</v>
      </c>
      <c r="G415" s="65">
        <f>'Special Corporate+ RI+TPS'!G30</f>
        <v>0</v>
      </c>
      <c r="H415" s="65">
        <f>'Special Corporate+ RI+TPS'!H30</f>
        <v>0</v>
      </c>
      <c r="I415" s="65">
        <f>'Special Corporate+ RI+TPS'!I30</f>
        <v>0</v>
      </c>
      <c r="J415" s="65">
        <f>'Special Corporate+ RI+TPS'!J30</f>
        <v>0</v>
      </c>
      <c r="K415" s="65">
        <f>'Special Corporate+ RI+TPS'!K30</f>
        <v>0</v>
      </c>
      <c r="L415" s="65">
        <f>'Special Corporate+ RI+TPS'!L30</f>
        <v>0</v>
      </c>
      <c r="M415" s="65">
        <f>'Special Corporate+ RI+TPS'!M30</f>
        <v>0</v>
      </c>
      <c r="N415" s="65">
        <f>'Special Corporate+ RI+TPS'!N30</f>
        <v>0</v>
      </c>
      <c r="O415" s="65">
        <f>'Special Corporate+ RI+TPS'!O30</f>
        <v>0</v>
      </c>
      <c r="P415" s="65">
        <f>'Special Corporate+ RI+TPS'!P30</f>
        <v>0</v>
      </c>
      <c r="Q415" s="65">
        <f>'Special Corporate+ RI+TPS'!Q30</f>
        <v>0</v>
      </c>
      <c r="R415" s="65">
        <f>'Special Corporate+ RI+TPS'!R30</f>
        <v>0</v>
      </c>
      <c r="S415" s="65">
        <f>'Special Corporate+ RI+TPS'!S30</f>
        <v>0</v>
      </c>
      <c r="T415" s="65">
        <f>'Special Corporate+ RI+TPS'!T30</f>
        <v>0</v>
      </c>
      <c r="U415" s="65">
        <f>'Special Corporate+ RI+TPS'!U30</f>
        <v>0</v>
      </c>
      <c r="V415" s="65">
        <f>'Special Corporate+ RI+TPS'!V30</f>
        <v>0</v>
      </c>
      <c r="W415" s="65">
        <f>'Special Corporate+ RI+TPS'!W30</f>
        <v>0</v>
      </c>
      <c r="X415" s="65">
        <f>'Special Corporate+ RI+TPS'!X30</f>
        <v>0</v>
      </c>
      <c r="Y415" s="65">
        <f>'Special Corporate+ RI+TPS'!Y30</f>
        <v>0</v>
      </c>
      <c r="Z415" s="65">
        <f>'Special Corporate+ RI+TPS'!Z30</f>
        <v>0</v>
      </c>
      <c r="AA415" s="65">
        <f>'Special Corporate+ RI+TPS'!AA30</f>
        <v>0</v>
      </c>
      <c r="AB415" s="65">
        <f>'Special Corporate+ RI+TPS'!AB30</f>
        <v>0</v>
      </c>
      <c r="AC415" s="65">
        <f>'Special Corporate+ RI+TPS'!AC30</f>
        <v>0</v>
      </c>
      <c r="AD415" s="65">
        <f>'Special Corporate+ RI+TPS'!AD30</f>
        <v>0</v>
      </c>
      <c r="AE415" s="65">
        <f>'Special Corporate+ RI+TPS'!AE30</f>
        <v>0</v>
      </c>
      <c r="AF415" s="65">
        <f>'Special Corporate+ RI+TPS'!AF30</f>
        <v>0</v>
      </c>
      <c r="AG415" s="65">
        <f>'Special Corporate+ RI+TPS'!AG30</f>
        <v>0</v>
      </c>
      <c r="AH415" s="65">
        <f>'Special Corporate+ RI+TPS'!AH30</f>
        <v>0</v>
      </c>
      <c r="AI415" s="65">
        <f>'Special Corporate+ RI+TPS'!AI30</f>
        <v>0</v>
      </c>
      <c r="AJ415" s="65">
        <f>'Special Corporate+ RI+TPS'!AJ30</f>
        <v>0</v>
      </c>
      <c r="AK415" s="65">
        <f>'Special Corporate+ RI+TPS'!AK30</f>
        <v>0</v>
      </c>
      <c r="AL415" s="65">
        <f>'Special Corporate+ RI+TPS'!AL30</f>
        <v>0</v>
      </c>
      <c r="AM415" s="65">
        <f>'Special Corporate+ RI+TPS'!AM30</f>
        <v>0</v>
      </c>
      <c r="AN415" s="65">
        <f>'Special Corporate+ RI+TPS'!AN30</f>
        <v>0</v>
      </c>
      <c r="AO415" s="65">
        <f>'Special Corporate+ RI+TPS'!AO30</f>
        <v>0</v>
      </c>
      <c r="AP415" s="65">
        <f>'Special Corporate+ RI+TPS'!AP30</f>
        <v>0</v>
      </c>
      <c r="AQ415" s="65">
        <f>'Special Corporate+ RI+TPS'!AQ30</f>
        <v>0</v>
      </c>
      <c r="AR415" s="65">
        <f>'Special Corporate+ RI+TPS'!AR30</f>
        <v>0</v>
      </c>
      <c r="AS415" s="65">
        <f>'Special Corporate+ RI+TPS'!AS30</f>
        <v>0</v>
      </c>
      <c r="AT415" s="65">
        <f>'Special Corporate+ RI+TPS'!AT30</f>
        <v>0</v>
      </c>
      <c r="AU415" s="65">
        <f>'Special Corporate+ RI+TPS'!AU30</f>
        <v>0</v>
      </c>
      <c r="AV415" s="65">
        <f>'Special Corporate+ RI+TPS'!AV30</f>
        <v>0</v>
      </c>
      <c r="AW415" s="65">
        <f>'Special Corporate+ RI+TPS'!AW30</f>
        <v>0</v>
      </c>
      <c r="AX415" s="65">
        <f>'Special Corporate+ RI+TPS'!AX30</f>
        <v>0</v>
      </c>
      <c r="AY415" s="65">
        <f>'Special Corporate+ RI+TPS'!AY30</f>
        <v>0</v>
      </c>
      <c r="AZ415" s="65">
        <f>'Special Corporate+ RI+TPS'!AZ30</f>
        <v>0</v>
      </c>
      <c r="BA415" s="65">
        <f>'Special Corporate+ RI+TPS'!BA30</f>
        <v>0</v>
      </c>
      <c r="BB415" s="65">
        <f>'Special Corporate+ RI+TPS'!BB30</f>
        <v>0</v>
      </c>
      <c r="BC415" s="65">
        <f>'Special Corporate+ RI+TPS'!BC30</f>
        <v>0</v>
      </c>
      <c r="BD415" s="65">
        <f>'Special Corporate+ RI+TPS'!BD30</f>
        <v>0</v>
      </c>
      <c r="BE415" s="65">
        <f>'Special Corporate+ RI+TPS'!BE30</f>
        <v>0</v>
      </c>
      <c r="BF415" s="65">
        <f>'Special Corporate+ RI+TPS'!BF30</f>
        <v>0</v>
      </c>
      <c r="BG415" s="65">
        <f>'Special Corporate+ RI+TPS'!BG30</f>
        <v>0</v>
      </c>
      <c r="BH415" s="65">
        <f>'Special Corporate+ RI+TPS'!BH30</f>
        <v>0</v>
      </c>
      <c r="BI415" s="65">
        <f>'Special Corporate+ RI+TPS'!BI30</f>
        <v>0</v>
      </c>
      <c r="BJ415" s="65">
        <f>'Special Corporate+ RI+TPS'!BJ30</f>
        <v>0</v>
      </c>
      <c r="BK415" s="65">
        <f>'Special Corporate+ RI+TPS'!BK30</f>
        <v>0</v>
      </c>
      <c r="BL415" s="65">
        <f>'Special Corporate+ RI+TPS'!BL30</f>
        <v>0</v>
      </c>
      <c r="BM415" s="65">
        <f>'Special Corporate+ RI+TPS'!BM30</f>
        <v>0</v>
      </c>
      <c r="BN415" s="65">
        <f>'Special Corporate+ RI+TPS'!BN30</f>
        <v>0</v>
      </c>
      <c r="BO415" s="65">
        <f>'Special Corporate+ RI+TPS'!BO30</f>
        <v>0</v>
      </c>
      <c r="BP415" s="65">
        <f>'Special Corporate+ RI+TPS'!BP30</f>
        <v>0</v>
      </c>
      <c r="BQ415" s="65">
        <f>'Special Corporate+ RI+TPS'!BQ30</f>
        <v>0</v>
      </c>
      <c r="BR415" s="65">
        <f>'Special Corporate+ RI+TPS'!BR30</f>
        <v>0</v>
      </c>
      <c r="BS415" s="65">
        <f>'Special Corporate+ RI+TPS'!BS30</f>
        <v>0</v>
      </c>
      <c r="BT415" s="65">
        <f>'Special Corporate+ RI+TPS'!BT30</f>
        <v>0</v>
      </c>
      <c r="BU415" s="65">
        <f>'Special Corporate+ RI+TPS'!BU30</f>
        <v>0</v>
      </c>
      <c r="BV415" s="65">
        <f>'Special Corporate+ RI+TPS'!BV30</f>
        <v>0</v>
      </c>
      <c r="BW415" s="65">
        <f>'Special Corporate+ RI+TPS'!BW30</f>
        <v>0</v>
      </c>
      <c r="BX415" s="65">
        <f>'Special Corporate+ RI+TPS'!BX30</f>
        <v>0</v>
      </c>
      <c r="BY415" s="65">
        <f>'Special Corporate+ RI+TPS'!BY30</f>
        <v>0</v>
      </c>
      <c r="BZ415" s="65">
        <f>'Special Corporate+ RI+TPS'!BZ30</f>
        <v>0</v>
      </c>
      <c r="CA415" s="65">
        <f>'Special Corporate+ RI+TPS'!CA30</f>
        <v>0</v>
      </c>
      <c r="CB415" s="65">
        <f>'Special Corporate+ RI+TPS'!CB30</f>
        <v>0</v>
      </c>
      <c r="CC415" s="65">
        <f>'Special Corporate+ RI+TPS'!CC30</f>
        <v>0</v>
      </c>
      <c r="CD415" s="65">
        <f>'Special Corporate+ RI+TPS'!CD30</f>
        <v>0</v>
      </c>
      <c r="CE415" s="65">
        <f>'Special Corporate+ RI+TPS'!CE30</f>
        <v>0</v>
      </c>
      <c r="CF415" s="65">
        <f>'Special Corporate+ RI+TPS'!CF30</f>
        <v>0</v>
      </c>
      <c r="CG415" s="65">
        <f>'Special Corporate+ RI+TPS'!CG30</f>
        <v>0</v>
      </c>
      <c r="CH415" s="65">
        <f>'Special Corporate+ RI+TPS'!CH30</f>
        <v>0</v>
      </c>
      <c r="CI415" s="65">
        <f>'Special Corporate+ RI+TPS'!CI30</f>
        <v>0</v>
      </c>
      <c r="CJ415" s="65">
        <f>'Special Corporate+ RI+TPS'!CJ30</f>
        <v>0</v>
      </c>
      <c r="CK415" s="65">
        <f>'Special Corporate+ RI+TPS'!CK30</f>
        <v>0</v>
      </c>
      <c r="CL415" s="65">
        <f>'Special Corporate+ RI+TPS'!CL30</f>
        <v>0</v>
      </c>
      <c r="CM415" s="65">
        <f>'Special Corporate+ RI+TPS'!CM30</f>
        <v>0</v>
      </c>
      <c r="CN415" s="65">
        <f>'Special Corporate+ RI+TPS'!CN30</f>
        <v>0</v>
      </c>
      <c r="CO415" s="65">
        <f>'Special Corporate+ RI+TPS'!CO30</f>
        <v>0</v>
      </c>
      <c r="CP415" s="65">
        <f>'Special Corporate+ RI+TPS'!CP30</f>
        <v>0</v>
      </c>
      <c r="CQ415" s="65">
        <f>'Special Corporate+ RI+TPS'!CQ30</f>
        <v>0</v>
      </c>
      <c r="CR415" s="65">
        <f>'Special Corporate+ RI+TPS'!CR30</f>
        <v>0</v>
      </c>
      <c r="CS415" s="65">
        <f>'Special Corporate+ RI+TPS'!CS30</f>
        <v>0</v>
      </c>
      <c r="CT415" s="65">
        <f>'Special Corporate+ RI+TPS'!CT30</f>
        <v>0</v>
      </c>
      <c r="CU415" s="65">
        <f>'Special Corporate+ RI+TPS'!CU30</f>
        <v>0</v>
      </c>
      <c r="CV415" s="65">
        <f>'Special Corporate+ RI+TPS'!CV30</f>
        <v>0</v>
      </c>
      <c r="CW415" s="65">
        <f>'Special Corporate+ RI+TPS'!CW30</f>
        <v>0</v>
      </c>
      <c r="CX415" s="65">
        <f>'Special Corporate+ RI+TPS'!CX30</f>
        <v>0</v>
      </c>
      <c r="CY415" s="65">
        <f>'Special Corporate+ RI+TPS'!CY30</f>
        <v>0</v>
      </c>
      <c r="CZ415" s="65">
        <f>'Special Corporate+ RI+TPS'!CZ30</f>
        <v>0</v>
      </c>
      <c r="DA415" s="65">
        <f>'Special Corporate+ RI+TPS'!DA30</f>
        <v>0</v>
      </c>
      <c r="DB415" s="65">
        <f>'Special Corporate+ RI+TPS'!DB30</f>
        <v>0</v>
      </c>
      <c r="DC415" s="65">
        <f>'Special Corporate+ RI+TPS'!DC30</f>
        <v>0</v>
      </c>
      <c r="DD415" s="65">
        <f>'Special Corporate+ RI+TPS'!DD30</f>
        <v>0</v>
      </c>
      <c r="DE415" s="65">
        <f>'Special Corporate+ RI+TPS'!DE30</f>
        <v>0</v>
      </c>
      <c r="DF415" s="65">
        <f>'Special Corporate+ RI+TPS'!DF30</f>
        <v>0</v>
      </c>
      <c r="DG415" s="65">
        <f>'Special Corporate+ RI+TPS'!DG30</f>
        <v>0</v>
      </c>
      <c r="DH415" s="65">
        <f>'Special Corporate+ RI+TPS'!DH30</f>
        <v>0</v>
      </c>
      <c r="DI415" s="65">
        <f>'Special Corporate+ RI+TPS'!DI30</f>
        <v>0</v>
      </c>
      <c r="DJ415" s="65">
        <f>'Special Corporate+ RI+TPS'!DJ30</f>
        <v>0</v>
      </c>
      <c r="DK415" s="65">
        <f>'Special Corporate+ RI+TPS'!DK30</f>
        <v>0</v>
      </c>
      <c r="DL415" s="65">
        <f>'Special Corporate+ RI+TPS'!DL30</f>
        <v>0</v>
      </c>
      <c r="DM415" s="65">
        <f>'Special Corporate+ RI+TPS'!DM30</f>
        <v>0</v>
      </c>
      <c r="DN415" s="65">
        <f>'Special Corporate+ RI+TPS'!DN30</f>
        <v>0</v>
      </c>
      <c r="DO415" s="65">
        <f>'Special Corporate+ RI+TPS'!DO30</f>
        <v>0</v>
      </c>
      <c r="DP415" s="65">
        <f>'Special Corporate+ RI+TPS'!DP30</f>
        <v>0</v>
      </c>
      <c r="DQ415" s="65">
        <f>'Special Corporate+ RI+TPS'!DQ30</f>
        <v>0</v>
      </c>
      <c r="DR415" s="65">
        <f>'Special Corporate+ RI+TPS'!DR30</f>
        <v>0</v>
      </c>
      <c r="DS415" s="65">
        <f>'Special Corporate+ RI+TPS'!DS30</f>
        <v>0</v>
      </c>
      <c r="DT415" s="65">
        <f>'Special Corporate+ RI+TPS'!DT30</f>
        <v>0</v>
      </c>
      <c r="DU415" s="65">
        <f>'Special Corporate+ RI+TPS'!DU30</f>
        <v>0</v>
      </c>
      <c r="DV415" s="65">
        <f>'Special Corporate+ RI+TPS'!DV30</f>
        <v>0</v>
      </c>
      <c r="DW415" s="65">
        <f>'Special Corporate+ RI+TPS'!DW30</f>
        <v>0</v>
      </c>
      <c r="DX415" s="65">
        <f>'Special Corporate+ RI+TPS'!DX30</f>
        <v>0</v>
      </c>
      <c r="DY415" s="65">
        <f>'Special Corporate+ RI+TPS'!DY30</f>
        <v>0</v>
      </c>
      <c r="DZ415" s="65">
        <f>'Special Corporate+ RI+TPS'!DZ30</f>
        <v>0</v>
      </c>
      <c r="EA415" s="65">
        <f>'Special Corporate+ RI+TPS'!EA30</f>
        <v>0</v>
      </c>
      <c r="EB415" s="68"/>
    </row>
    <row r="416" spans="1:132" x14ac:dyDescent="0.2">
      <c r="A416" s="152"/>
      <c r="B416" s="65" t="str">
        <f>'Special Corporate+ RI+TPS'!B31</f>
        <v>Account Name</v>
      </c>
      <c r="C416" s="65">
        <f>'Special Corporate+ RI+TPS'!C31</f>
        <v>0</v>
      </c>
      <c r="D416" s="65" t="str">
        <f>'Special Corporate+ RI+TPS'!D31</f>
        <v>Enter the name of the Account here</v>
      </c>
      <c r="E416" s="65">
        <f>'Special Corporate+ RI+TPS'!E31</f>
        <v>0</v>
      </c>
      <c r="F416" s="65">
        <f>'Special Corporate+ RI+TPS'!F31</f>
        <v>0</v>
      </c>
      <c r="G416" s="65">
        <f>'Special Corporate+ RI+TPS'!G31</f>
        <v>0</v>
      </c>
      <c r="H416" s="65">
        <f>'Special Corporate+ RI+TPS'!H31</f>
        <v>0</v>
      </c>
      <c r="I416" s="65">
        <f>'Special Corporate+ RI+TPS'!I31</f>
        <v>0</v>
      </c>
      <c r="J416" s="65">
        <f>'Special Corporate+ RI+TPS'!J31</f>
        <v>0</v>
      </c>
      <c r="K416" s="65">
        <f>'Special Corporate+ RI+TPS'!K31</f>
        <v>0</v>
      </c>
      <c r="L416" s="65" t="str">
        <f>'Special Corporate+ RI+TPS'!L31</f>
        <v>Enter the name of the Account here</v>
      </c>
      <c r="M416" s="65">
        <f>'Special Corporate+ RI+TPS'!M31</f>
        <v>0</v>
      </c>
      <c r="N416" s="65">
        <f>'Special Corporate+ RI+TPS'!N31</f>
        <v>0</v>
      </c>
      <c r="O416" s="65">
        <f>'Special Corporate+ RI+TPS'!O31</f>
        <v>0</v>
      </c>
      <c r="P416" s="65">
        <f>'Special Corporate+ RI+TPS'!P31</f>
        <v>0</v>
      </c>
      <c r="Q416" s="65">
        <f>'Special Corporate+ RI+TPS'!Q31</f>
        <v>0</v>
      </c>
      <c r="R416" s="65">
        <f>'Special Corporate+ RI+TPS'!R31</f>
        <v>0</v>
      </c>
      <c r="S416" s="65">
        <f>'Special Corporate+ RI+TPS'!S31</f>
        <v>0</v>
      </c>
      <c r="T416" s="65" t="str">
        <f>'Special Corporate+ RI+TPS'!T31</f>
        <v>Enter the name of the Account here</v>
      </c>
      <c r="U416" s="65">
        <f>'Special Corporate+ RI+TPS'!U31</f>
        <v>0</v>
      </c>
      <c r="V416" s="65">
        <f>'Special Corporate+ RI+TPS'!V31</f>
        <v>0</v>
      </c>
      <c r="W416" s="65">
        <f>'Special Corporate+ RI+TPS'!W31</f>
        <v>0</v>
      </c>
      <c r="X416" s="65">
        <f>'Special Corporate+ RI+TPS'!X31</f>
        <v>0</v>
      </c>
      <c r="Y416" s="65">
        <f>'Special Corporate+ RI+TPS'!Y31</f>
        <v>0</v>
      </c>
      <c r="Z416" s="65">
        <f>'Special Corporate+ RI+TPS'!Z31</f>
        <v>0</v>
      </c>
      <c r="AA416" s="65">
        <f>'Special Corporate+ RI+TPS'!AA31</f>
        <v>0</v>
      </c>
      <c r="AB416" s="65" t="str">
        <f>'Special Corporate+ RI+TPS'!AB31</f>
        <v>Enter the name of the Account here</v>
      </c>
      <c r="AC416" s="65">
        <f>'Special Corporate+ RI+TPS'!AC31</f>
        <v>0</v>
      </c>
      <c r="AD416" s="65">
        <f>'Special Corporate+ RI+TPS'!AD31</f>
        <v>0</v>
      </c>
      <c r="AE416" s="65">
        <f>'Special Corporate+ RI+TPS'!AE31</f>
        <v>0</v>
      </c>
      <c r="AF416" s="65">
        <f>'Special Corporate+ RI+TPS'!AF31</f>
        <v>0</v>
      </c>
      <c r="AG416" s="65">
        <f>'Special Corporate+ RI+TPS'!AG31</f>
        <v>0</v>
      </c>
      <c r="AH416" s="65">
        <f>'Special Corporate+ RI+TPS'!AH31</f>
        <v>0</v>
      </c>
      <c r="AI416" s="65">
        <f>'Special Corporate+ RI+TPS'!AI31</f>
        <v>0</v>
      </c>
      <c r="AJ416" s="65" t="str">
        <f>'Special Corporate+ RI+TPS'!AJ31</f>
        <v>Enter the name of the Account here</v>
      </c>
      <c r="AK416" s="65">
        <f>'Special Corporate+ RI+TPS'!AK31</f>
        <v>0</v>
      </c>
      <c r="AL416" s="65">
        <f>'Special Corporate+ RI+TPS'!AL31</f>
        <v>0</v>
      </c>
      <c r="AM416" s="65">
        <f>'Special Corporate+ RI+TPS'!AM31</f>
        <v>0</v>
      </c>
      <c r="AN416" s="65">
        <f>'Special Corporate+ RI+TPS'!AN31</f>
        <v>0</v>
      </c>
      <c r="AO416" s="65">
        <f>'Special Corporate+ RI+TPS'!AO31</f>
        <v>0</v>
      </c>
      <c r="AP416" s="65">
        <f>'Special Corporate+ RI+TPS'!AP31</f>
        <v>0</v>
      </c>
      <c r="AQ416" s="65">
        <f>'Special Corporate+ RI+TPS'!AQ31</f>
        <v>0</v>
      </c>
      <c r="AR416" s="65" t="str">
        <f>'Special Corporate+ RI+TPS'!AR31</f>
        <v>Enter the name of the Account here</v>
      </c>
      <c r="AS416" s="65">
        <f>'Special Corporate+ RI+TPS'!AS31</f>
        <v>0</v>
      </c>
      <c r="AT416" s="65">
        <f>'Special Corporate+ RI+TPS'!AT31</f>
        <v>0</v>
      </c>
      <c r="AU416" s="65">
        <f>'Special Corporate+ RI+TPS'!AU31</f>
        <v>0</v>
      </c>
      <c r="AV416" s="65">
        <f>'Special Corporate+ RI+TPS'!AV31</f>
        <v>0</v>
      </c>
      <c r="AW416" s="65">
        <f>'Special Corporate+ RI+TPS'!AW31</f>
        <v>0</v>
      </c>
      <c r="AX416" s="65">
        <f>'Special Corporate+ RI+TPS'!AX31</f>
        <v>0</v>
      </c>
      <c r="AY416" s="65">
        <f>'Special Corporate+ RI+TPS'!AY31</f>
        <v>0</v>
      </c>
      <c r="AZ416" s="65" t="str">
        <f>'Special Corporate+ RI+TPS'!AZ31</f>
        <v>Enter the name of the Account here</v>
      </c>
      <c r="BA416" s="65">
        <f>'Special Corporate+ RI+TPS'!BA31</f>
        <v>0</v>
      </c>
      <c r="BB416" s="65">
        <f>'Special Corporate+ RI+TPS'!BB31</f>
        <v>0</v>
      </c>
      <c r="BC416" s="65">
        <f>'Special Corporate+ RI+TPS'!BC31</f>
        <v>0</v>
      </c>
      <c r="BD416" s="65">
        <f>'Special Corporate+ RI+TPS'!BD31</f>
        <v>0</v>
      </c>
      <c r="BE416" s="65">
        <f>'Special Corporate+ RI+TPS'!BE31</f>
        <v>0</v>
      </c>
      <c r="BF416" s="65">
        <f>'Special Corporate+ RI+TPS'!BF31</f>
        <v>0</v>
      </c>
      <c r="BG416" s="65">
        <f>'Special Corporate+ RI+TPS'!BG31</f>
        <v>0</v>
      </c>
      <c r="BH416" s="65" t="str">
        <f>'Special Corporate+ RI+TPS'!BH31</f>
        <v>Enter the name of the Account here</v>
      </c>
      <c r="BI416" s="65">
        <f>'Special Corporate+ RI+TPS'!BI31</f>
        <v>0</v>
      </c>
      <c r="BJ416" s="65">
        <f>'Special Corporate+ RI+TPS'!BJ31</f>
        <v>0</v>
      </c>
      <c r="BK416" s="65">
        <f>'Special Corporate+ RI+TPS'!BK31</f>
        <v>0</v>
      </c>
      <c r="BL416" s="65">
        <f>'Special Corporate+ RI+TPS'!BL31</f>
        <v>0</v>
      </c>
      <c r="BM416" s="65">
        <f>'Special Corporate+ RI+TPS'!BM31</f>
        <v>0</v>
      </c>
      <c r="BN416" s="65">
        <f>'Special Corporate+ RI+TPS'!BN31</f>
        <v>0</v>
      </c>
      <c r="BO416" s="65">
        <f>'Special Corporate+ RI+TPS'!BO31</f>
        <v>0</v>
      </c>
      <c r="BP416" s="65" t="str">
        <f>'Special Corporate+ RI+TPS'!BP31</f>
        <v>Enter the name of the Account here</v>
      </c>
      <c r="BQ416" s="65">
        <f>'Special Corporate+ RI+TPS'!BQ31</f>
        <v>0</v>
      </c>
      <c r="BR416" s="65">
        <f>'Special Corporate+ RI+TPS'!BR31</f>
        <v>0</v>
      </c>
      <c r="BS416" s="65">
        <f>'Special Corporate+ RI+TPS'!BS31</f>
        <v>0</v>
      </c>
      <c r="BT416" s="65">
        <f>'Special Corporate+ RI+TPS'!BT31</f>
        <v>0</v>
      </c>
      <c r="BU416" s="65">
        <f>'Special Corporate+ RI+TPS'!BU31</f>
        <v>0</v>
      </c>
      <c r="BV416" s="65">
        <f>'Special Corporate+ RI+TPS'!BV31</f>
        <v>0</v>
      </c>
      <c r="BW416" s="65">
        <f>'Special Corporate+ RI+TPS'!BW31</f>
        <v>0</v>
      </c>
      <c r="BX416" s="65" t="str">
        <f>'Special Corporate+ RI+TPS'!BX31</f>
        <v>Enter the name of the Account here</v>
      </c>
      <c r="BY416" s="65">
        <f>'Special Corporate+ RI+TPS'!BY31</f>
        <v>0</v>
      </c>
      <c r="BZ416" s="65">
        <f>'Special Corporate+ RI+TPS'!BZ31</f>
        <v>0</v>
      </c>
      <c r="CA416" s="65">
        <f>'Special Corporate+ RI+TPS'!CA31</f>
        <v>0</v>
      </c>
      <c r="CB416" s="65">
        <f>'Special Corporate+ RI+TPS'!CB31</f>
        <v>0</v>
      </c>
      <c r="CC416" s="65">
        <f>'Special Corporate+ RI+TPS'!CC31</f>
        <v>0</v>
      </c>
      <c r="CD416" s="65">
        <f>'Special Corporate+ RI+TPS'!CD31</f>
        <v>0</v>
      </c>
      <c r="CE416" s="65">
        <f>'Special Corporate+ RI+TPS'!CE31</f>
        <v>0</v>
      </c>
      <c r="CF416" s="65" t="str">
        <f>'Special Corporate+ RI+TPS'!CF31</f>
        <v>Enter the name of the Account here</v>
      </c>
      <c r="CG416" s="65">
        <f>'Special Corporate+ RI+TPS'!CG31</f>
        <v>0</v>
      </c>
      <c r="CH416" s="65">
        <f>'Special Corporate+ RI+TPS'!CH31</f>
        <v>0</v>
      </c>
      <c r="CI416" s="65">
        <f>'Special Corporate+ RI+TPS'!CI31</f>
        <v>0</v>
      </c>
      <c r="CJ416" s="65">
        <f>'Special Corporate+ RI+TPS'!CJ31</f>
        <v>0</v>
      </c>
      <c r="CK416" s="65">
        <f>'Special Corporate+ RI+TPS'!CK31</f>
        <v>0</v>
      </c>
      <c r="CL416" s="65">
        <f>'Special Corporate+ RI+TPS'!CL31</f>
        <v>0</v>
      </c>
      <c r="CM416" s="65">
        <f>'Special Corporate+ RI+TPS'!CM31</f>
        <v>0</v>
      </c>
      <c r="CN416" s="65" t="str">
        <f>'Special Corporate+ RI+TPS'!CN31</f>
        <v>Enter the name of the Account here</v>
      </c>
      <c r="CO416" s="65">
        <f>'Special Corporate+ RI+TPS'!CO31</f>
        <v>0</v>
      </c>
      <c r="CP416" s="65">
        <f>'Special Corporate+ RI+TPS'!CP31</f>
        <v>0</v>
      </c>
      <c r="CQ416" s="65">
        <f>'Special Corporate+ RI+TPS'!CQ31</f>
        <v>0</v>
      </c>
      <c r="CR416" s="65">
        <f>'Special Corporate+ RI+TPS'!CR31</f>
        <v>0</v>
      </c>
      <c r="CS416" s="65">
        <f>'Special Corporate+ RI+TPS'!CS31</f>
        <v>0</v>
      </c>
      <c r="CT416" s="65">
        <f>'Special Corporate+ RI+TPS'!CT31</f>
        <v>0</v>
      </c>
      <c r="CU416" s="65">
        <f>'Special Corporate+ RI+TPS'!CU31</f>
        <v>0</v>
      </c>
      <c r="CV416" s="65" t="str">
        <f>'Special Corporate+ RI+TPS'!CV31</f>
        <v>Enter the name of the Account here</v>
      </c>
      <c r="CW416" s="65">
        <f>'Special Corporate+ RI+TPS'!CW31</f>
        <v>0</v>
      </c>
      <c r="CX416" s="65">
        <f>'Special Corporate+ RI+TPS'!CX31</f>
        <v>0</v>
      </c>
      <c r="CY416" s="65">
        <f>'Special Corporate+ RI+TPS'!CY31</f>
        <v>0</v>
      </c>
      <c r="CZ416" s="65">
        <f>'Special Corporate+ RI+TPS'!CZ31</f>
        <v>0</v>
      </c>
      <c r="DA416" s="65">
        <f>'Special Corporate+ RI+TPS'!DA31</f>
        <v>0</v>
      </c>
      <c r="DB416" s="65">
        <f>'Special Corporate+ RI+TPS'!DB31</f>
        <v>0</v>
      </c>
      <c r="DC416" s="65">
        <f>'Special Corporate+ RI+TPS'!DC31</f>
        <v>0</v>
      </c>
      <c r="DD416" s="65" t="str">
        <f>'Special Corporate+ RI+TPS'!DD31</f>
        <v>Enter the name of the Account here</v>
      </c>
      <c r="DE416" s="65">
        <f>'Special Corporate+ RI+TPS'!DE31</f>
        <v>0</v>
      </c>
      <c r="DF416" s="65">
        <f>'Special Corporate+ RI+TPS'!DF31</f>
        <v>0</v>
      </c>
      <c r="DG416" s="65">
        <f>'Special Corporate+ RI+TPS'!DG31</f>
        <v>0</v>
      </c>
      <c r="DH416" s="65">
        <f>'Special Corporate+ RI+TPS'!DH31</f>
        <v>0</v>
      </c>
      <c r="DI416" s="65">
        <f>'Special Corporate+ RI+TPS'!DI31</f>
        <v>0</v>
      </c>
      <c r="DJ416" s="65">
        <f>'Special Corporate+ RI+TPS'!DJ31</f>
        <v>0</v>
      </c>
      <c r="DK416" s="65">
        <f>'Special Corporate+ RI+TPS'!DK31</f>
        <v>0</v>
      </c>
      <c r="DL416" s="65" t="str">
        <f>'Special Corporate+ RI+TPS'!DL31</f>
        <v>Enter the name of the Account here</v>
      </c>
      <c r="DM416" s="65">
        <f>'Special Corporate+ RI+TPS'!DM31</f>
        <v>0</v>
      </c>
      <c r="DN416" s="65">
        <f>'Special Corporate+ RI+TPS'!DN31</f>
        <v>0</v>
      </c>
      <c r="DO416" s="65">
        <f>'Special Corporate+ RI+TPS'!DO31</f>
        <v>0</v>
      </c>
      <c r="DP416" s="65">
        <f>'Special Corporate+ RI+TPS'!DP31</f>
        <v>0</v>
      </c>
      <c r="DQ416" s="65">
        <f>'Special Corporate+ RI+TPS'!DQ31</f>
        <v>0</v>
      </c>
      <c r="DR416" s="65">
        <f>'Special Corporate+ RI+TPS'!DR31</f>
        <v>0</v>
      </c>
      <c r="DS416" s="65">
        <f>'Special Corporate+ RI+TPS'!DS31</f>
        <v>0</v>
      </c>
      <c r="DT416" s="65" t="str">
        <f>'Special Corporate+ RI+TPS'!DT31</f>
        <v>Enter the name of the Account here</v>
      </c>
      <c r="DU416" s="65">
        <f>'Special Corporate+ RI+TPS'!DU31</f>
        <v>0</v>
      </c>
      <c r="DV416" s="65">
        <f>'Special Corporate+ RI+TPS'!DV31</f>
        <v>0</v>
      </c>
      <c r="DW416" s="65">
        <f>'Special Corporate+ RI+TPS'!DW31</f>
        <v>0</v>
      </c>
      <c r="DX416" s="65">
        <f>'Special Corporate+ RI+TPS'!DX31</f>
        <v>0</v>
      </c>
      <c r="DY416" s="65">
        <f>'Special Corporate+ RI+TPS'!DY31</f>
        <v>0</v>
      </c>
      <c r="DZ416" s="65">
        <f>'Special Corporate+ RI+TPS'!DZ31</f>
        <v>0</v>
      </c>
      <c r="EA416" s="65">
        <f>'Special Corporate+ RI+TPS'!EA31</f>
        <v>0</v>
      </c>
      <c r="EB416" s="68"/>
    </row>
    <row r="417" spans="1:132" x14ac:dyDescent="0.2">
      <c r="A417" s="152"/>
      <c r="B417" s="65" t="str">
        <f>'Special Corporate+ RI+TPS'!B32</f>
        <v>Availability</v>
      </c>
      <c r="C417" s="65">
        <f>'Special Corporate+ RI+TPS'!C32</f>
        <v>0</v>
      </c>
      <c r="D417" s="65">
        <f>'Special Corporate+ RI+TPS'!D32</f>
        <v>0</v>
      </c>
      <c r="E417" s="65">
        <f>'Special Corporate+ RI+TPS'!E32</f>
        <v>0</v>
      </c>
      <c r="F417" s="65">
        <f>'Special Corporate+ RI+TPS'!F32</f>
        <v>0</v>
      </c>
      <c r="G417" s="65">
        <f>'Special Corporate+ RI+TPS'!G32</f>
        <v>0</v>
      </c>
      <c r="H417" s="65">
        <f>'Special Corporate+ RI+TPS'!H32</f>
        <v>0</v>
      </c>
      <c r="I417" s="65">
        <f>'Special Corporate+ RI+TPS'!I32</f>
        <v>0</v>
      </c>
      <c r="J417" s="65">
        <f>'Special Corporate+ RI+TPS'!J32</f>
        <v>0</v>
      </c>
      <c r="K417" s="65">
        <f>'Special Corporate+ RI+TPS'!K32</f>
        <v>0</v>
      </c>
      <c r="L417" s="65">
        <f>'Special Corporate+ RI+TPS'!L32</f>
        <v>0</v>
      </c>
      <c r="M417" s="65">
        <f>'Special Corporate+ RI+TPS'!M32</f>
        <v>0</v>
      </c>
      <c r="N417" s="65">
        <f>'Special Corporate+ RI+TPS'!N32</f>
        <v>0</v>
      </c>
      <c r="O417" s="65">
        <f>'Special Corporate+ RI+TPS'!O32</f>
        <v>0</v>
      </c>
      <c r="P417" s="65">
        <f>'Special Corporate+ RI+TPS'!P32</f>
        <v>0</v>
      </c>
      <c r="Q417" s="65">
        <f>'Special Corporate+ RI+TPS'!Q32</f>
        <v>0</v>
      </c>
      <c r="R417" s="65">
        <f>'Special Corporate+ RI+TPS'!R32</f>
        <v>0</v>
      </c>
      <c r="S417" s="65">
        <f>'Special Corporate+ RI+TPS'!S32</f>
        <v>0</v>
      </c>
      <c r="T417" s="65">
        <f>'Special Corporate+ RI+TPS'!T32</f>
        <v>0</v>
      </c>
      <c r="U417" s="65">
        <f>'Special Corporate+ RI+TPS'!U32</f>
        <v>0</v>
      </c>
      <c r="V417" s="65">
        <f>'Special Corporate+ RI+TPS'!V32</f>
        <v>0</v>
      </c>
      <c r="W417" s="65">
        <f>'Special Corporate+ RI+TPS'!W32</f>
        <v>0</v>
      </c>
      <c r="X417" s="65">
        <f>'Special Corporate+ RI+TPS'!X32</f>
        <v>0</v>
      </c>
      <c r="Y417" s="65">
        <f>'Special Corporate+ RI+TPS'!Y32</f>
        <v>0</v>
      </c>
      <c r="Z417" s="65">
        <f>'Special Corporate+ RI+TPS'!Z32</f>
        <v>0</v>
      </c>
      <c r="AA417" s="65">
        <f>'Special Corporate+ RI+TPS'!AA32</f>
        <v>0</v>
      </c>
      <c r="AB417" s="65">
        <f>'Special Corporate+ RI+TPS'!AB32</f>
        <v>0</v>
      </c>
      <c r="AC417" s="65">
        <f>'Special Corporate+ RI+TPS'!AC32</f>
        <v>0</v>
      </c>
      <c r="AD417" s="65">
        <f>'Special Corporate+ RI+TPS'!AD32</f>
        <v>0</v>
      </c>
      <c r="AE417" s="65">
        <f>'Special Corporate+ RI+TPS'!AE32</f>
        <v>0</v>
      </c>
      <c r="AF417" s="65">
        <f>'Special Corporate+ RI+TPS'!AF32</f>
        <v>0</v>
      </c>
      <c r="AG417" s="65">
        <f>'Special Corporate+ RI+TPS'!AG32</f>
        <v>0</v>
      </c>
      <c r="AH417" s="65">
        <f>'Special Corporate+ RI+TPS'!AH32</f>
        <v>0</v>
      </c>
      <c r="AI417" s="65">
        <f>'Special Corporate+ RI+TPS'!AI32</f>
        <v>0</v>
      </c>
      <c r="AJ417" s="65">
        <f>'Special Corporate+ RI+TPS'!AJ32</f>
        <v>0</v>
      </c>
      <c r="AK417" s="65">
        <f>'Special Corporate+ RI+TPS'!AK32</f>
        <v>0</v>
      </c>
      <c r="AL417" s="65">
        <f>'Special Corporate+ RI+TPS'!AL32</f>
        <v>0</v>
      </c>
      <c r="AM417" s="65">
        <f>'Special Corporate+ RI+TPS'!AM32</f>
        <v>0</v>
      </c>
      <c r="AN417" s="65">
        <f>'Special Corporate+ RI+TPS'!AN32</f>
        <v>0</v>
      </c>
      <c r="AO417" s="65">
        <f>'Special Corporate+ RI+TPS'!AO32</f>
        <v>0</v>
      </c>
      <c r="AP417" s="65">
        <f>'Special Corporate+ RI+TPS'!AP32</f>
        <v>0</v>
      </c>
      <c r="AQ417" s="65">
        <f>'Special Corporate+ RI+TPS'!AQ32</f>
        <v>0</v>
      </c>
      <c r="AR417" s="65">
        <f>'Special Corporate+ RI+TPS'!AR32</f>
        <v>0</v>
      </c>
      <c r="AS417" s="65">
        <f>'Special Corporate+ RI+TPS'!AS32</f>
        <v>0</v>
      </c>
      <c r="AT417" s="65">
        <f>'Special Corporate+ RI+TPS'!AT32</f>
        <v>0</v>
      </c>
      <c r="AU417" s="65">
        <f>'Special Corporate+ RI+TPS'!AU32</f>
        <v>0</v>
      </c>
      <c r="AV417" s="65">
        <f>'Special Corporate+ RI+TPS'!AV32</f>
        <v>0</v>
      </c>
      <c r="AW417" s="65">
        <f>'Special Corporate+ RI+TPS'!AW32</f>
        <v>0</v>
      </c>
      <c r="AX417" s="65">
        <f>'Special Corporate+ RI+TPS'!AX32</f>
        <v>0</v>
      </c>
      <c r="AY417" s="65">
        <f>'Special Corporate+ RI+TPS'!AY32</f>
        <v>0</v>
      </c>
      <c r="AZ417" s="65">
        <f>'Special Corporate+ RI+TPS'!AZ32</f>
        <v>0</v>
      </c>
      <c r="BA417" s="65">
        <f>'Special Corporate+ RI+TPS'!BA32</f>
        <v>0</v>
      </c>
      <c r="BB417" s="65">
        <f>'Special Corporate+ RI+TPS'!BB32</f>
        <v>0</v>
      </c>
      <c r="BC417" s="65">
        <f>'Special Corporate+ RI+TPS'!BC32</f>
        <v>0</v>
      </c>
      <c r="BD417" s="65">
        <f>'Special Corporate+ RI+TPS'!BD32</f>
        <v>0</v>
      </c>
      <c r="BE417" s="65">
        <f>'Special Corporate+ RI+TPS'!BE32</f>
        <v>0</v>
      </c>
      <c r="BF417" s="65">
        <f>'Special Corporate+ RI+TPS'!BF32</f>
        <v>0</v>
      </c>
      <c r="BG417" s="65">
        <f>'Special Corporate+ RI+TPS'!BG32</f>
        <v>0</v>
      </c>
      <c r="BH417" s="65">
        <f>'Special Corporate+ RI+TPS'!BH32</f>
        <v>0</v>
      </c>
      <c r="BI417" s="65">
        <f>'Special Corporate+ RI+TPS'!BI32</f>
        <v>0</v>
      </c>
      <c r="BJ417" s="65">
        <f>'Special Corporate+ RI+TPS'!BJ32</f>
        <v>0</v>
      </c>
      <c r="BK417" s="65">
        <f>'Special Corporate+ RI+TPS'!BK32</f>
        <v>0</v>
      </c>
      <c r="BL417" s="65">
        <f>'Special Corporate+ RI+TPS'!BL32</f>
        <v>0</v>
      </c>
      <c r="BM417" s="65">
        <f>'Special Corporate+ RI+TPS'!BM32</f>
        <v>0</v>
      </c>
      <c r="BN417" s="65">
        <f>'Special Corporate+ RI+TPS'!BN32</f>
        <v>0</v>
      </c>
      <c r="BO417" s="65">
        <f>'Special Corporate+ RI+TPS'!BO32</f>
        <v>0</v>
      </c>
      <c r="BP417" s="65">
        <f>'Special Corporate+ RI+TPS'!BP32</f>
        <v>0</v>
      </c>
      <c r="BQ417" s="65">
        <f>'Special Corporate+ RI+TPS'!BQ32</f>
        <v>0</v>
      </c>
      <c r="BR417" s="65">
        <f>'Special Corporate+ RI+TPS'!BR32</f>
        <v>0</v>
      </c>
      <c r="BS417" s="65">
        <f>'Special Corporate+ RI+TPS'!BS32</f>
        <v>0</v>
      </c>
      <c r="BT417" s="65">
        <f>'Special Corporate+ RI+TPS'!BT32</f>
        <v>0</v>
      </c>
      <c r="BU417" s="65">
        <f>'Special Corporate+ RI+TPS'!BU32</f>
        <v>0</v>
      </c>
      <c r="BV417" s="65">
        <f>'Special Corporate+ RI+TPS'!BV32</f>
        <v>0</v>
      </c>
      <c r="BW417" s="65">
        <f>'Special Corporate+ RI+TPS'!BW32</f>
        <v>0</v>
      </c>
      <c r="BX417" s="65">
        <f>'Special Corporate+ RI+TPS'!BX32</f>
        <v>0</v>
      </c>
      <c r="BY417" s="65">
        <f>'Special Corporate+ RI+TPS'!BY32</f>
        <v>0</v>
      </c>
      <c r="BZ417" s="65">
        <f>'Special Corporate+ RI+TPS'!BZ32</f>
        <v>0</v>
      </c>
      <c r="CA417" s="65">
        <f>'Special Corporate+ RI+TPS'!CA32</f>
        <v>0</v>
      </c>
      <c r="CB417" s="65">
        <f>'Special Corporate+ RI+TPS'!CB32</f>
        <v>0</v>
      </c>
      <c r="CC417" s="65">
        <f>'Special Corporate+ RI+TPS'!CC32</f>
        <v>0</v>
      </c>
      <c r="CD417" s="65">
        <f>'Special Corporate+ RI+TPS'!CD32</f>
        <v>0</v>
      </c>
      <c r="CE417" s="65">
        <f>'Special Corporate+ RI+TPS'!CE32</f>
        <v>0</v>
      </c>
      <c r="CF417" s="65">
        <f>'Special Corporate+ RI+TPS'!CF32</f>
        <v>0</v>
      </c>
      <c r="CG417" s="65">
        <f>'Special Corporate+ RI+TPS'!CG32</f>
        <v>0</v>
      </c>
      <c r="CH417" s="65">
        <f>'Special Corporate+ RI+TPS'!CH32</f>
        <v>0</v>
      </c>
      <c r="CI417" s="65">
        <f>'Special Corporate+ RI+TPS'!CI32</f>
        <v>0</v>
      </c>
      <c r="CJ417" s="65">
        <f>'Special Corporate+ RI+TPS'!CJ32</f>
        <v>0</v>
      </c>
      <c r="CK417" s="65">
        <f>'Special Corporate+ RI+TPS'!CK32</f>
        <v>0</v>
      </c>
      <c r="CL417" s="65">
        <f>'Special Corporate+ RI+TPS'!CL32</f>
        <v>0</v>
      </c>
      <c r="CM417" s="65">
        <f>'Special Corporate+ RI+TPS'!CM32</f>
        <v>0</v>
      </c>
      <c r="CN417" s="65">
        <f>'Special Corporate+ RI+TPS'!CN32</f>
        <v>0</v>
      </c>
      <c r="CO417" s="65">
        <f>'Special Corporate+ RI+TPS'!CO32</f>
        <v>0</v>
      </c>
      <c r="CP417" s="65">
        <f>'Special Corporate+ RI+TPS'!CP32</f>
        <v>0</v>
      </c>
      <c r="CQ417" s="65">
        <f>'Special Corporate+ RI+TPS'!CQ32</f>
        <v>0</v>
      </c>
      <c r="CR417" s="65">
        <f>'Special Corporate+ RI+TPS'!CR32</f>
        <v>0</v>
      </c>
      <c r="CS417" s="65">
        <f>'Special Corporate+ RI+TPS'!CS32</f>
        <v>0</v>
      </c>
      <c r="CT417" s="65">
        <f>'Special Corporate+ RI+TPS'!CT32</f>
        <v>0</v>
      </c>
      <c r="CU417" s="65">
        <f>'Special Corporate+ RI+TPS'!CU32</f>
        <v>0</v>
      </c>
      <c r="CV417" s="65">
        <f>'Special Corporate+ RI+TPS'!CV32</f>
        <v>0</v>
      </c>
      <c r="CW417" s="65">
        <f>'Special Corporate+ RI+TPS'!CW32</f>
        <v>0</v>
      </c>
      <c r="CX417" s="65">
        <f>'Special Corporate+ RI+TPS'!CX32</f>
        <v>0</v>
      </c>
      <c r="CY417" s="65">
        <f>'Special Corporate+ RI+TPS'!CY32</f>
        <v>0</v>
      </c>
      <c r="CZ417" s="65">
        <f>'Special Corporate+ RI+TPS'!CZ32</f>
        <v>0</v>
      </c>
      <c r="DA417" s="65">
        <f>'Special Corporate+ RI+TPS'!DA32</f>
        <v>0</v>
      </c>
      <c r="DB417" s="65">
        <f>'Special Corporate+ RI+TPS'!DB32</f>
        <v>0</v>
      </c>
      <c r="DC417" s="65">
        <f>'Special Corporate+ RI+TPS'!DC32</f>
        <v>0</v>
      </c>
      <c r="DD417" s="65">
        <f>'Special Corporate+ RI+TPS'!DD32</f>
        <v>0</v>
      </c>
      <c r="DE417" s="65">
        <f>'Special Corporate+ RI+TPS'!DE32</f>
        <v>0</v>
      </c>
      <c r="DF417" s="65">
        <f>'Special Corporate+ RI+TPS'!DF32</f>
        <v>0</v>
      </c>
      <c r="DG417" s="65">
        <f>'Special Corporate+ RI+TPS'!DG32</f>
        <v>0</v>
      </c>
      <c r="DH417" s="65">
        <f>'Special Corporate+ RI+TPS'!DH32</f>
        <v>0</v>
      </c>
      <c r="DI417" s="65">
        <f>'Special Corporate+ RI+TPS'!DI32</f>
        <v>0</v>
      </c>
      <c r="DJ417" s="65">
        <f>'Special Corporate+ RI+TPS'!DJ32</f>
        <v>0</v>
      </c>
      <c r="DK417" s="65">
        <f>'Special Corporate+ RI+TPS'!DK32</f>
        <v>0</v>
      </c>
      <c r="DL417" s="65">
        <f>'Special Corporate+ RI+TPS'!DL32</f>
        <v>0</v>
      </c>
      <c r="DM417" s="65">
        <f>'Special Corporate+ RI+TPS'!DM32</f>
        <v>0</v>
      </c>
      <c r="DN417" s="65">
        <f>'Special Corporate+ RI+TPS'!DN32</f>
        <v>0</v>
      </c>
      <c r="DO417" s="65">
        <f>'Special Corporate+ RI+TPS'!DO32</f>
        <v>0</v>
      </c>
      <c r="DP417" s="65">
        <f>'Special Corporate+ RI+TPS'!DP32</f>
        <v>0</v>
      </c>
      <c r="DQ417" s="65">
        <f>'Special Corporate+ RI+TPS'!DQ32</f>
        <v>0</v>
      </c>
      <c r="DR417" s="65">
        <f>'Special Corporate+ RI+TPS'!DR32</f>
        <v>0</v>
      </c>
      <c r="DS417" s="65">
        <f>'Special Corporate+ RI+TPS'!DS32</f>
        <v>0</v>
      </c>
      <c r="DT417" s="65">
        <f>'Special Corporate+ RI+TPS'!DT32</f>
        <v>0</v>
      </c>
      <c r="DU417" s="65">
        <f>'Special Corporate+ RI+TPS'!DU32</f>
        <v>0</v>
      </c>
      <c r="DV417" s="65">
        <f>'Special Corporate+ RI+TPS'!DV32</f>
        <v>0</v>
      </c>
      <c r="DW417" s="65">
        <f>'Special Corporate+ RI+TPS'!DW32</f>
        <v>0</v>
      </c>
      <c r="DX417" s="65">
        <f>'Special Corporate+ RI+TPS'!DX32</f>
        <v>0</v>
      </c>
      <c r="DY417" s="65">
        <f>'Special Corporate+ RI+TPS'!DY32</f>
        <v>0</v>
      </c>
      <c r="DZ417" s="65">
        <f>'Special Corporate+ RI+TPS'!DZ32</f>
        <v>0</v>
      </c>
      <c r="EA417" s="65">
        <f>'Special Corporate+ RI+TPS'!EA32</f>
        <v>0</v>
      </c>
      <c r="EB417" s="68"/>
    </row>
    <row r="418" spans="1:132" x14ac:dyDescent="0.2">
      <c r="A418" s="152"/>
      <c r="B418" s="65" t="str">
        <f>'Special Corporate+ RI+TPS'!B33</f>
        <v>Commissionable</v>
      </c>
      <c r="C418" s="65">
        <f>'Special Corporate+ RI+TPS'!C33</f>
        <v>0</v>
      </c>
      <c r="D418" s="65" t="str">
        <f>'Special Corporate+ RI+TPS'!D33</f>
        <v>NO</v>
      </c>
      <c r="E418" s="65">
        <f>'Special Corporate+ RI+TPS'!E33</f>
        <v>0</v>
      </c>
      <c r="F418" s="65">
        <f>'Special Corporate+ RI+TPS'!F33</f>
        <v>0</v>
      </c>
      <c r="G418" s="65">
        <f>'Special Corporate+ RI+TPS'!G33</f>
        <v>0</v>
      </c>
      <c r="H418" s="65">
        <f>'Special Corporate+ RI+TPS'!H33</f>
        <v>0</v>
      </c>
      <c r="I418" s="65">
        <f>'Special Corporate+ RI+TPS'!I33</f>
        <v>0</v>
      </c>
      <c r="J418" s="65">
        <f>'Special Corporate+ RI+TPS'!J33</f>
        <v>0</v>
      </c>
      <c r="K418" s="65">
        <f>'Special Corporate+ RI+TPS'!K33</f>
        <v>0</v>
      </c>
      <c r="L418" s="65" t="str">
        <f>'Special Corporate+ RI+TPS'!L33</f>
        <v>NO</v>
      </c>
      <c r="M418" s="65">
        <f>'Special Corporate+ RI+TPS'!M33</f>
        <v>0</v>
      </c>
      <c r="N418" s="65">
        <f>'Special Corporate+ RI+TPS'!N33</f>
        <v>0</v>
      </c>
      <c r="O418" s="65">
        <f>'Special Corporate+ RI+TPS'!O33</f>
        <v>0</v>
      </c>
      <c r="P418" s="65">
        <f>'Special Corporate+ RI+TPS'!P33</f>
        <v>0</v>
      </c>
      <c r="Q418" s="65">
        <f>'Special Corporate+ RI+TPS'!Q33</f>
        <v>0</v>
      </c>
      <c r="R418" s="65">
        <f>'Special Corporate+ RI+TPS'!R33</f>
        <v>0</v>
      </c>
      <c r="S418" s="65">
        <f>'Special Corporate+ RI+TPS'!S33</f>
        <v>0</v>
      </c>
      <c r="T418" s="65" t="str">
        <f>'Special Corporate+ RI+TPS'!T33</f>
        <v>NO</v>
      </c>
      <c r="U418" s="65">
        <f>'Special Corporate+ RI+TPS'!U33</f>
        <v>0</v>
      </c>
      <c r="V418" s="65">
        <f>'Special Corporate+ RI+TPS'!V33</f>
        <v>0</v>
      </c>
      <c r="W418" s="65">
        <f>'Special Corporate+ RI+TPS'!W33</f>
        <v>0</v>
      </c>
      <c r="X418" s="65">
        <f>'Special Corporate+ RI+TPS'!X33</f>
        <v>0</v>
      </c>
      <c r="Y418" s="65">
        <f>'Special Corporate+ RI+TPS'!Y33</f>
        <v>0</v>
      </c>
      <c r="Z418" s="65">
        <f>'Special Corporate+ RI+TPS'!Z33</f>
        <v>0</v>
      </c>
      <c r="AA418" s="65">
        <f>'Special Corporate+ RI+TPS'!AA33</f>
        <v>0</v>
      </c>
      <c r="AB418" s="65" t="str">
        <f>'Special Corporate+ RI+TPS'!AB33</f>
        <v>NO</v>
      </c>
      <c r="AC418" s="65">
        <f>'Special Corporate+ RI+TPS'!AC33</f>
        <v>0</v>
      </c>
      <c r="AD418" s="65">
        <f>'Special Corporate+ RI+TPS'!AD33</f>
        <v>0</v>
      </c>
      <c r="AE418" s="65">
        <f>'Special Corporate+ RI+TPS'!AE33</f>
        <v>0</v>
      </c>
      <c r="AF418" s="65">
        <f>'Special Corporate+ RI+TPS'!AF33</f>
        <v>0</v>
      </c>
      <c r="AG418" s="65">
        <f>'Special Corporate+ RI+TPS'!AG33</f>
        <v>0</v>
      </c>
      <c r="AH418" s="65">
        <f>'Special Corporate+ RI+TPS'!AH33</f>
        <v>0</v>
      </c>
      <c r="AI418" s="65">
        <f>'Special Corporate+ RI+TPS'!AI33</f>
        <v>0</v>
      </c>
      <c r="AJ418" s="65" t="str">
        <f>'Special Corporate+ RI+TPS'!AJ33</f>
        <v>NO</v>
      </c>
      <c r="AK418" s="65">
        <f>'Special Corporate+ RI+TPS'!AK33</f>
        <v>0</v>
      </c>
      <c r="AL418" s="65">
        <f>'Special Corporate+ RI+TPS'!AL33</f>
        <v>0</v>
      </c>
      <c r="AM418" s="65">
        <f>'Special Corporate+ RI+TPS'!AM33</f>
        <v>0</v>
      </c>
      <c r="AN418" s="65">
        <f>'Special Corporate+ RI+TPS'!AN33</f>
        <v>0</v>
      </c>
      <c r="AO418" s="65">
        <f>'Special Corporate+ RI+TPS'!AO33</f>
        <v>0</v>
      </c>
      <c r="AP418" s="65">
        <f>'Special Corporate+ RI+TPS'!AP33</f>
        <v>0</v>
      </c>
      <c r="AQ418" s="65">
        <f>'Special Corporate+ RI+TPS'!AQ33</f>
        <v>0</v>
      </c>
      <c r="AR418" s="65" t="str">
        <f>'Special Corporate+ RI+TPS'!AR33</f>
        <v>NO</v>
      </c>
      <c r="AS418" s="65">
        <f>'Special Corporate+ RI+TPS'!AS33</f>
        <v>0</v>
      </c>
      <c r="AT418" s="65">
        <f>'Special Corporate+ RI+TPS'!AT33</f>
        <v>0</v>
      </c>
      <c r="AU418" s="65">
        <f>'Special Corporate+ RI+TPS'!AU33</f>
        <v>0</v>
      </c>
      <c r="AV418" s="65">
        <f>'Special Corporate+ RI+TPS'!AV33</f>
        <v>0</v>
      </c>
      <c r="AW418" s="65">
        <f>'Special Corporate+ RI+TPS'!AW33</f>
        <v>0</v>
      </c>
      <c r="AX418" s="65">
        <f>'Special Corporate+ RI+TPS'!AX33</f>
        <v>0</v>
      </c>
      <c r="AY418" s="65">
        <f>'Special Corporate+ RI+TPS'!AY33</f>
        <v>0</v>
      </c>
      <c r="AZ418" s="65" t="str">
        <f>'Special Corporate+ RI+TPS'!AZ33</f>
        <v>NO</v>
      </c>
      <c r="BA418" s="65">
        <f>'Special Corporate+ RI+TPS'!BA33</f>
        <v>0</v>
      </c>
      <c r="BB418" s="65">
        <f>'Special Corporate+ RI+TPS'!BB33</f>
        <v>0</v>
      </c>
      <c r="BC418" s="65">
        <f>'Special Corporate+ RI+TPS'!BC33</f>
        <v>0</v>
      </c>
      <c r="BD418" s="65">
        <f>'Special Corporate+ RI+TPS'!BD33</f>
        <v>0</v>
      </c>
      <c r="BE418" s="65">
        <f>'Special Corporate+ RI+TPS'!BE33</f>
        <v>0</v>
      </c>
      <c r="BF418" s="65">
        <f>'Special Corporate+ RI+TPS'!BF33</f>
        <v>0</v>
      </c>
      <c r="BG418" s="65">
        <f>'Special Corporate+ RI+TPS'!BG33</f>
        <v>0</v>
      </c>
      <c r="BH418" s="65" t="str">
        <f>'Special Corporate+ RI+TPS'!BH33</f>
        <v>NO</v>
      </c>
      <c r="BI418" s="65">
        <f>'Special Corporate+ RI+TPS'!BI33</f>
        <v>0</v>
      </c>
      <c r="BJ418" s="65">
        <f>'Special Corporate+ RI+TPS'!BJ33</f>
        <v>0</v>
      </c>
      <c r="BK418" s="65">
        <f>'Special Corporate+ RI+TPS'!BK33</f>
        <v>0</v>
      </c>
      <c r="BL418" s="65">
        <f>'Special Corporate+ RI+TPS'!BL33</f>
        <v>0</v>
      </c>
      <c r="BM418" s="65">
        <f>'Special Corporate+ RI+TPS'!BM33</f>
        <v>0</v>
      </c>
      <c r="BN418" s="65">
        <f>'Special Corporate+ RI+TPS'!BN33</f>
        <v>0</v>
      </c>
      <c r="BO418" s="65">
        <f>'Special Corporate+ RI+TPS'!BO33</f>
        <v>0</v>
      </c>
      <c r="BP418" s="65" t="str">
        <f>'Special Corporate+ RI+TPS'!BP33</f>
        <v>NO</v>
      </c>
      <c r="BQ418" s="65">
        <f>'Special Corporate+ RI+TPS'!BQ33</f>
        <v>0</v>
      </c>
      <c r="BR418" s="65">
        <f>'Special Corporate+ RI+TPS'!BR33</f>
        <v>0</v>
      </c>
      <c r="BS418" s="65">
        <f>'Special Corporate+ RI+TPS'!BS33</f>
        <v>0</v>
      </c>
      <c r="BT418" s="65">
        <f>'Special Corporate+ RI+TPS'!BT33</f>
        <v>0</v>
      </c>
      <c r="BU418" s="65">
        <f>'Special Corporate+ RI+TPS'!BU33</f>
        <v>0</v>
      </c>
      <c r="BV418" s="65">
        <f>'Special Corporate+ RI+TPS'!BV33</f>
        <v>0</v>
      </c>
      <c r="BW418" s="65">
        <f>'Special Corporate+ RI+TPS'!BW33</f>
        <v>0</v>
      </c>
      <c r="BX418" s="65" t="str">
        <f>'Special Corporate+ RI+TPS'!BX33</f>
        <v>NO</v>
      </c>
      <c r="BY418" s="65">
        <f>'Special Corporate+ RI+TPS'!BY33</f>
        <v>0</v>
      </c>
      <c r="BZ418" s="65">
        <f>'Special Corporate+ RI+TPS'!BZ33</f>
        <v>0</v>
      </c>
      <c r="CA418" s="65">
        <f>'Special Corporate+ RI+TPS'!CA33</f>
        <v>0</v>
      </c>
      <c r="CB418" s="65">
        <f>'Special Corporate+ RI+TPS'!CB33</f>
        <v>0</v>
      </c>
      <c r="CC418" s="65">
        <f>'Special Corporate+ RI+TPS'!CC33</f>
        <v>0</v>
      </c>
      <c r="CD418" s="65">
        <f>'Special Corporate+ RI+TPS'!CD33</f>
        <v>0</v>
      </c>
      <c r="CE418" s="65">
        <f>'Special Corporate+ RI+TPS'!CE33</f>
        <v>0</v>
      </c>
      <c r="CF418" s="65" t="str">
        <f>'Special Corporate+ RI+TPS'!CF33</f>
        <v>NO</v>
      </c>
      <c r="CG418" s="65">
        <f>'Special Corporate+ RI+TPS'!CG33</f>
        <v>0</v>
      </c>
      <c r="CH418" s="65">
        <f>'Special Corporate+ RI+TPS'!CH33</f>
        <v>0</v>
      </c>
      <c r="CI418" s="65">
        <f>'Special Corporate+ RI+TPS'!CI33</f>
        <v>0</v>
      </c>
      <c r="CJ418" s="65">
        <f>'Special Corporate+ RI+TPS'!CJ33</f>
        <v>0</v>
      </c>
      <c r="CK418" s="65">
        <f>'Special Corporate+ RI+TPS'!CK33</f>
        <v>0</v>
      </c>
      <c r="CL418" s="65">
        <f>'Special Corporate+ RI+TPS'!CL33</f>
        <v>0</v>
      </c>
      <c r="CM418" s="65">
        <f>'Special Corporate+ RI+TPS'!CM33</f>
        <v>0</v>
      </c>
      <c r="CN418" s="65" t="str">
        <f>'Special Corporate+ RI+TPS'!CN33</f>
        <v>NO</v>
      </c>
      <c r="CO418" s="65">
        <f>'Special Corporate+ RI+TPS'!CO33</f>
        <v>0</v>
      </c>
      <c r="CP418" s="65">
        <f>'Special Corporate+ RI+TPS'!CP33</f>
        <v>0</v>
      </c>
      <c r="CQ418" s="65">
        <f>'Special Corporate+ RI+TPS'!CQ33</f>
        <v>0</v>
      </c>
      <c r="CR418" s="65">
        <f>'Special Corporate+ RI+TPS'!CR33</f>
        <v>0</v>
      </c>
      <c r="CS418" s="65">
        <f>'Special Corporate+ RI+TPS'!CS33</f>
        <v>0</v>
      </c>
      <c r="CT418" s="65">
        <f>'Special Corporate+ RI+TPS'!CT33</f>
        <v>0</v>
      </c>
      <c r="CU418" s="65">
        <f>'Special Corporate+ RI+TPS'!CU33</f>
        <v>0</v>
      </c>
      <c r="CV418" s="65" t="str">
        <f>'Special Corporate+ RI+TPS'!CV33</f>
        <v>NO</v>
      </c>
      <c r="CW418" s="65">
        <f>'Special Corporate+ RI+TPS'!CW33</f>
        <v>0</v>
      </c>
      <c r="CX418" s="65">
        <f>'Special Corporate+ RI+TPS'!CX33</f>
        <v>0</v>
      </c>
      <c r="CY418" s="65">
        <f>'Special Corporate+ RI+TPS'!CY33</f>
        <v>0</v>
      </c>
      <c r="CZ418" s="65">
        <f>'Special Corporate+ RI+TPS'!CZ33</f>
        <v>0</v>
      </c>
      <c r="DA418" s="65">
        <f>'Special Corporate+ RI+TPS'!DA33</f>
        <v>0</v>
      </c>
      <c r="DB418" s="65">
        <f>'Special Corporate+ RI+TPS'!DB33</f>
        <v>0</v>
      </c>
      <c r="DC418" s="65">
        <f>'Special Corporate+ RI+TPS'!DC33</f>
        <v>0</v>
      </c>
      <c r="DD418" s="65" t="str">
        <f>'Special Corporate+ RI+TPS'!DD33</f>
        <v>NO</v>
      </c>
      <c r="DE418" s="65">
        <f>'Special Corporate+ RI+TPS'!DE33</f>
        <v>0</v>
      </c>
      <c r="DF418" s="65">
        <f>'Special Corporate+ RI+TPS'!DF33</f>
        <v>0</v>
      </c>
      <c r="DG418" s="65">
        <f>'Special Corporate+ RI+TPS'!DG33</f>
        <v>0</v>
      </c>
      <c r="DH418" s="65">
        <f>'Special Corporate+ RI+TPS'!DH33</f>
        <v>0</v>
      </c>
      <c r="DI418" s="65">
        <f>'Special Corporate+ RI+TPS'!DI33</f>
        <v>0</v>
      </c>
      <c r="DJ418" s="65">
        <f>'Special Corporate+ RI+TPS'!DJ33</f>
        <v>0</v>
      </c>
      <c r="DK418" s="65">
        <f>'Special Corporate+ RI+TPS'!DK33</f>
        <v>0</v>
      </c>
      <c r="DL418" s="65" t="str">
        <f>'Special Corporate+ RI+TPS'!DL33</f>
        <v>NO</v>
      </c>
      <c r="DM418" s="65">
        <f>'Special Corporate+ RI+TPS'!DM33</f>
        <v>0</v>
      </c>
      <c r="DN418" s="65">
        <f>'Special Corporate+ RI+TPS'!DN33</f>
        <v>0</v>
      </c>
      <c r="DO418" s="65">
        <f>'Special Corporate+ RI+TPS'!DO33</f>
        <v>0</v>
      </c>
      <c r="DP418" s="65">
        <f>'Special Corporate+ RI+TPS'!DP33</f>
        <v>0</v>
      </c>
      <c r="DQ418" s="65">
        <f>'Special Corporate+ RI+TPS'!DQ33</f>
        <v>0</v>
      </c>
      <c r="DR418" s="65">
        <f>'Special Corporate+ RI+TPS'!DR33</f>
        <v>0</v>
      </c>
      <c r="DS418" s="65">
        <f>'Special Corporate+ RI+TPS'!DS33</f>
        <v>0</v>
      </c>
      <c r="DT418" s="65" t="str">
        <f>'Special Corporate+ RI+TPS'!DT33</f>
        <v>NO</v>
      </c>
      <c r="DU418" s="65">
        <f>'Special Corporate+ RI+TPS'!DU33</f>
        <v>0</v>
      </c>
      <c r="DV418" s="65">
        <f>'Special Corporate+ RI+TPS'!DV33</f>
        <v>0</v>
      </c>
      <c r="DW418" s="65">
        <f>'Special Corporate+ RI+TPS'!DW33</f>
        <v>0</v>
      </c>
      <c r="DX418" s="65">
        <f>'Special Corporate+ RI+TPS'!DX33</f>
        <v>0</v>
      </c>
      <c r="DY418" s="65">
        <f>'Special Corporate+ RI+TPS'!DY33</f>
        <v>0</v>
      </c>
      <c r="DZ418" s="65">
        <f>'Special Corporate+ RI+TPS'!DZ33</f>
        <v>0</v>
      </c>
      <c r="EA418" s="65">
        <f>'Special Corporate+ RI+TPS'!EA33</f>
        <v>0</v>
      </c>
      <c r="EB418" s="68"/>
    </row>
    <row r="419" spans="1:132" x14ac:dyDescent="0.2">
      <c r="A419" s="152"/>
      <c r="B419" s="65" t="str">
        <f>'Special Corporate+ RI+TPS'!B34</f>
        <v>Website</v>
      </c>
      <c r="C419" s="65">
        <f>'Special Corporate+ RI+TPS'!C34</f>
        <v>0</v>
      </c>
      <c r="D419" s="65">
        <f>'Special Corporate+ RI+TPS'!D34</f>
        <v>0</v>
      </c>
      <c r="E419" s="65">
        <f>'Special Corporate+ RI+TPS'!E34</f>
        <v>0</v>
      </c>
      <c r="F419" s="65">
        <f>'Special Corporate+ RI+TPS'!F34</f>
        <v>0</v>
      </c>
      <c r="G419" s="65">
        <f>'Special Corporate+ RI+TPS'!G34</f>
        <v>0</v>
      </c>
      <c r="H419" s="65">
        <f>'Special Corporate+ RI+TPS'!H34</f>
        <v>0</v>
      </c>
      <c r="I419" s="65">
        <f>'Special Corporate+ RI+TPS'!I34</f>
        <v>0</v>
      </c>
      <c r="J419" s="65">
        <f>'Special Corporate+ RI+TPS'!J34</f>
        <v>0</v>
      </c>
      <c r="K419" s="65">
        <f>'Special Corporate+ RI+TPS'!K34</f>
        <v>0</v>
      </c>
      <c r="L419" s="65">
        <f>'Special Corporate+ RI+TPS'!L34</f>
        <v>0</v>
      </c>
      <c r="M419" s="65">
        <f>'Special Corporate+ RI+TPS'!M34</f>
        <v>0</v>
      </c>
      <c r="N419" s="65">
        <f>'Special Corporate+ RI+TPS'!N34</f>
        <v>0</v>
      </c>
      <c r="O419" s="65">
        <f>'Special Corporate+ RI+TPS'!O34</f>
        <v>0</v>
      </c>
      <c r="P419" s="65">
        <f>'Special Corporate+ RI+TPS'!P34</f>
        <v>0</v>
      </c>
      <c r="Q419" s="65">
        <f>'Special Corporate+ RI+TPS'!Q34</f>
        <v>0</v>
      </c>
      <c r="R419" s="65">
        <f>'Special Corporate+ RI+TPS'!R34</f>
        <v>0</v>
      </c>
      <c r="S419" s="65">
        <f>'Special Corporate+ RI+TPS'!S34</f>
        <v>0</v>
      </c>
      <c r="T419" s="65">
        <f>'Special Corporate+ RI+TPS'!T34</f>
        <v>0</v>
      </c>
      <c r="U419" s="65">
        <f>'Special Corporate+ RI+TPS'!U34</f>
        <v>0</v>
      </c>
      <c r="V419" s="65">
        <f>'Special Corporate+ RI+TPS'!V34</f>
        <v>0</v>
      </c>
      <c r="W419" s="65">
        <f>'Special Corporate+ RI+TPS'!W34</f>
        <v>0</v>
      </c>
      <c r="X419" s="65">
        <f>'Special Corporate+ RI+TPS'!X34</f>
        <v>0</v>
      </c>
      <c r="Y419" s="65">
        <f>'Special Corporate+ RI+TPS'!Y34</f>
        <v>0</v>
      </c>
      <c r="Z419" s="65">
        <f>'Special Corporate+ RI+TPS'!Z34</f>
        <v>0</v>
      </c>
      <c r="AA419" s="65">
        <f>'Special Corporate+ RI+TPS'!AA34</f>
        <v>0</v>
      </c>
      <c r="AB419" s="65">
        <f>'Special Corporate+ RI+TPS'!AB34</f>
        <v>0</v>
      </c>
      <c r="AC419" s="65">
        <f>'Special Corporate+ RI+TPS'!AC34</f>
        <v>0</v>
      </c>
      <c r="AD419" s="65">
        <f>'Special Corporate+ RI+TPS'!AD34</f>
        <v>0</v>
      </c>
      <c r="AE419" s="65">
        <f>'Special Corporate+ RI+TPS'!AE34</f>
        <v>0</v>
      </c>
      <c r="AF419" s="65">
        <f>'Special Corporate+ RI+TPS'!AF34</f>
        <v>0</v>
      </c>
      <c r="AG419" s="65">
        <f>'Special Corporate+ RI+TPS'!AG34</f>
        <v>0</v>
      </c>
      <c r="AH419" s="65">
        <f>'Special Corporate+ RI+TPS'!AH34</f>
        <v>0</v>
      </c>
      <c r="AI419" s="65">
        <f>'Special Corporate+ RI+TPS'!AI34</f>
        <v>0</v>
      </c>
      <c r="AJ419" s="65">
        <f>'Special Corporate+ RI+TPS'!AJ34</f>
        <v>0</v>
      </c>
      <c r="AK419" s="65">
        <f>'Special Corporate+ RI+TPS'!AK34</f>
        <v>0</v>
      </c>
      <c r="AL419" s="65">
        <f>'Special Corporate+ RI+TPS'!AL34</f>
        <v>0</v>
      </c>
      <c r="AM419" s="65">
        <f>'Special Corporate+ RI+TPS'!AM34</f>
        <v>0</v>
      </c>
      <c r="AN419" s="65">
        <f>'Special Corporate+ RI+TPS'!AN34</f>
        <v>0</v>
      </c>
      <c r="AO419" s="65">
        <f>'Special Corporate+ RI+TPS'!AO34</f>
        <v>0</v>
      </c>
      <c r="AP419" s="65">
        <f>'Special Corporate+ RI+TPS'!AP34</f>
        <v>0</v>
      </c>
      <c r="AQ419" s="65">
        <f>'Special Corporate+ RI+TPS'!AQ34</f>
        <v>0</v>
      </c>
      <c r="AR419" s="65">
        <f>'Special Corporate+ RI+TPS'!AR34</f>
        <v>0</v>
      </c>
      <c r="AS419" s="65">
        <f>'Special Corporate+ RI+TPS'!AS34</f>
        <v>0</v>
      </c>
      <c r="AT419" s="65">
        <f>'Special Corporate+ RI+TPS'!AT34</f>
        <v>0</v>
      </c>
      <c r="AU419" s="65">
        <f>'Special Corporate+ RI+TPS'!AU34</f>
        <v>0</v>
      </c>
      <c r="AV419" s="65">
        <f>'Special Corporate+ RI+TPS'!AV34</f>
        <v>0</v>
      </c>
      <c r="AW419" s="65">
        <f>'Special Corporate+ RI+TPS'!AW34</f>
        <v>0</v>
      </c>
      <c r="AX419" s="65">
        <f>'Special Corporate+ RI+TPS'!AX34</f>
        <v>0</v>
      </c>
      <c r="AY419" s="65">
        <f>'Special Corporate+ RI+TPS'!AY34</f>
        <v>0</v>
      </c>
      <c r="AZ419" s="65">
        <f>'Special Corporate+ RI+TPS'!AZ34</f>
        <v>0</v>
      </c>
      <c r="BA419" s="65">
        <f>'Special Corporate+ RI+TPS'!BA34</f>
        <v>0</v>
      </c>
      <c r="BB419" s="65">
        <f>'Special Corporate+ RI+TPS'!BB34</f>
        <v>0</v>
      </c>
      <c r="BC419" s="65">
        <f>'Special Corporate+ RI+TPS'!BC34</f>
        <v>0</v>
      </c>
      <c r="BD419" s="65">
        <f>'Special Corporate+ RI+TPS'!BD34</f>
        <v>0</v>
      </c>
      <c r="BE419" s="65">
        <f>'Special Corporate+ RI+TPS'!BE34</f>
        <v>0</v>
      </c>
      <c r="BF419" s="65">
        <f>'Special Corporate+ RI+TPS'!BF34</f>
        <v>0</v>
      </c>
      <c r="BG419" s="65">
        <f>'Special Corporate+ RI+TPS'!BG34</f>
        <v>0</v>
      </c>
      <c r="BH419" s="65">
        <f>'Special Corporate+ RI+TPS'!BH34</f>
        <v>0</v>
      </c>
      <c r="BI419" s="65">
        <f>'Special Corporate+ RI+TPS'!BI34</f>
        <v>0</v>
      </c>
      <c r="BJ419" s="65">
        <f>'Special Corporate+ RI+TPS'!BJ34</f>
        <v>0</v>
      </c>
      <c r="BK419" s="65">
        <f>'Special Corporate+ RI+TPS'!BK34</f>
        <v>0</v>
      </c>
      <c r="BL419" s="65">
        <f>'Special Corporate+ RI+TPS'!BL34</f>
        <v>0</v>
      </c>
      <c r="BM419" s="65">
        <f>'Special Corporate+ RI+TPS'!BM34</f>
        <v>0</v>
      </c>
      <c r="BN419" s="65">
        <f>'Special Corporate+ RI+TPS'!BN34</f>
        <v>0</v>
      </c>
      <c r="BO419" s="65">
        <f>'Special Corporate+ RI+TPS'!BO34</f>
        <v>0</v>
      </c>
      <c r="BP419" s="65">
        <f>'Special Corporate+ RI+TPS'!BP34</f>
        <v>0</v>
      </c>
      <c r="BQ419" s="65">
        <f>'Special Corporate+ RI+TPS'!BQ34</f>
        <v>0</v>
      </c>
      <c r="BR419" s="65">
        <f>'Special Corporate+ RI+TPS'!BR34</f>
        <v>0</v>
      </c>
      <c r="BS419" s="65">
        <f>'Special Corporate+ RI+TPS'!BS34</f>
        <v>0</v>
      </c>
      <c r="BT419" s="65">
        <f>'Special Corporate+ RI+TPS'!BT34</f>
        <v>0</v>
      </c>
      <c r="BU419" s="65">
        <f>'Special Corporate+ RI+TPS'!BU34</f>
        <v>0</v>
      </c>
      <c r="BV419" s="65">
        <f>'Special Corporate+ RI+TPS'!BV34</f>
        <v>0</v>
      </c>
      <c r="BW419" s="65">
        <f>'Special Corporate+ RI+TPS'!BW34</f>
        <v>0</v>
      </c>
      <c r="BX419" s="65">
        <f>'Special Corporate+ RI+TPS'!BX34</f>
        <v>0</v>
      </c>
      <c r="BY419" s="65">
        <f>'Special Corporate+ RI+TPS'!BY34</f>
        <v>0</v>
      </c>
      <c r="BZ419" s="65">
        <f>'Special Corporate+ RI+TPS'!BZ34</f>
        <v>0</v>
      </c>
      <c r="CA419" s="65">
        <f>'Special Corporate+ RI+TPS'!CA34</f>
        <v>0</v>
      </c>
      <c r="CB419" s="65">
        <f>'Special Corporate+ RI+TPS'!CB34</f>
        <v>0</v>
      </c>
      <c r="CC419" s="65">
        <f>'Special Corporate+ RI+TPS'!CC34</f>
        <v>0</v>
      </c>
      <c r="CD419" s="65">
        <f>'Special Corporate+ RI+TPS'!CD34</f>
        <v>0</v>
      </c>
      <c r="CE419" s="65">
        <f>'Special Corporate+ RI+TPS'!CE34</f>
        <v>0</v>
      </c>
      <c r="CF419" s="65">
        <f>'Special Corporate+ RI+TPS'!CF34</f>
        <v>0</v>
      </c>
      <c r="CG419" s="65">
        <f>'Special Corporate+ RI+TPS'!CG34</f>
        <v>0</v>
      </c>
      <c r="CH419" s="65">
        <f>'Special Corporate+ RI+TPS'!CH34</f>
        <v>0</v>
      </c>
      <c r="CI419" s="65">
        <f>'Special Corporate+ RI+TPS'!CI34</f>
        <v>0</v>
      </c>
      <c r="CJ419" s="65">
        <f>'Special Corporate+ RI+TPS'!CJ34</f>
        <v>0</v>
      </c>
      <c r="CK419" s="65">
        <f>'Special Corporate+ RI+TPS'!CK34</f>
        <v>0</v>
      </c>
      <c r="CL419" s="65">
        <f>'Special Corporate+ RI+TPS'!CL34</f>
        <v>0</v>
      </c>
      <c r="CM419" s="65">
        <f>'Special Corporate+ RI+TPS'!CM34</f>
        <v>0</v>
      </c>
      <c r="CN419" s="65">
        <f>'Special Corporate+ RI+TPS'!CN34</f>
        <v>0</v>
      </c>
      <c r="CO419" s="65">
        <f>'Special Corporate+ RI+TPS'!CO34</f>
        <v>0</v>
      </c>
      <c r="CP419" s="65">
        <f>'Special Corporate+ RI+TPS'!CP34</f>
        <v>0</v>
      </c>
      <c r="CQ419" s="65">
        <f>'Special Corporate+ RI+TPS'!CQ34</f>
        <v>0</v>
      </c>
      <c r="CR419" s="65">
        <f>'Special Corporate+ RI+TPS'!CR34</f>
        <v>0</v>
      </c>
      <c r="CS419" s="65">
        <f>'Special Corporate+ RI+TPS'!CS34</f>
        <v>0</v>
      </c>
      <c r="CT419" s="65">
        <f>'Special Corporate+ RI+TPS'!CT34</f>
        <v>0</v>
      </c>
      <c r="CU419" s="65">
        <f>'Special Corporate+ RI+TPS'!CU34</f>
        <v>0</v>
      </c>
      <c r="CV419" s="65">
        <f>'Special Corporate+ RI+TPS'!CV34</f>
        <v>0</v>
      </c>
      <c r="CW419" s="65">
        <f>'Special Corporate+ RI+TPS'!CW34</f>
        <v>0</v>
      </c>
      <c r="CX419" s="65">
        <f>'Special Corporate+ RI+TPS'!CX34</f>
        <v>0</v>
      </c>
      <c r="CY419" s="65">
        <f>'Special Corporate+ RI+TPS'!CY34</f>
        <v>0</v>
      </c>
      <c r="CZ419" s="65">
        <f>'Special Corporate+ RI+TPS'!CZ34</f>
        <v>0</v>
      </c>
      <c r="DA419" s="65">
        <f>'Special Corporate+ RI+TPS'!DA34</f>
        <v>0</v>
      </c>
      <c r="DB419" s="65">
        <f>'Special Corporate+ RI+TPS'!DB34</f>
        <v>0</v>
      </c>
      <c r="DC419" s="65">
        <f>'Special Corporate+ RI+TPS'!DC34</f>
        <v>0</v>
      </c>
      <c r="DD419" s="65">
        <f>'Special Corporate+ RI+TPS'!DD34</f>
        <v>0</v>
      </c>
      <c r="DE419" s="65">
        <f>'Special Corporate+ RI+TPS'!DE34</f>
        <v>0</v>
      </c>
      <c r="DF419" s="65">
        <f>'Special Corporate+ RI+TPS'!DF34</f>
        <v>0</v>
      </c>
      <c r="DG419" s="65">
        <f>'Special Corporate+ RI+TPS'!DG34</f>
        <v>0</v>
      </c>
      <c r="DH419" s="65">
        <f>'Special Corporate+ RI+TPS'!DH34</f>
        <v>0</v>
      </c>
      <c r="DI419" s="65">
        <f>'Special Corporate+ RI+TPS'!DI34</f>
        <v>0</v>
      </c>
      <c r="DJ419" s="65">
        <f>'Special Corporate+ RI+TPS'!DJ34</f>
        <v>0</v>
      </c>
      <c r="DK419" s="65">
        <f>'Special Corporate+ RI+TPS'!DK34</f>
        <v>0</v>
      </c>
      <c r="DL419" s="65">
        <f>'Special Corporate+ RI+TPS'!DL34</f>
        <v>0</v>
      </c>
      <c r="DM419" s="65">
        <f>'Special Corporate+ RI+TPS'!DM34</f>
        <v>0</v>
      </c>
      <c r="DN419" s="65">
        <f>'Special Corporate+ RI+TPS'!DN34</f>
        <v>0</v>
      </c>
      <c r="DO419" s="65">
        <f>'Special Corporate+ RI+TPS'!DO34</f>
        <v>0</v>
      </c>
      <c r="DP419" s="65">
        <f>'Special Corporate+ RI+TPS'!DP34</f>
        <v>0</v>
      </c>
      <c r="DQ419" s="65">
        <f>'Special Corporate+ RI+TPS'!DQ34</f>
        <v>0</v>
      </c>
      <c r="DR419" s="65">
        <f>'Special Corporate+ RI+TPS'!DR34</f>
        <v>0</v>
      </c>
      <c r="DS419" s="65">
        <f>'Special Corporate+ RI+TPS'!DS34</f>
        <v>0</v>
      </c>
      <c r="DT419" s="65">
        <f>'Special Corporate+ RI+TPS'!DT34</f>
        <v>0</v>
      </c>
      <c r="DU419" s="65">
        <f>'Special Corporate+ RI+TPS'!DU34</f>
        <v>0</v>
      </c>
      <c r="DV419" s="65">
        <f>'Special Corporate+ RI+TPS'!DV34</f>
        <v>0</v>
      </c>
      <c r="DW419" s="65">
        <f>'Special Corporate+ RI+TPS'!DW34</f>
        <v>0</v>
      </c>
      <c r="DX419" s="65">
        <f>'Special Corporate+ RI+TPS'!DX34</f>
        <v>0</v>
      </c>
      <c r="DY419" s="65">
        <f>'Special Corporate+ RI+TPS'!DY34</f>
        <v>0</v>
      </c>
      <c r="DZ419" s="65">
        <f>'Special Corporate+ RI+TPS'!DZ34</f>
        <v>0</v>
      </c>
      <c r="EA419" s="65">
        <f>'Special Corporate+ RI+TPS'!EA34</f>
        <v>0</v>
      </c>
      <c r="EB419" s="68"/>
    </row>
    <row r="420" spans="1:132" x14ac:dyDescent="0.2">
      <c r="A420" s="152"/>
      <c r="B420" s="65" t="str">
        <f>'Special Corporate+ RI+TPS'!B35</f>
        <v>Rate Seasons / Room pools</v>
      </c>
      <c r="C420" s="65">
        <f>'Special Corporate+ RI+TPS'!C35</f>
        <v>0</v>
      </c>
      <c r="D420" s="65" t="str">
        <f>'Special Corporate+ RI+TPS'!D35</f>
        <v>Season 1 "Default"</v>
      </c>
      <c r="E420" s="65">
        <f>'Special Corporate+ RI+TPS'!E35</f>
        <v>0</v>
      </c>
      <c r="F420" s="65">
        <f>'Special Corporate+ RI+TPS'!F35</f>
        <v>0</v>
      </c>
      <c r="G420" s="65">
        <f>'Special Corporate+ RI+TPS'!G35</f>
        <v>0</v>
      </c>
      <c r="H420" s="65" t="str">
        <f>'Special Corporate+ RI+TPS'!H35</f>
        <v>Alternate Season</v>
      </c>
      <c r="I420" s="65">
        <f>'Special Corporate+ RI+TPS'!I35</f>
        <v>0</v>
      </c>
      <c r="J420" s="65">
        <f>'Special Corporate+ RI+TPS'!J35</f>
        <v>0</v>
      </c>
      <c r="K420" s="65">
        <f>'Special Corporate+ RI+TPS'!K35</f>
        <v>0</v>
      </c>
      <c r="L420" s="65" t="str">
        <f>'Special Corporate+ RI+TPS'!L35</f>
        <v>Season 1 "Default"</v>
      </c>
      <c r="M420" s="65">
        <f>'Special Corporate+ RI+TPS'!M35</f>
        <v>0</v>
      </c>
      <c r="N420" s="65">
        <f>'Special Corporate+ RI+TPS'!N35</f>
        <v>0</v>
      </c>
      <c r="O420" s="65">
        <f>'Special Corporate+ RI+TPS'!O35</f>
        <v>0</v>
      </c>
      <c r="P420" s="65" t="str">
        <f>'Special Corporate+ RI+TPS'!P35</f>
        <v>Alternate Season</v>
      </c>
      <c r="Q420" s="65">
        <f>'Special Corporate+ RI+TPS'!Q35</f>
        <v>0</v>
      </c>
      <c r="R420" s="65">
        <f>'Special Corporate+ RI+TPS'!R35</f>
        <v>0</v>
      </c>
      <c r="S420" s="65">
        <f>'Special Corporate+ RI+TPS'!S35</f>
        <v>0</v>
      </c>
      <c r="T420" s="65" t="str">
        <f>'Special Corporate+ RI+TPS'!T35</f>
        <v>Season 1 "Default"</v>
      </c>
      <c r="U420" s="65">
        <f>'Special Corporate+ RI+TPS'!U35</f>
        <v>0</v>
      </c>
      <c r="V420" s="65">
        <f>'Special Corporate+ RI+TPS'!V35</f>
        <v>0</v>
      </c>
      <c r="W420" s="65">
        <f>'Special Corporate+ RI+TPS'!W35</f>
        <v>0</v>
      </c>
      <c r="X420" s="65" t="str">
        <f>'Special Corporate+ RI+TPS'!X35</f>
        <v>Alternate Season</v>
      </c>
      <c r="Y420" s="65">
        <f>'Special Corporate+ RI+TPS'!Y35</f>
        <v>0</v>
      </c>
      <c r="Z420" s="65">
        <f>'Special Corporate+ RI+TPS'!Z35</f>
        <v>0</v>
      </c>
      <c r="AA420" s="65">
        <f>'Special Corporate+ RI+TPS'!AA35</f>
        <v>0</v>
      </c>
      <c r="AB420" s="65" t="str">
        <f>'Special Corporate+ RI+TPS'!AB35</f>
        <v>Season 1 "Default"</v>
      </c>
      <c r="AC420" s="65">
        <f>'Special Corporate+ RI+TPS'!AC35</f>
        <v>0</v>
      </c>
      <c r="AD420" s="65">
        <f>'Special Corporate+ RI+TPS'!AD35</f>
        <v>0</v>
      </c>
      <c r="AE420" s="65">
        <f>'Special Corporate+ RI+TPS'!AE35</f>
        <v>0</v>
      </c>
      <c r="AF420" s="65" t="str">
        <f>'Special Corporate+ RI+TPS'!AF35</f>
        <v>Alternate Season</v>
      </c>
      <c r="AG420" s="65">
        <f>'Special Corporate+ RI+TPS'!AG35</f>
        <v>0</v>
      </c>
      <c r="AH420" s="65">
        <f>'Special Corporate+ RI+TPS'!AH35</f>
        <v>0</v>
      </c>
      <c r="AI420" s="65">
        <f>'Special Corporate+ RI+TPS'!AI35</f>
        <v>0</v>
      </c>
      <c r="AJ420" s="65" t="str">
        <f>'Special Corporate+ RI+TPS'!AJ35</f>
        <v>Season 1 "Default"</v>
      </c>
      <c r="AK420" s="65">
        <f>'Special Corporate+ RI+TPS'!AK35</f>
        <v>0</v>
      </c>
      <c r="AL420" s="65">
        <f>'Special Corporate+ RI+TPS'!AL35</f>
        <v>0</v>
      </c>
      <c r="AM420" s="65">
        <f>'Special Corporate+ RI+TPS'!AM35</f>
        <v>0</v>
      </c>
      <c r="AN420" s="65" t="str">
        <f>'Special Corporate+ RI+TPS'!AN35</f>
        <v>Alternate Season</v>
      </c>
      <c r="AO420" s="65">
        <f>'Special Corporate+ RI+TPS'!AO35</f>
        <v>0</v>
      </c>
      <c r="AP420" s="65">
        <f>'Special Corporate+ RI+TPS'!AP35</f>
        <v>0</v>
      </c>
      <c r="AQ420" s="65">
        <f>'Special Corporate+ RI+TPS'!AQ35</f>
        <v>0</v>
      </c>
      <c r="AR420" s="65" t="str">
        <f>'Special Corporate+ RI+TPS'!AR35</f>
        <v>Season 1 "Default"</v>
      </c>
      <c r="AS420" s="65">
        <f>'Special Corporate+ RI+TPS'!AS35</f>
        <v>0</v>
      </c>
      <c r="AT420" s="65">
        <f>'Special Corporate+ RI+TPS'!AT35</f>
        <v>0</v>
      </c>
      <c r="AU420" s="65">
        <f>'Special Corporate+ RI+TPS'!AU35</f>
        <v>0</v>
      </c>
      <c r="AV420" s="65" t="str">
        <f>'Special Corporate+ RI+TPS'!AV35</f>
        <v>Alternate Season</v>
      </c>
      <c r="AW420" s="65">
        <f>'Special Corporate+ RI+TPS'!AW35</f>
        <v>0</v>
      </c>
      <c r="AX420" s="65">
        <f>'Special Corporate+ RI+TPS'!AX35</f>
        <v>0</v>
      </c>
      <c r="AY420" s="65">
        <f>'Special Corporate+ RI+TPS'!AY35</f>
        <v>0</v>
      </c>
      <c r="AZ420" s="65" t="str">
        <f>'Special Corporate+ RI+TPS'!AZ35</f>
        <v>Season 1 "Default"</v>
      </c>
      <c r="BA420" s="65">
        <f>'Special Corporate+ RI+TPS'!BA35</f>
        <v>0</v>
      </c>
      <c r="BB420" s="65">
        <f>'Special Corporate+ RI+TPS'!BB35</f>
        <v>0</v>
      </c>
      <c r="BC420" s="65">
        <f>'Special Corporate+ RI+TPS'!BC35</f>
        <v>0</v>
      </c>
      <c r="BD420" s="65" t="str">
        <f>'Special Corporate+ RI+TPS'!BD35</f>
        <v>Alternate Season</v>
      </c>
      <c r="BE420" s="65">
        <f>'Special Corporate+ RI+TPS'!BE35</f>
        <v>0</v>
      </c>
      <c r="BF420" s="65">
        <f>'Special Corporate+ RI+TPS'!BF35</f>
        <v>0</v>
      </c>
      <c r="BG420" s="65">
        <f>'Special Corporate+ RI+TPS'!BG35</f>
        <v>0</v>
      </c>
      <c r="BH420" s="65" t="str">
        <f>'Special Corporate+ RI+TPS'!BH35</f>
        <v>Season 1 "Default"</v>
      </c>
      <c r="BI420" s="65">
        <f>'Special Corporate+ RI+TPS'!BI35</f>
        <v>0</v>
      </c>
      <c r="BJ420" s="65">
        <f>'Special Corporate+ RI+TPS'!BJ35</f>
        <v>0</v>
      </c>
      <c r="BK420" s="65">
        <f>'Special Corporate+ RI+TPS'!BK35</f>
        <v>0</v>
      </c>
      <c r="BL420" s="65" t="str">
        <f>'Special Corporate+ RI+TPS'!BL35</f>
        <v>Alternate Season</v>
      </c>
      <c r="BM420" s="65">
        <f>'Special Corporate+ RI+TPS'!BM35</f>
        <v>0</v>
      </c>
      <c r="BN420" s="65">
        <f>'Special Corporate+ RI+TPS'!BN35</f>
        <v>0</v>
      </c>
      <c r="BO420" s="65">
        <f>'Special Corporate+ RI+TPS'!BO35</f>
        <v>0</v>
      </c>
      <c r="BP420" s="65" t="str">
        <f>'Special Corporate+ RI+TPS'!BP35</f>
        <v>Season 1 "Default"</v>
      </c>
      <c r="BQ420" s="65">
        <f>'Special Corporate+ RI+TPS'!BQ35</f>
        <v>0</v>
      </c>
      <c r="BR420" s="65">
        <f>'Special Corporate+ RI+TPS'!BR35</f>
        <v>0</v>
      </c>
      <c r="BS420" s="65">
        <f>'Special Corporate+ RI+TPS'!BS35</f>
        <v>0</v>
      </c>
      <c r="BT420" s="65" t="str">
        <f>'Special Corporate+ RI+TPS'!BT35</f>
        <v>Alternate Season</v>
      </c>
      <c r="BU420" s="65">
        <f>'Special Corporate+ RI+TPS'!BU35</f>
        <v>0</v>
      </c>
      <c r="BV420" s="65">
        <f>'Special Corporate+ RI+TPS'!BV35</f>
        <v>0</v>
      </c>
      <c r="BW420" s="65">
        <f>'Special Corporate+ RI+TPS'!BW35</f>
        <v>0</v>
      </c>
      <c r="BX420" s="65" t="str">
        <f>'Special Corporate+ RI+TPS'!BX35</f>
        <v>Season 1 "Default"</v>
      </c>
      <c r="BY420" s="65">
        <f>'Special Corporate+ RI+TPS'!BY35</f>
        <v>0</v>
      </c>
      <c r="BZ420" s="65">
        <f>'Special Corporate+ RI+TPS'!BZ35</f>
        <v>0</v>
      </c>
      <c r="CA420" s="65">
        <f>'Special Corporate+ RI+TPS'!CA35</f>
        <v>0</v>
      </c>
      <c r="CB420" s="65" t="str">
        <f>'Special Corporate+ RI+TPS'!CB35</f>
        <v>Alternate Season</v>
      </c>
      <c r="CC420" s="65">
        <f>'Special Corporate+ RI+TPS'!CC35</f>
        <v>0</v>
      </c>
      <c r="CD420" s="65">
        <f>'Special Corporate+ RI+TPS'!CD35</f>
        <v>0</v>
      </c>
      <c r="CE420" s="65">
        <f>'Special Corporate+ RI+TPS'!CE35</f>
        <v>0</v>
      </c>
      <c r="CF420" s="65" t="str">
        <f>'Special Corporate+ RI+TPS'!CF35</f>
        <v>Season 1 "Default"</v>
      </c>
      <c r="CG420" s="65">
        <f>'Special Corporate+ RI+TPS'!CG35</f>
        <v>0</v>
      </c>
      <c r="CH420" s="65">
        <f>'Special Corporate+ RI+TPS'!CH35</f>
        <v>0</v>
      </c>
      <c r="CI420" s="65">
        <f>'Special Corporate+ RI+TPS'!CI35</f>
        <v>0</v>
      </c>
      <c r="CJ420" s="65" t="str">
        <f>'Special Corporate+ RI+TPS'!CJ35</f>
        <v>Alternate Season</v>
      </c>
      <c r="CK420" s="65">
        <f>'Special Corporate+ RI+TPS'!CK35</f>
        <v>0</v>
      </c>
      <c r="CL420" s="65">
        <f>'Special Corporate+ RI+TPS'!CL35</f>
        <v>0</v>
      </c>
      <c r="CM420" s="65">
        <f>'Special Corporate+ RI+TPS'!CM35</f>
        <v>0</v>
      </c>
      <c r="CN420" s="65" t="str">
        <f>'Special Corporate+ RI+TPS'!CN35</f>
        <v>Season 1 "Default"</v>
      </c>
      <c r="CO420" s="65">
        <f>'Special Corporate+ RI+TPS'!CO35</f>
        <v>0</v>
      </c>
      <c r="CP420" s="65">
        <f>'Special Corporate+ RI+TPS'!CP35</f>
        <v>0</v>
      </c>
      <c r="CQ420" s="65">
        <f>'Special Corporate+ RI+TPS'!CQ35</f>
        <v>0</v>
      </c>
      <c r="CR420" s="65" t="str">
        <f>'Special Corporate+ RI+TPS'!CR35</f>
        <v>Alternate Season</v>
      </c>
      <c r="CS420" s="65">
        <f>'Special Corporate+ RI+TPS'!CS35</f>
        <v>0</v>
      </c>
      <c r="CT420" s="65">
        <f>'Special Corporate+ RI+TPS'!CT35</f>
        <v>0</v>
      </c>
      <c r="CU420" s="65">
        <f>'Special Corporate+ RI+TPS'!CU35</f>
        <v>0</v>
      </c>
      <c r="CV420" s="65" t="str">
        <f>'Special Corporate+ RI+TPS'!CV35</f>
        <v>Season 1 "Default"</v>
      </c>
      <c r="CW420" s="65">
        <f>'Special Corporate+ RI+TPS'!CW35</f>
        <v>0</v>
      </c>
      <c r="CX420" s="65">
        <f>'Special Corporate+ RI+TPS'!CX35</f>
        <v>0</v>
      </c>
      <c r="CY420" s="65">
        <f>'Special Corporate+ RI+TPS'!CY35</f>
        <v>0</v>
      </c>
      <c r="CZ420" s="65" t="str">
        <f>'Special Corporate+ RI+TPS'!CZ35</f>
        <v>Alternate Season</v>
      </c>
      <c r="DA420" s="65">
        <f>'Special Corporate+ RI+TPS'!DA35</f>
        <v>0</v>
      </c>
      <c r="DB420" s="65">
        <f>'Special Corporate+ RI+TPS'!DB35</f>
        <v>0</v>
      </c>
      <c r="DC420" s="65">
        <f>'Special Corporate+ RI+TPS'!DC35</f>
        <v>0</v>
      </c>
      <c r="DD420" s="65" t="str">
        <f>'Special Corporate+ RI+TPS'!DD35</f>
        <v>Season 1 "Default"</v>
      </c>
      <c r="DE420" s="65">
        <f>'Special Corporate+ RI+TPS'!DE35</f>
        <v>0</v>
      </c>
      <c r="DF420" s="65">
        <f>'Special Corporate+ RI+TPS'!DF35</f>
        <v>0</v>
      </c>
      <c r="DG420" s="65">
        <f>'Special Corporate+ RI+TPS'!DG35</f>
        <v>0</v>
      </c>
      <c r="DH420" s="65" t="str">
        <f>'Special Corporate+ RI+TPS'!DH35</f>
        <v>Alternate Season</v>
      </c>
      <c r="DI420" s="65">
        <f>'Special Corporate+ RI+TPS'!DI35</f>
        <v>0</v>
      </c>
      <c r="DJ420" s="65">
        <f>'Special Corporate+ RI+TPS'!DJ35</f>
        <v>0</v>
      </c>
      <c r="DK420" s="65">
        <f>'Special Corporate+ RI+TPS'!DK35</f>
        <v>0</v>
      </c>
      <c r="DL420" s="65" t="str">
        <f>'Special Corporate+ RI+TPS'!DL35</f>
        <v>Season 1 "Default"</v>
      </c>
      <c r="DM420" s="65">
        <f>'Special Corporate+ RI+TPS'!DM35</f>
        <v>0</v>
      </c>
      <c r="DN420" s="65">
        <f>'Special Corporate+ RI+TPS'!DN35</f>
        <v>0</v>
      </c>
      <c r="DO420" s="65">
        <f>'Special Corporate+ RI+TPS'!DO35</f>
        <v>0</v>
      </c>
      <c r="DP420" s="65" t="str">
        <f>'Special Corporate+ RI+TPS'!DP35</f>
        <v>Alternate Season</v>
      </c>
      <c r="DQ420" s="65">
        <f>'Special Corporate+ RI+TPS'!DQ35</f>
        <v>0</v>
      </c>
      <c r="DR420" s="65">
        <f>'Special Corporate+ RI+TPS'!DR35</f>
        <v>0</v>
      </c>
      <c r="DS420" s="65">
        <f>'Special Corporate+ RI+TPS'!DS35</f>
        <v>0</v>
      </c>
      <c r="DT420" s="65" t="str">
        <f>'Special Corporate+ RI+TPS'!DT35</f>
        <v>Season 1 "Default"</v>
      </c>
      <c r="DU420" s="65">
        <f>'Special Corporate+ RI+TPS'!DU35</f>
        <v>0</v>
      </c>
      <c r="DV420" s="65">
        <f>'Special Corporate+ RI+TPS'!DV35</f>
        <v>0</v>
      </c>
      <c r="DW420" s="65">
        <f>'Special Corporate+ RI+TPS'!DW35</f>
        <v>0</v>
      </c>
      <c r="DX420" s="65" t="str">
        <f>'Special Corporate+ RI+TPS'!DX35</f>
        <v>Alternate Season</v>
      </c>
      <c r="DY420" s="65">
        <f>'Special Corporate+ RI+TPS'!DY35</f>
        <v>0</v>
      </c>
      <c r="DZ420" s="65">
        <f>'Special Corporate+ RI+TPS'!DZ35</f>
        <v>0</v>
      </c>
      <c r="EA420" s="65">
        <f>'Special Corporate+ RI+TPS'!EA35</f>
        <v>0</v>
      </c>
      <c r="EB420" s="68"/>
    </row>
    <row r="421" spans="1:132" x14ac:dyDescent="0.2">
      <c r="A421" s="152"/>
      <c r="B421" s="65">
        <f>'Special Corporate+ RI+TPS'!B36</f>
        <v>0</v>
      </c>
      <c r="C421" s="65">
        <f>'Special Corporate+ RI+TPS'!C36</f>
        <v>0</v>
      </c>
      <c r="D421" s="65" t="str">
        <f>'Special Corporate+ RI+TPS'!D36</f>
        <v>Tier 1</v>
      </c>
      <c r="E421" s="65" t="str">
        <f>'Special Corporate+ RI+TPS'!E36</f>
        <v>Tier 2</v>
      </c>
      <c r="F421" s="65" t="str">
        <f>'Special Corporate+ RI+TPS'!F36</f>
        <v>Tier 3</v>
      </c>
      <c r="G421" s="65" t="str">
        <f>'Special Corporate+ RI+TPS'!G36</f>
        <v>Tier 4</v>
      </c>
      <c r="H421" s="65" t="str">
        <f>'Special Corporate+ RI+TPS'!H36</f>
        <v>Tier 1</v>
      </c>
      <c r="I421" s="65" t="str">
        <f>'Special Corporate+ RI+TPS'!I36</f>
        <v>Tier 2</v>
      </c>
      <c r="J421" s="65" t="str">
        <f>'Special Corporate+ RI+TPS'!J36</f>
        <v>Tier 3</v>
      </c>
      <c r="K421" s="65" t="str">
        <f>'Special Corporate+ RI+TPS'!K36</f>
        <v>Tier 4</v>
      </c>
      <c r="L421" s="65" t="str">
        <f>'Special Corporate+ RI+TPS'!L36</f>
        <v>Tier 1</v>
      </c>
      <c r="M421" s="65" t="str">
        <f>'Special Corporate+ RI+TPS'!M36</f>
        <v>Tier 2</v>
      </c>
      <c r="N421" s="65" t="str">
        <f>'Special Corporate+ RI+TPS'!N36</f>
        <v>Tier 3</v>
      </c>
      <c r="O421" s="65" t="str">
        <f>'Special Corporate+ RI+TPS'!O36</f>
        <v>Tier 4</v>
      </c>
      <c r="P421" s="65" t="str">
        <f>'Special Corporate+ RI+TPS'!P36</f>
        <v>Tier 1</v>
      </c>
      <c r="Q421" s="65" t="str">
        <f>'Special Corporate+ RI+TPS'!Q36</f>
        <v>Tier 2</v>
      </c>
      <c r="R421" s="65" t="str">
        <f>'Special Corporate+ RI+TPS'!R36</f>
        <v>Tier 3</v>
      </c>
      <c r="S421" s="65" t="str">
        <f>'Special Corporate+ RI+TPS'!S36</f>
        <v>Tier 4</v>
      </c>
      <c r="T421" s="65" t="str">
        <f>'Special Corporate+ RI+TPS'!T36</f>
        <v>Tier 1</v>
      </c>
      <c r="U421" s="65" t="str">
        <f>'Special Corporate+ RI+TPS'!U36</f>
        <v>Tier 2</v>
      </c>
      <c r="V421" s="65" t="str">
        <f>'Special Corporate+ RI+TPS'!V36</f>
        <v>Tier 3</v>
      </c>
      <c r="W421" s="65" t="str">
        <f>'Special Corporate+ RI+TPS'!W36</f>
        <v>Tier 4</v>
      </c>
      <c r="X421" s="65" t="str">
        <f>'Special Corporate+ RI+TPS'!X36</f>
        <v>Tier 1</v>
      </c>
      <c r="Y421" s="65" t="str">
        <f>'Special Corporate+ RI+TPS'!Y36</f>
        <v>Tier 2</v>
      </c>
      <c r="Z421" s="65" t="str">
        <f>'Special Corporate+ RI+TPS'!Z36</f>
        <v>Tier 3</v>
      </c>
      <c r="AA421" s="65" t="str">
        <f>'Special Corporate+ RI+TPS'!AA36</f>
        <v>Tier 4</v>
      </c>
      <c r="AB421" s="65" t="str">
        <f>'Special Corporate+ RI+TPS'!AB36</f>
        <v>Tier 1</v>
      </c>
      <c r="AC421" s="65" t="str">
        <f>'Special Corporate+ RI+TPS'!AC36</f>
        <v>Tier 2</v>
      </c>
      <c r="AD421" s="65" t="str">
        <f>'Special Corporate+ RI+TPS'!AD36</f>
        <v>Tier 3</v>
      </c>
      <c r="AE421" s="65" t="str">
        <f>'Special Corporate+ RI+TPS'!AE36</f>
        <v>Tier 4</v>
      </c>
      <c r="AF421" s="65" t="str">
        <f>'Special Corporate+ RI+TPS'!AF36</f>
        <v>Tier 1</v>
      </c>
      <c r="AG421" s="65" t="str">
        <f>'Special Corporate+ RI+TPS'!AG36</f>
        <v>Tier 2</v>
      </c>
      <c r="AH421" s="65" t="str">
        <f>'Special Corporate+ RI+TPS'!AH36</f>
        <v>Tier 3</v>
      </c>
      <c r="AI421" s="65" t="str">
        <f>'Special Corporate+ RI+TPS'!AI36</f>
        <v>Tier 4</v>
      </c>
      <c r="AJ421" s="65" t="str">
        <f>'Special Corporate+ RI+TPS'!AJ36</f>
        <v>Tier 1</v>
      </c>
      <c r="AK421" s="65" t="str">
        <f>'Special Corporate+ RI+TPS'!AK36</f>
        <v>Tier 2</v>
      </c>
      <c r="AL421" s="65" t="str">
        <f>'Special Corporate+ RI+TPS'!AL36</f>
        <v>Tier 3</v>
      </c>
      <c r="AM421" s="65" t="str">
        <f>'Special Corporate+ RI+TPS'!AM36</f>
        <v>Tier 4</v>
      </c>
      <c r="AN421" s="65" t="str">
        <f>'Special Corporate+ RI+TPS'!AN36</f>
        <v>Tier 1</v>
      </c>
      <c r="AO421" s="65" t="str">
        <f>'Special Corporate+ RI+TPS'!AO36</f>
        <v>Tier 2</v>
      </c>
      <c r="AP421" s="65" t="str">
        <f>'Special Corporate+ RI+TPS'!AP36</f>
        <v>Tier 3</v>
      </c>
      <c r="AQ421" s="65" t="str">
        <f>'Special Corporate+ RI+TPS'!AQ36</f>
        <v>Tier 4</v>
      </c>
      <c r="AR421" s="65" t="str">
        <f>'Special Corporate+ RI+TPS'!AR36</f>
        <v>Tier 1</v>
      </c>
      <c r="AS421" s="65" t="str">
        <f>'Special Corporate+ RI+TPS'!AS36</f>
        <v>Tier 2</v>
      </c>
      <c r="AT421" s="65" t="str">
        <f>'Special Corporate+ RI+TPS'!AT36</f>
        <v>Tier 3</v>
      </c>
      <c r="AU421" s="65" t="str">
        <f>'Special Corporate+ RI+TPS'!AU36</f>
        <v>Tier 4</v>
      </c>
      <c r="AV421" s="65" t="str">
        <f>'Special Corporate+ RI+TPS'!AV36</f>
        <v>Tier 1</v>
      </c>
      <c r="AW421" s="65" t="str">
        <f>'Special Corporate+ RI+TPS'!AW36</f>
        <v>Tier 2</v>
      </c>
      <c r="AX421" s="65" t="str">
        <f>'Special Corporate+ RI+TPS'!AX36</f>
        <v>Tier 3</v>
      </c>
      <c r="AY421" s="65" t="str">
        <f>'Special Corporate+ RI+TPS'!AY36</f>
        <v>Tier 4</v>
      </c>
      <c r="AZ421" s="65" t="str">
        <f>'Special Corporate+ RI+TPS'!AZ36</f>
        <v>Tier 1</v>
      </c>
      <c r="BA421" s="65" t="str">
        <f>'Special Corporate+ RI+TPS'!BA36</f>
        <v>Tier 2</v>
      </c>
      <c r="BB421" s="65" t="str">
        <f>'Special Corporate+ RI+TPS'!BB36</f>
        <v>Tier 3</v>
      </c>
      <c r="BC421" s="65" t="str">
        <f>'Special Corporate+ RI+TPS'!BC36</f>
        <v>Tier 4</v>
      </c>
      <c r="BD421" s="65" t="str">
        <f>'Special Corporate+ RI+TPS'!BD36</f>
        <v>Tier 1</v>
      </c>
      <c r="BE421" s="65" t="str">
        <f>'Special Corporate+ RI+TPS'!BE36</f>
        <v>Tier 2</v>
      </c>
      <c r="BF421" s="65" t="str">
        <f>'Special Corporate+ RI+TPS'!BF36</f>
        <v>Tier 3</v>
      </c>
      <c r="BG421" s="65" t="str">
        <f>'Special Corporate+ RI+TPS'!BG36</f>
        <v>Tier 4</v>
      </c>
      <c r="BH421" s="65" t="str">
        <f>'Special Corporate+ RI+TPS'!BH36</f>
        <v>Tier 1</v>
      </c>
      <c r="BI421" s="65" t="str">
        <f>'Special Corporate+ RI+TPS'!BI36</f>
        <v>Tier 2</v>
      </c>
      <c r="BJ421" s="65" t="str">
        <f>'Special Corporate+ RI+TPS'!BJ36</f>
        <v>Tier 3</v>
      </c>
      <c r="BK421" s="65" t="str">
        <f>'Special Corporate+ RI+TPS'!BK36</f>
        <v>Tier 4</v>
      </c>
      <c r="BL421" s="65" t="str">
        <f>'Special Corporate+ RI+TPS'!BL36</f>
        <v>Tier 1</v>
      </c>
      <c r="BM421" s="65" t="str">
        <f>'Special Corporate+ RI+TPS'!BM36</f>
        <v>Tier 2</v>
      </c>
      <c r="BN421" s="65" t="str">
        <f>'Special Corporate+ RI+TPS'!BN36</f>
        <v>Tier 3</v>
      </c>
      <c r="BO421" s="65" t="str">
        <f>'Special Corporate+ RI+TPS'!BO36</f>
        <v>Tier 4</v>
      </c>
      <c r="BP421" s="65" t="str">
        <f>'Special Corporate+ RI+TPS'!BP36</f>
        <v>Tier 1</v>
      </c>
      <c r="BQ421" s="65" t="str">
        <f>'Special Corporate+ RI+TPS'!BQ36</f>
        <v>Tier 2</v>
      </c>
      <c r="BR421" s="65" t="str">
        <f>'Special Corporate+ RI+TPS'!BR36</f>
        <v>Tier 3</v>
      </c>
      <c r="BS421" s="65" t="str">
        <f>'Special Corporate+ RI+TPS'!BS36</f>
        <v>Tier 4</v>
      </c>
      <c r="BT421" s="65" t="str">
        <f>'Special Corporate+ RI+TPS'!BT36</f>
        <v>Tier 1</v>
      </c>
      <c r="BU421" s="65" t="str">
        <f>'Special Corporate+ RI+TPS'!BU36</f>
        <v>Tier 2</v>
      </c>
      <c r="BV421" s="65" t="str">
        <f>'Special Corporate+ RI+TPS'!BV36</f>
        <v>Tier 3</v>
      </c>
      <c r="BW421" s="65" t="str">
        <f>'Special Corporate+ RI+TPS'!BW36</f>
        <v>Tier 4</v>
      </c>
      <c r="BX421" s="65" t="str">
        <f>'Special Corporate+ RI+TPS'!BX36</f>
        <v>Tier 1</v>
      </c>
      <c r="BY421" s="65" t="str">
        <f>'Special Corporate+ RI+TPS'!BY36</f>
        <v>Tier 2</v>
      </c>
      <c r="BZ421" s="65" t="str">
        <f>'Special Corporate+ RI+TPS'!BZ36</f>
        <v>Tier 3</v>
      </c>
      <c r="CA421" s="65" t="str">
        <f>'Special Corporate+ RI+TPS'!CA36</f>
        <v>Tier 4</v>
      </c>
      <c r="CB421" s="65" t="str">
        <f>'Special Corporate+ RI+TPS'!CB36</f>
        <v>Tier 1</v>
      </c>
      <c r="CC421" s="65" t="str">
        <f>'Special Corporate+ RI+TPS'!CC36</f>
        <v>Tier 2</v>
      </c>
      <c r="CD421" s="65" t="str">
        <f>'Special Corporate+ RI+TPS'!CD36</f>
        <v>Tier 3</v>
      </c>
      <c r="CE421" s="65" t="str">
        <f>'Special Corporate+ RI+TPS'!CE36</f>
        <v>Tier 4</v>
      </c>
      <c r="CF421" s="65" t="str">
        <f>'Special Corporate+ RI+TPS'!CF36</f>
        <v>Tier 1</v>
      </c>
      <c r="CG421" s="65" t="str">
        <f>'Special Corporate+ RI+TPS'!CG36</f>
        <v>Tier 2</v>
      </c>
      <c r="CH421" s="65" t="str">
        <f>'Special Corporate+ RI+TPS'!CH36</f>
        <v>Tier 3</v>
      </c>
      <c r="CI421" s="65" t="str">
        <f>'Special Corporate+ RI+TPS'!CI36</f>
        <v>Tier 4</v>
      </c>
      <c r="CJ421" s="65" t="str">
        <f>'Special Corporate+ RI+TPS'!CJ36</f>
        <v>Tier 1</v>
      </c>
      <c r="CK421" s="65" t="str">
        <f>'Special Corporate+ RI+TPS'!CK36</f>
        <v>Tier 2</v>
      </c>
      <c r="CL421" s="65" t="str">
        <f>'Special Corporate+ RI+TPS'!CL36</f>
        <v>Tier 3</v>
      </c>
      <c r="CM421" s="65" t="str">
        <f>'Special Corporate+ RI+TPS'!CM36</f>
        <v>Tier 4</v>
      </c>
      <c r="CN421" s="65" t="str">
        <f>'Special Corporate+ RI+TPS'!CN36</f>
        <v>Tier 1</v>
      </c>
      <c r="CO421" s="65" t="str">
        <f>'Special Corporate+ RI+TPS'!CO36</f>
        <v>Tier 2</v>
      </c>
      <c r="CP421" s="65" t="str">
        <f>'Special Corporate+ RI+TPS'!CP36</f>
        <v>Tier 3</v>
      </c>
      <c r="CQ421" s="65" t="str">
        <f>'Special Corporate+ RI+TPS'!CQ36</f>
        <v>Tier 4</v>
      </c>
      <c r="CR421" s="65" t="str">
        <f>'Special Corporate+ RI+TPS'!CR36</f>
        <v>Tier 1</v>
      </c>
      <c r="CS421" s="65" t="str">
        <f>'Special Corporate+ RI+TPS'!CS36</f>
        <v>Tier 2</v>
      </c>
      <c r="CT421" s="65" t="str">
        <f>'Special Corporate+ RI+TPS'!CT36</f>
        <v>Tier 3</v>
      </c>
      <c r="CU421" s="65" t="str">
        <f>'Special Corporate+ RI+TPS'!CU36</f>
        <v>Tier 4</v>
      </c>
      <c r="CV421" s="65" t="str">
        <f>'Special Corporate+ RI+TPS'!CV36</f>
        <v>Tier 1</v>
      </c>
      <c r="CW421" s="65" t="str">
        <f>'Special Corporate+ RI+TPS'!CW36</f>
        <v>Tier 2</v>
      </c>
      <c r="CX421" s="65" t="str">
        <f>'Special Corporate+ RI+TPS'!CX36</f>
        <v>Tier 3</v>
      </c>
      <c r="CY421" s="65" t="str">
        <f>'Special Corporate+ RI+TPS'!CY36</f>
        <v>Tier 4</v>
      </c>
      <c r="CZ421" s="65" t="str">
        <f>'Special Corporate+ RI+TPS'!CZ36</f>
        <v>Tier 1</v>
      </c>
      <c r="DA421" s="65" t="str">
        <f>'Special Corporate+ RI+TPS'!DA36</f>
        <v>Tier 2</v>
      </c>
      <c r="DB421" s="65" t="str">
        <f>'Special Corporate+ RI+TPS'!DB36</f>
        <v>Tier 3</v>
      </c>
      <c r="DC421" s="65" t="str">
        <f>'Special Corporate+ RI+TPS'!DC36</f>
        <v>Tier 4</v>
      </c>
      <c r="DD421" s="65" t="str">
        <f>'Special Corporate+ RI+TPS'!DD36</f>
        <v>Tier 1</v>
      </c>
      <c r="DE421" s="65" t="str">
        <f>'Special Corporate+ RI+TPS'!DE36</f>
        <v>Tier 2</v>
      </c>
      <c r="DF421" s="65" t="str">
        <f>'Special Corporate+ RI+TPS'!DF36</f>
        <v>Tier 3</v>
      </c>
      <c r="DG421" s="65" t="str">
        <f>'Special Corporate+ RI+TPS'!DG36</f>
        <v>Tier 4</v>
      </c>
      <c r="DH421" s="65" t="str">
        <f>'Special Corporate+ RI+TPS'!DH36</f>
        <v>Tier 1</v>
      </c>
      <c r="DI421" s="65" t="str">
        <f>'Special Corporate+ RI+TPS'!DI36</f>
        <v>Tier 2</v>
      </c>
      <c r="DJ421" s="65" t="str">
        <f>'Special Corporate+ RI+TPS'!DJ36</f>
        <v>Tier 3</v>
      </c>
      <c r="DK421" s="65" t="str">
        <f>'Special Corporate+ RI+TPS'!DK36</f>
        <v>Tier 4</v>
      </c>
      <c r="DL421" s="65" t="str">
        <f>'Special Corporate+ RI+TPS'!DL36</f>
        <v>Tier 1</v>
      </c>
      <c r="DM421" s="65" t="str">
        <f>'Special Corporate+ RI+TPS'!DM36</f>
        <v>Tier 2</v>
      </c>
      <c r="DN421" s="65" t="str">
        <f>'Special Corporate+ RI+TPS'!DN36</f>
        <v>Tier 3</v>
      </c>
      <c r="DO421" s="65" t="str">
        <f>'Special Corporate+ RI+TPS'!DO36</f>
        <v>Tier 4</v>
      </c>
      <c r="DP421" s="65" t="str">
        <f>'Special Corporate+ RI+TPS'!DP36</f>
        <v>Tier 1</v>
      </c>
      <c r="DQ421" s="65" t="str">
        <f>'Special Corporate+ RI+TPS'!DQ36</f>
        <v>Tier 2</v>
      </c>
      <c r="DR421" s="65" t="str">
        <f>'Special Corporate+ RI+TPS'!DR36</f>
        <v>Tier 3</v>
      </c>
      <c r="DS421" s="65" t="str">
        <f>'Special Corporate+ RI+TPS'!DS36</f>
        <v>Tier 4</v>
      </c>
      <c r="DT421" s="65" t="str">
        <f>'Special Corporate+ RI+TPS'!DT36</f>
        <v>Tier 1</v>
      </c>
      <c r="DU421" s="65" t="str">
        <f>'Special Corporate+ RI+TPS'!DU36</f>
        <v>Tier 2</v>
      </c>
      <c r="DV421" s="65" t="str">
        <f>'Special Corporate+ RI+TPS'!DV36</f>
        <v>Tier 3</v>
      </c>
      <c r="DW421" s="65" t="str">
        <f>'Special Corporate+ RI+TPS'!DW36</f>
        <v>Tier 4</v>
      </c>
      <c r="DX421" s="65" t="str">
        <f>'Special Corporate+ RI+TPS'!DX36</f>
        <v>Tier 1</v>
      </c>
      <c r="DY421" s="65" t="str">
        <f>'Special Corporate+ RI+TPS'!DY36</f>
        <v>Tier 2</v>
      </c>
      <c r="DZ421" s="65" t="str">
        <f>'Special Corporate+ RI+TPS'!DZ36</f>
        <v>Tier 3</v>
      </c>
      <c r="EA421" s="65" t="str">
        <f>'Special Corporate+ RI+TPS'!EA36</f>
        <v>Tier 4</v>
      </c>
      <c r="EB421" s="68"/>
    </row>
    <row r="422" spans="1:132" x14ac:dyDescent="0.2">
      <c r="A422" s="152"/>
      <c r="B422" s="65" t="str">
        <f>'Special Corporate+ RI+TPS'!B37</f>
        <v>KING</v>
      </c>
      <c r="C422" s="65">
        <f>'Special Corporate+ RI+TPS'!C37</f>
        <v>0</v>
      </c>
      <c r="D422" s="65">
        <f>'Special Corporate+ RI+TPS'!D37</f>
        <v>0</v>
      </c>
      <c r="E422" s="65">
        <f>'Special Corporate+ RI+TPS'!E37</f>
        <v>0</v>
      </c>
      <c r="F422" s="65">
        <f>'Special Corporate+ RI+TPS'!F37</f>
        <v>0</v>
      </c>
      <c r="G422" s="65">
        <f>'Special Corporate+ RI+TPS'!G37</f>
        <v>0</v>
      </c>
      <c r="H422" s="65">
        <f>'Special Corporate+ RI+TPS'!H37</f>
        <v>0</v>
      </c>
      <c r="I422" s="65">
        <f>'Special Corporate+ RI+TPS'!I37</f>
        <v>0</v>
      </c>
      <c r="J422" s="65">
        <f>'Special Corporate+ RI+TPS'!J37</f>
        <v>0</v>
      </c>
      <c r="K422" s="65">
        <f>'Special Corporate+ RI+TPS'!K37</f>
        <v>0</v>
      </c>
      <c r="L422" s="65">
        <f>'Special Corporate+ RI+TPS'!L37</f>
        <v>0</v>
      </c>
      <c r="M422" s="65">
        <f>'Special Corporate+ RI+TPS'!M37</f>
        <v>0</v>
      </c>
      <c r="N422" s="65">
        <f>'Special Corporate+ RI+TPS'!N37</f>
        <v>0</v>
      </c>
      <c r="O422" s="65">
        <f>'Special Corporate+ RI+TPS'!O37</f>
        <v>0</v>
      </c>
      <c r="P422" s="65">
        <f>'Special Corporate+ RI+TPS'!P37</f>
        <v>0</v>
      </c>
      <c r="Q422" s="65">
        <f>'Special Corporate+ RI+TPS'!Q37</f>
        <v>0</v>
      </c>
      <c r="R422" s="65">
        <f>'Special Corporate+ RI+TPS'!R37</f>
        <v>0</v>
      </c>
      <c r="S422" s="65">
        <f>'Special Corporate+ RI+TPS'!S37</f>
        <v>0</v>
      </c>
      <c r="T422" s="65">
        <f>'Special Corporate+ RI+TPS'!T37</f>
        <v>0</v>
      </c>
      <c r="U422" s="65">
        <f>'Special Corporate+ RI+TPS'!U37</f>
        <v>0</v>
      </c>
      <c r="V422" s="65">
        <f>'Special Corporate+ RI+TPS'!V37</f>
        <v>0</v>
      </c>
      <c r="W422" s="65">
        <f>'Special Corporate+ RI+TPS'!W37</f>
        <v>0</v>
      </c>
      <c r="X422" s="65">
        <f>'Special Corporate+ RI+TPS'!X37</f>
        <v>0</v>
      </c>
      <c r="Y422" s="65">
        <f>'Special Corporate+ RI+TPS'!Y37</f>
        <v>0</v>
      </c>
      <c r="Z422" s="65">
        <f>'Special Corporate+ RI+TPS'!Z37</f>
        <v>0</v>
      </c>
      <c r="AA422" s="65">
        <f>'Special Corporate+ RI+TPS'!AA37</f>
        <v>0</v>
      </c>
      <c r="AB422" s="65">
        <f>'Special Corporate+ RI+TPS'!AB37</f>
        <v>0</v>
      </c>
      <c r="AC422" s="65">
        <f>'Special Corporate+ RI+TPS'!AC37</f>
        <v>0</v>
      </c>
      <c r="AD422" s="65">
        <f>'Special Corporate+ RI+TPS'!AD37</f>
        <v>0</v>
      </c>
      <c r="AE422" s="65">
        <f>'Special Corporate+ RI+TPS'!AE37</f>
        <v>0</v>
      </c>
      <c r="AF422" s="65">
        <f>'Special Corporate+ RI+TPS'!AF37</f>
        <v>0</v>
      </c>
      <c r="AG422" s="65">
        <f>'Special Corporate+ RI+TPS'!AG37</f>
        <v>0</v>
      </c>
      <c r="AH422" s="65">
        <f>'Special Corporate+ RI+TPS'!AH37</f>
        <v>0</v>
      </c>
      <c r="AI422" s="65">
        <f>'Special Corporate+ RI+TPS'!AI37</f>
        <v>0</v>
      </c>
      <c r="AJ422" s="65">
        <f>'Special Corporate+ RI+TPS'!AJ37</f>
        <v>0</v>
      </c>
      <c r="AK422" s="65">
        <f>'Special Corporate+ RI+TPS'!AK37</f>
        <v>0</v>
      </c>
      <c r="AL422" s="65">
        <f>'Special Corporate+ RI+TPS'!AL37</f>
        <v>0</v>
      </c>
      <c r="AM422" s="65">
        <f>'Special Corporate+ RI+TPS'!AM37</f>
        <v>0</v>
      </c>
      <c r="AN422" s="65">
        <f>'Special Corporate+ RI+TPS'!AN37</f>
        <v>0</v>
      </c>
      <c r="AO422" s="65">
        <f>'Special Corporate+ RI+TPS'!AO37</f>
        <v>0</v>
      </c>
      <c r="AP422" s="65">
        <f>'Special Corporate+ RI+TPS'!AP37</f>
        <v>0</v>
      </c>
      <c r="AQ422" s="65">
        <f>'Special Corporate+ RI+TPS'!AQ37</f>
        <v>0</v>
      </c>
      <c r="AR422" s="65">
        <f>'Special Corporate+ RI+TPS'!AR37</f>
        <v>0</v>
      </c>
      <c r="AS422" s="65">
        <f>'Special Corporate+ RI+TPS'!AS37</f>
        <v>0</v>
      </c>
      <c r="AT422" s="65">
        <f>'Special Corporate+ RI+TPS'!AT37</f>
        <v>0</v>
      </c>
      <c r="AU422" s="65">
        <f>'Special Corporate+ RI+TPS'!AU37</f>
        <v>0</v>
      </c>
      <c r="AV422" s="65">
        <f>'Special Corporate+ RI+TPS'!AV37</f>
        <v>0</v>
      </c>
      <c r="AW422" s="65">
        <f>'Special Corporate+ RI+TPS'!AW37</f>
        <v>0</v>
      </c>
      <c r="AX422" s="65">
        <f>'Special Corporate+ RI+TPS'!AX37</f>
        <v>0</v>
      </c>
      <c r="AY422" s="65">
        <f>'Special Corporate+ RI+TPS'!AY37</f>
        <v>0</v>
      </c>
      <c r="AZ422" s="65">
        <f>'Special Corporate+ RI+TPS'!AZ37</f>
        <v>0</v>
      </c>
      <c r="BA422" s="65">
        <f>'Special Corporate+ RI+TPS'!BA37</f>
        <v>0</v>
      </c>
      <c r="BB422" s="65">
        <f>'Special Corporate+ RI+TPS'!BB37</f>
        <v>0</v>
      </c>
      <c r="BC422" s="65">
        <f>'Special Corporate+ RI+TPS'!BC37</f>
        <v>0</v>
      </c>
      <c r="BD422" s="65">
        <f>'Special Corporate+ RI+TPS'!BD37</f>
        <v>0</v>
      </c>
      <c r="BE422" s="65">
        <f>'Special Corporate+ RI+TPS'!BE37</f>
        <v>0</v>
      </c>
      <c r="BF422" s="65">
        <f>'Special Corporate+ RI+TPS'!BF37</f>
        <v>0</v>
      </c>
      <c r="BG422" s="65">
        <f>'Special Corporate+ RI+TPS'!BG37</f>
        <v>0</v>
      </c>
      <c r="BH422" s="65">
        <f>'Special Corporate+ RI+TPS'!BH37</f>
        <v>0</v>
      </c>
      <c r="BI422" s="65">
        <f>'Special Corporate+ RI+TPS'!BI37</f>
        <v>0</v>
      </c>
      <c r="BJ422" s="65">
        <f>'Special Corporate+ RI+TPS'!BJ37</f>
        <v>0</v>
      </c>
      <c r="BK422" s="65">
        <f>'Special Corporate+ RI+TPS'!BK37</f>
        <v>0</v>
      </c>
      <c r="BL422" s="65">
        <f>'Special Corporate+ RI+TPS'!BL37</f>
        <v>0</v>
      </c>
      <c r="BM422" s="65">
        <f>'Special Corporate+ RI+TPS'!BM37</f>
        <v>0</v>
      </c>
      <c r="BN422" s="65">
        <f>'Special Corporate+ RI+TPS'!BN37</f>
        <v>0</v>
      </c>
      <c r="BO422" s="65">
        <f>'Special Corporate+ RI+TPS'!BO37</f>
        <v>0</v>
      </c>
      <c r="BP422" s="65">
        <f>'Special Corporate+ RI+TPS'!BP37</f>
        <v>0</v>
      </c>
      <c r="BQ422" s="65">
        <f>'Special Corporate+ RI+TPS'!BQ37</f>
        <v>0</v>
      </c>
      <c r="BR422" s="65">
        <f>'Special Corporate+ RI+TPS'!BR37</f>
        <v>0</v>
      </c>
      <c r="BS422" s="65">
        <f>'Special Corporate+ RI+TPS'!BS37</f>
        <v>0</v>
      </c>
      <c r="BT422" s="65">
        <f>'Special Corporate+ RI+TPS'!BT37</f>
        <v>0</v>
      </c>
      <c r="BU422" s="65">
        <f>'Special Corporate+ RI+TPS'!BU37</f>
        <v>0</v>
      </c>
      <c r="BV422" s="65">
        <f>'Special Corporate+ RI+TPS'!BV37</f>
        <v>0</v>
      </c>
      <c r="BW422" s="65">
        <f>'Special Corporate+ RI+TPS'!BW37</f>
        <v>0</v>
      </c>
      <c r="BX422" s="65">
        <f>'Special Corporate+ RI+TPS'!BX37</f>
        <v>0</v>
      </c>
      <c r="BY422" s="65">
        <f>'Special Corporate+ RI+TPS'!BY37</f>
        <v>0</v>
      </c>
      <c r="BZ422" s="65">
        <f>'Special Corporate+ RI+TPS'!BZ37</f>
        <v>0</v>
      </c>
      <c r="CA422" s="65">
        <f>'Special Corporate+ RI+TPS'!CA37</f>
        <v>0</v>
      </c>
      <c r="CB422" s="65">
        <f>'Special Corporate+ RI+TPS'!CB37</f>
        <v>0</v>
      </c>
      <c r="CC422" s="65">
        <f>'Special Corporate+ RI+TPS'!CC37</f>
        <v>0</v>
      </c>
      <c r="CD422" s="65">
        <f>'Special Corporate+ RI+TPS'!CD37</f>
        <v>0</v>
      </c>
      <c r="CE422" s="65">
        <f>'Special Corporate+ RI+TPS'!CE37</f>
        <v>0</v>
      </c>
      <c r="CF422" s="65">
        <f>'Special Corporate+ RI+TPS'!CF37</f>
        <v>0</v>
      </c>
      <c r="CG422" s="65">
        <f>'Special Corporate+ RI+TPS'!CG37</f>
        <v>0</v>
      </c>
      <c r="CH422" s="65">
        <f>'Special Corporate+ RI+TPS'!CH37</f>
        <v>0</v>
      </c>
      <c r="CI422" s="65">
        <f>'Special Corporate+ RI+TPS'!CI37</f>
        <v>0</v>
      </c>
      <c r="CJ422" s="65">
        <f>'Special Corporate+ RI+TPS'!CJ37</f>
        <v>0</v>
      </c>
      <c r="CK422" s="65">
        <f>'Special Corporate+ RI+TPS'!CK37</f>
        <v>0</v>
      </c>
      <c r="CL422" s="65">
        <f>'Special Corporate+ RI+TPS'!CL37</f>
        <v>0</v>
      </c>
      <c r="CM422" s="65">
        <f>'Special Corporate+ RI+TPS'!CM37</f>
        <v>0</v>
      </c>
      <c r="CN422" s="65">
        <f>'Special Corporate+ RI+TPS'!CN37</f>
        <v>0</v>
      </c>
      <c r="CO422" s="65">
        <f>'Special Corporate+ RI+TPS'!CO37</f>
        <v>0</v>
      </c>
      <c r="CP422" s="65">
        <f>'Special Corporate+ RI+TPS'!CP37</f>
        <v>0</v>
      </c>
      <c r="CQ422" s="65">
        <f>'Special Corporate+ RI+TPS'!CQ37</f>
        <v>0</v>
      </c>
      <c r="CR422" s="65">
        <f>'Special Corporate+ RI+TPS'!CR37</f>
        <v>0</v>
      </c>
      <c r="CS422" s="65">
        <f>'Special Corporate+ RI+TPS'!CS37</f>
        <v>0</v>
      </c>
      <c r="CT422" s="65">
        <f>'Special Corporate+ RI+TPS'!CT37</f>
        <v>0</v>
      </c>
      <c r="CU422" s="65">
        <f>'Special Corporate+ RI+TPS'!CU37</f>
        <v>0</v>
      </c>
      <c r="CV422" s="65">
        <f>'Special Corporate+ RI+TPS'!CV37</f>
        <v>0</v>
      </c>
      <c r="CW422" s="65">
        <f>'Special Corporate+ RI+TPS'!CW37</f>
        <v>0</v>
      </c>
      <c r="CX422" s="65">
        <f>'Special Corporate+ RI+TPS'!CX37</f>
        <v>0</v>
      </c>
      <c r="CY422" s="65">
        <f>'Special Corporate+ RI+TPS'!CY37</f>
        <v>0</v>
      </c>
      <c r="CZ422" s="65">
        <f>'Special Corporate+ RI+TPS'!CZ37</f>
        <v>0</v>
      </c>
      <c r="DA422" s="65">
        <f>'Special Corporate+ RI+TPS'!DA37</f>
        <v>0</v>
      </c>
      <c r="DB422" s="65">
        <f>'Special Corporate+ RI+TPS'!DB37</f>
        <v>0</v>
      </c>
      <c r="DC422" s="65">
        <f>'Special Corporate+ RI+TPS'!DC37</f>
        <v>0</v>
      </c>
      <c r="DD422" s="65">
        <f>'Special Corporate+ RI+TPS'!DD37</f>
        <v>0</v>
      </c>
      <c r="DE422" s="65">
        <f>'Special Corporate+ RI+TPS'!DE37</f>
        <v>0</v>
      </c>
      <c r="DF422" s="65">
        <f>'Special Corporate+ RI+TPS'!DF37</f>
        <v>0</v>
      </c>
      <c r="DG422" s="65">
        <f>'Special Corporate+ RI+TPS'!DG37</f>
        <v>0</v>
      </c>
      <c r="DH422" s="65">
        <f>'Special Corporate+ RI+TPS'!DH37</f>
        <v>0</v>
      </c>
      <c r="DI422" s="65">
        <f>'Special Corporate+ RI+TPS'!DI37</f>
        <v>0</v>
      </c>
      <c r="DJ422" s="65">
        <f>'Special Corporate+ RI+TPS'!DJ37</f>
        <v>0</v>
      </c>
      <c r="DK422" s="65">
        <f>'Special Corporate+ RI+TPS'!DK37</f>
        <v>0</v>
      </c>
      <c r="DL422" s="65">
        <f>'Special Corporate+ RI+TPS'!DL37</f>
        <v>0</v>
      </c>
      <c r="DM422" s="65">
        <f>'Special Corporate+ RI+TPS'!DM37</f>
        <v>0</v>
      </c>
      <c r="DN422" s="65">
        <f>'Special Corporate+ RI+TPS'!DN37</f>
        <v>0</v>
      </c>
      <c r="DO422" s="65">
        <f>'Special Corporate+ RI+TPS'!DO37</f>
        <v>0</v>
      </c>
      <c r="DP422" s="65">
        <f>'Special Corporate+ RI+TPS'!DP37</f>
        <v>0</v>
      </c>
      <c r="DQ422" s="65">
        <f>'Special Corporate+ RI+TPS'!DQ37</f>
        <v>0</v>
      </c>
      <c r="DR422" s="65">
        <f>'Special Corporate+ RI+TPS'!DR37</f>
        <v>0</v>
      </c>
      <c r="DS422" s="65">
        <f>'Special Corporate+ RI+TPS'!DS37</f>
        <v>0</v>
      </c>
      <c r="DT422" s="65">
        <f>'Special Corporate+ RI+TPS'!DT37</f>
        <v>0</v>
      </c>
      <c r="DU422" s="65">
        <f>'Special Corporate+ RI+TPS'!DU37</f>
        <v>0</v>
      </c>
      <c r="DV422" s="65">
        <f>'Special Corporate+ RI+TPS'!DV37</f>
        <v>0</v>
      </c>
      <c r="DW422" s="65">
        <f>'Special Corporate+ RI+TPS'!DW37</f>
        <v>0</v>
      </c>
      <c r="DX422" s="65">
        <f>'Special Corporate+ RI+TPS'!DX37</f>
        <v>0</v>
      </c>
      <c r="DY422" s="65">
        <f>'Special Corporate+ RI+TPS'!DY37</f>
        <v>0</v>
      </c>
      <c r="DZ422" s="65">
        <f>'Special Corporate+ RI+TPS'!DZ37</f>
        <v>0</v>
      </c>
      <c r="EA422" s="65">
        <f>'Special Corporate+ RI+TPS'!EA37</f>
        <v>0</v>
      </c>
      <c r="EB422" s="68"/>
    </row>
    <row r="423" spans="1:132" x14ac:dyDescent="0.2">
      <c r="A423" s="152"/>
      <c r="B423" s="65" t="str">
        <f>'Special Corporate+ RI+TPS'!B38</f>
        <v>DBDB</v>
      </c>
      <c r="C423" s="65">
        <f>'Special Corporate+ RI+TPS'!C38</f>
        <v>0</v>
      </c>
      <c r="D423" s="65">
        <f>'Special Corporate+ RI+TPS'!D38</f>
        <v>0</v>
      </c>
      <c r="E423" s="65">
        <f>'Special Corporate+ RI+TPS'!E38</f>
        <v>0</v>
      </c>
      <c r="F423" s="65">
        <f>'Special Corporate+ RI+TPS'!F38</f>
        <v>0</v>
      </c>
      <c r="G423" s="65">
        <f>'Special Corporate+ RI+TPS'!G38</f>
        <v>0</v>
      </c>
      <c r="H423" s="65">
        <f>'Special Corporate+ RI+TPS'!H38</f>
        <v>0</v>
      </c>
      <c r="I423" s="65">
        <f>'Special Corporate+ RI+TPS'!I38</f>
        <v>0</v>
      </c>
      <c r="J423" s="65">
        <f>'Special Corporate+ RI+TPS'!J38</f>
        <v>0</v>
      </c>
      <c r="K423" s="65">
        <f>'Special Corporate+ RI+TPS'!K38</f>
        <v>0</v>
      </c>
      <c r="L423" s="65">
        <f>'Special Corporate+ RI+TPS'!L38</f>
        <v>0</v>
      </c>
      <c r="M423" s="65">
        <f>'Special Corporate+ RI+TPS'!M38</f>
        <v>0</v>
      </c>
      <c r="N423" s="65">
        <f>'Special Corporate+ RI+TPS'!N38</f>
        <v>0</v>
      </c>
      <c r="O423" s="65">
        <f>'Special Corporate+ RI+TPS'!O38</f>
        <v>0</v>
      </c>
      <c r="P423" s="65">
        <f>'Special Corporate+ RI+TPS'!P38</f>
        <v>0</v>
      </c>
      <c r="Q423" s="65">
        <f>'Special Corporate+ RI+TPS'!Q38</f>
        <v>0</v>
      </c>
      <c r="R423" s="65">
        <f>'Special Corporate+ RI+TPS'!R38</f>
        <v>0</v>
      </c>
      <c r="S423" s="65">
        <f>'Special Corporate+ RI+TPS'!S38</f>
        <v>0</v>
      </c>
      <c r="T423" s="65">
        <f>'Special Corporate+ RI+TPS'!T38</f>
        <v>0</v>
      </c>
      <c r="U423" s="65">
        <f>'Special Corporate+ RI+TPS'!U38</f>
        <v>0</v>
      </c>
      <c r="V423" s="65">
        <f>'Special Corporate+ RI+TPS'!V38</f>
        <v>0</v>
      </c>
      <c r="W423" s="65">
        <f>'Special Corporate+ RI+TPS'!W38</f>
        <v>0</v>
      </c>
      <c r="X423" s="65">
        <f>'Special Corporate+ RI+TPS'!X38</f>
        <v>0</v>
      </c>
      <c r="Y423" s="65">
        <f>'Special Corporate+ RI+TPS'!Y38</f>
        <v>0</v>
      </c>
      <c r="Z423" s="65">
        <f>'Special Corporate+ RI+TPS'!Z38</f>
        <v>0</v>
      </c>
      <c r="AA423" s="65">
        <f>'Special Corporate+ RI+TPS'!AA38</f>
        <v>0</v>
      </c>
      <c r="AB423" s="65">
        <f>'Special Corporate+ RI+TPS'!AB38</f>
        <v>0</v>
      </c>
      <c r="AC423" s="65">
        <f>'Special Corporate+ RI+TPS'!AC38</f>
        <v>0</v>
      </c>
      <c r="AD423" s="65">
        <f>'Special Corporate+ RI+TPS'!AD38</f>
        <v>0</v>
      </c>
      <c r="AE423" s="65">
        <f>'Special Corporate+ RI+TPS'!AE38</f>
        <v>0</v>
      </c>
      <c r="AF423" s="65">
        <f>'Special Corporate+ RI+TPS'!AF38</f>
        <v>0</v>
      </c>
      <c r="AG423" s="65">
        <f>'Special Corporate+ RI+TPS'!AG38</f>
        <v>0</v>
      </c>
      <c r="AH423" s="65">
        <f>'Special Corporate+ RI+TPS'!AH38</f>
        <v>0</v>
      </c>
      <c r="AI423" s="65">
        <f>'Special Corporate+ RI+TPS'!AI38</f>
        <v>0</v>
      </c>
      <c r="AJ423" s="65">
        <f>'Special Corporate+ RI+TPS'!AJ38</f>
        <v>0</v>
      </c>
      <c r="AK423" s="65">
        <f>'Special Corporate+ RI+TPS'!AK38</f>
        <v>0</v>
      </c>
      <c r="AL423" s="65">
        <f>'Special Corporate+ RI+TPS'!AL38</f>
        <v>0</v>
      </c>
      <c r="AM423" s="65">
        <f>'Special Corporate+ RI+TPS'!AM38</f>
        <v>0</v>
      </c>
      <c r="AN423" s="65">
        <f>'Special Corporate+ RI+TPS'!AN38</f>
        <v>0</v>
      </c>
      <c r="AO423" s="65">
        <f>'Special Corporate+ RI+TPS'!AO38</f>
        <v>0</v>
      </c>
      <c r="AP423" s="65">
        <f>'Special Corporate+ RI+TPS'!AP38</f>
        <v>0</v>
      </c>
      <c r="AQ423" s="65">
        <f>'Special Corporate+ RI+TPS'!AQ38</f>
        <v>0</v>
      </c>
      <c r="AR423" s="65">
        <f>'Special Corporate+ RI+TPS'!AR38</f>
        <v>0</v>
      </c>
      <c r="AS423" s="65">
        <f>'Special Corporate+ RI+TPS'!AS38</f>
        <v>0</v>
      </c>
      <c r="AT423" s="65">
        <f>'Special Corporate+ RI+TPS'!AT38</f>
        <v>0</v>
      </c>
      <c r="AU423" s="65">
        <f>'Special Corporate+ RI+TPS'!AU38</f>
        <v>0</v>
      </c>
      <c r="AV423" s="65">
        <f>'Special Corporate+ RI+TPS'!AV38</f>
        <v>0</v>
      </c>
      <c r="AW423" s="65">
        <f>'Special Corporate+ RI+TPS'!AW38</f>
        <v>0</v>
      </c>
      <c r="AX423" s="65">
        <f>'Special Corporate+ RI+TPS'!AX38</f>
        <v>0</v>
      </c>
      <c r="AY423" s="65">
        <f>'Special Corporate+ RI+TPS'!AY38</f>
        <v>0</v>
      </c>
      <c r="AZ423" s="65">
        <f>'Special Corporate+ RI+TPS'!AZ38</f>
        <v>0</v>
      </c>
      <c r="BA423" s="65">
        <f>'Special Corporate+ RI+TPS'!BA38</f>
        <v>0</v>
      </c>
      <c r="BB423" s="65">
        <f>'Special Corporate+ RI+TPS'!BB38</f>
        <v>0</v>
      </c>
      <c r="BC423" s="65">
        <f>'Special Corporate+ RI+TPS'!BC38</f>
        <v>0</v>
      </c>
      <c r="BD423" s="65">
        <f>'Special Corporate+ RI+TPS'!BD38</f>
        <v>0</v>
      </c>
      <c r="BE423" s="65">
        <f>'Special Corporate+ RI+TPS'!BE38</f>
        <v>0</v>
      </c>
      <c r="BF423" s="65">
        <f>'Special Corporate+ RI+TPS'!BF38</f>
        <v>0</v>
      </c>
      <c r="BG423" s="65">
        <f>'Special Corporate+ RI+TPS'!BG38</f>
        <v>0</v>
      </c>
      <c r="BH423" s="65">
        <f>'Special Corporate+ RI+TPS'!BH38</f>
        <v>0</v>
      </c>
      <c r="BI423" s="65">
        <f>'Special Corporate+ RI+TPS'!BI38</f>
        <v>0</v>
      </c>
      <c r="BJ423" s="65">
        <f>'Special Corporate+ RI+TPS'!BJ38</f>
        <v>0</v>
      </c>
      <c r="BK423" s="65">
        <f>'Special Corporate+ RI+TPS'!BK38</f>
        <v>0</v>
      </c>
      <c r="BL423" s="65">
        <f>'Special Corporate+ RI+TPS'!BL38</f>
        <v>0</v>
      </c>
      <c r="BM423" s="65">
        <f>'Special Corporate+ RI+TPS'!BM38</f>
        <v>0</v>
      </c>
      <c r="BN423" s="65">
        <f>'Special Corporate+ RI+TPS'!BN38</f>
        <v>0</v>
      </c>
      <c r="BO423" s="65">
        <f>'Special Corporate+ RI+TPS'!BO38</f>
        <v>0</v>
      </c>
      <c r="BP423" s="65">
        <f>'Special Corporate+ RI+TPS'!BP38</f>
        <v>0</v>
      </c>
      <c r="BQ423" s="65">
        <f>'Special Corporate+ RI+TPS'!BQ38</f>
        <v>0</v>
      </c>
      <c r="BR423" s="65">
        <f>'Special Corporate+ RI+TPS'!BR38</f>
        <v>0</v>
      </c>
      <c r="BS423" s="65">
        <f>'Special Corporate+ RI+TPS'!BS38</f>
        <v>0</v>
      </c>
      <c r="BT423" s="65">
        <f>'Special Corporate+ RI+TPS'!BT38</f>
        <v>0</v>
      </c>
      <c r="BU423" s="65">
        <f>'Special Corporate+ RI+TPS'!BU38</f>
        <v>0</v>
      </c>
      <c r="BV423" s="65">
        <f>'Special Corporate+ RI+TPS'!BV38</f>
        <v>0</v>
      </c>
      <c r="BW423" s="65">
        <f>'Special Corporate+ RI+TPS'!BW38</f>
        <v>0</v>
      </c>
      <c r="BX423" s="65">
        <f>'Special Corporate+ RI+TPS'!BX38</f>
        <v>0</v>
      </c>
      <c r="BY423" s="65">
        <f>'Special Corporate+ RI+TPS'!BY38</f>
        <v>0</v>
      </c>
      <c r="BZ423" s="65">
        <f>'Special Corporate+ RI+TPS'!BZ38</f>
        <v>0</v>
      </c>
      <c r="CA423" s="65">
        <f>'Special Corporate+ RI+TPS'!CA38</f>
        <v>0</v>
      </c>
      <c r="CB423" s="65">
        <f>'Special Corporate+ RI+TPS'!CB38</f>
        <v>0</v>
      </c>
      <c r="CC423" s="65">
        <f>'Special Corporate+ RI+TPS'!CC38</f>
        <v>0</v>
      </c>
      <c r="CD423" s="65">
        <f>'Special Corporate+ RI+TPS'!CD38</f>
        <v>0</v>
      </c>
      <c r="CE423" s="65">
        <f>'Special Corporate+ RI+TPS'!CE38</f>
        <v>0</v>
      </c>
      <c r="CF423" s="65">
        <f>'Special Corporate+ RI+TPS'!CF38</f>
        <v>0</v>
      </c>
      <c r="CG423" s="65">
        <f>'Special Corporate+ RI+TPS'!CG38</f>
        <v>0</v>
      </c>
      <c r="CH423" s="65">
        <f>'Special Corporate+ RI+TPS'!CH38</f>
        <v>0</v>
      </c>
      <c r="CI423" s="65">
        <f>'Special Corporate+ RI+TPS'!CI38</f>
        <v>0</v>
      </c>
      <c r="CJ423" s="65">
        <f>'Special Corporate+ RI+TPS'!CJ38</f>
        <v>0</v>
      </c>
      <c r="CK423" s="65">
        <f>'Special Corporate+ RI+TPS'!CK38</f>
        <v>0</v>
      </c>
      <c r="CL423" s="65">
        <f>'Special Corporate+ RI+TPS'!CL38</f>
        <v>0</v>
      </c>
      <c r="CM423" s="65">
        <f>'Special Corporate+ RI+TPS'!CM38</f>
        <v>0</v>
      </c>
      <c r="CN423" s="65">
        <f>'Special Corporate+ RI+TPS'!CN38</f>
        <v>0</v>
      </c>
      <c r="CO423" s="65">
        <f>'Special Corporate+ RI+TPS'!CO38</f>
        <v>0</v>
      </c>
      <c r="CP423" s="65">
        <f>'Special Corporate+ RI+TPS'!CP38</f>
        <v>0</v>
      </c>
      <c r="CQ423" s="65">
        <f>'Special Corporate+ RI+TPS'!CQ38</f>
        <v>0</v>
      </c>
      <c r="CR423" s="65">
        <f>'Special Corporate+ RI+TPS'!CR38</f>
        <v>0</v>
      </c>
      <c r="CS423" s="65">
        <f>'Special Corporate+ RI+TPS'!CS38</f>
        <v>0</v>
      </c>
      <c r="CT423" s="65">
        <f>'Special Corporate+ RI+TPS'!CT38</f>
        <v>0</v>
      </c>
      <c r="CU423" s="65">
        <f>'Special Corporate+ RI+TPS'!CU38</f>
        <v>0</v>
      </c>
      <c r="CV423" s="65">
        <f>'Special Corporate+ RI+TPS'!CV38</f>
        <v>0</v>
      </c>
      <c r="CW423" s="65">
        <f>'Special Corporate+ RI+TPS'!CW38</f>
        <v>0</v>
      </c>
      <c r="CX423" s="65">
        <f>'Special Corporate+ RI+TPS'!CX38</f>
        <v>0</v>
      </c>
      <c r="CY423" s="65">
        <f>'Special Corporate+ RI+TPS'!CY38</f>
        <v>0</v>
      </c>
      <c r="CZ423" s="65">
        <f>'Special Corporate+ RI+TPS'!CZ38</f>
        <v>0</v>
      </c>
      <c r="DA423" s="65">
        <f>'Special Corporate+ RI+TPS'!DA38</f>
        <v>0</v>
      </c>
      <c r="DB423" s="65">
        <f>'Special Corporate+ RI+TPS'!DB38</f>
        <v>0</v>
      </c>
      <c r="DC423" s="65">
        <f>'Special Corporate+ RI+TPS'!DC38</f>
        <v>0</v>
      </c>
      <c r="DD423" s="65">
        <f>'Special Corporate+ RI+TPS'!DD38</f>
        <v>0</v>
      </c>
      <c r="DE423" s="65">
        <f>'Special Corporate+ RI+TPS'!DE38</f>
        <v>0</v>
      </c>
      <c r="DF423" s="65">
        <f>'Special Corporate+ RI+TPS'!DF38</f>
        <v>0</v>
      </c>
      <c r="DG423" s="65">
        <f>'Special Corporate+ RI+TPS'!DG38</f>
        <v>0</v>
      </c>
      <c r="DH423" s="65">
        <f>'Special Corporate+ RI+TPS'!DH38</f>
        <v>0</v>
      </c>
      <c r="DI423" s="65">
        <f>'Special Corporate+ RI+TPS'!DI38</f>
        <v>0</v>
      </c>
      <c r="DJ423" s="65">
        <f>'Special Corporate+ RI+TPS'!DJ38</f>
        <v>0</v>
      </c>
      <c r="DK423" s="65">
        <f>'Special Corporate+ RI+TPS'!DK38</f>
        <v>0</v>
      </c>
      <c r="DL423" s="65">
        <f>'Special Corporate+ RI+TPS'!DL38</f>
        <v>0</v>
      </c>
      <c r="DM423" s="65">
        <f>'Special Corporate+ RI+TPS'!DM38</f>
        <v>0</v>
      </c>
      <c r="DN423" s="65">
        <f>'Special Corporate+ RI+TPS'!DN38</f>
        <v>0</v>
      </c>
      <c r="DO423" s="65">
        <f>'Special Corporate+ RI+TPS'!DO38</f>
        <v>0</v>
      </c>
      <c r="DP423" s="65">
        <f>'Special Corporate+ RI+TPS'!DP38</f>
        <v>0</v>
      </c>
      <c r="DQ423" s="65">
        <f>'Special Corporate+ RI+TPS'!DQ38</f>
        <v>0</v>
      </c>
      <c r="DR423" s="65">
        <f>'Special Corporate+ RI+TPS'!DR38</f>
        <v>0</v>
      </c>
      <c r="DS423" s="65">
        <f>'Special Corporate+ RI+TPS'!DS38</f>
        <v>0</v>
      </c>
      <c r="DT423" s="65">
        <f>'Special Corporate+ RI+TPS'!DT38</f>
        <v>0</v>
      </c>
      <c r="DU423" s="65">
        <f>'Special Corporate+ RI+TPS'!DU38</f>
        <v>0</v>
      </c>
      <c r="DV423" s="65">
        <f>'Special Corporate+ RI+TPS'!DV38</f>
        <v>0</v>
      </c>
      <c r="DW423" s="65">
        <f>'Special Corporate+ RI+TPS'!DW38</f>
        <v>0</v>
      </c>
      <c r="DX423" s="65">
        <f>'Special Corporate+ RI+TPS'!DX38</f>
        <v>0</v>
      </c>
      <c r="DY423" s="65">
        <f>'Special Corporate+ RI+TPS'!DY38</f>
        <v>0</v>
      </c>
      <c r="DZ423" s="65">
        <f>'Special Corporate+ RI+TPS'!DZ38</f>
        <v>0</v>
      </c>
      <c r="EA423" s="65">
        <f>'Special Corporate+ RI+TPS'!EA38</f>
        <v>0</v>
      </c>
      <c r="EB423" s="68"/>
    </row>
    <row r="424" spans="1:132" x14ac:dyDescent="0.2">
      <c r="A424" s="152"/>
      <c r="B424" s="65" t="str">
        <f>'Special Corporate+ RI+TPS'!B39</f>
        <v>PMRS</v>
      </c>
      <c r="C424" s="65">
        <f>'Special Corporate+ RI+TPS'!C39</f>
        <v>0</v>
      </c>
      <c r="D424" s="65">
        <f>'Special Corporate+ RI+TPS'!D39</f>
        <v>0</v>
      </c>
      <c r="E424" s="65">
        <f>'Special Corporate+ RI+TPS'!E39</f>
        <v>0</v>
      </c>
      <c r="F424" s="65">
        <f>'Special Corporate+ RI+TPS'!F39</f>
        <v>0</v>
      </c>
      <c r="G424" s="65">
        <f>'Special Corporate+ RI+TPS'!G39</f>
        <v>0</v>
      </c>
      <c r="H424" s="65">
        <f>'Special Corporate+ RI+TPS'!H39</f>
        <v>0</v>
      </c>
      <c r="I424" s="65">
        <f>'Special Corporate+ RI+TPS'!I39</f>
        <v>0</v>
      </c>
      <c r="J424" s="65">
        <f>'Special Corporate+ RI+TPS'!J39</f>
        <v>0</v>
      </c>
      <c r="K424" s="65">
        <f>'Special Corporate+ RI+TPS'!K39</f>
        <v>0</v>
      </c>
      <c r="L424" s="65">
        <f>'Special Corporate+ RI+TPS'!L39</f>
        <v>0</v>
      </c>
      <c r="M424" s="65">
        <f>'Special Corporate+ RI+TPS'!M39</f>
        <v>0</v>
      </c>
      <c r="N424" s="65">
        <f>'Special Corporate+ RI+TPS'!N39</f>
        <v>0</v>
      </c>
      <c r="O424" s="65">
        <f>'Special Corporate+ RI+TPS'!O39</f>
        <v>0</v>
      </c>
      <c r="P424" s="65">
        <f>'Special Corporate+ RI+TPS'!P39</f>
        <v>0</v>
      </c>
      <c r="Q424" s="65">
        <f>'Special Corporate+ RI+TPS'!Q39</f>
        <v>0</v>
      </c>
      <c r="R424" s="65">
        <f>'Special Corporate+ RI+TPS'!R39</f>
        <v>0</v>
      </c>
      <c r="S424" s="65">
        <f>'Special Corporate+ RI+TPS'!S39</f>
        <v>0</v>
      </c>
      <c r="T424" s="65">
        <f>'Special Corporate+ RI+TPS'!T39</f>
        <v>0</v>
      </c>
      <c r="U424" s="65">
        <f>'Special Corporate+ RI+TPS'!U39</f>
        <v>0</v>
      </c>
      <c r="V424" s="65">
        <f>'Special Corporate+ RI+TPS'!V39</f>
        <v>0</v>
      </c>
      <c r="W424" s="65">
        <f>'Special Corporate+ RI+TPS'!W39</f>
        <v>0</v>
      </c>
      <c r="X424" s="65">
        <f>'Special Corporate+ RI+TPS'!X39</f>
        <v>0</v>
      </c>
      <c r="Y424" s="65">
        <f>'Special Corporate+ RI+TPS'!Y39</f>
        <v>0</v>
      </c>
      <c r="Z424" s="65">
        <f>'Special Corporate+ RI+TPS'!Z39</f>
        <v>0</v>
      </c>
      <c r="AA424" s="65">
        <f>'Special Corporate+ RI+TPS'!AA39</f>
        <v>0</v>
      </c>
      <c r="AB424" s="65">
        <f>'Special Corporate+ RI+TPS'!AB39</f>
        <v>0</v>
      </c>
      <c r="AC424" s="65">
        <f>'Special Corporate+ RI+TPS'!AC39</f>
        <v>0</v>
      </c>
      <c r="AD424" s="65">
        <f>'Special Corporate+ RI+TPS'!AD39</f>
        <v>0</v>
      </c>
      <c r="AE424" s="65">
        <f>'Special Corporate+ RI+TPS'!AE39</f>
        <v>0</v>
      </c>
      <c r="AF424" s="65">
        <f>'Special Corporate+ RI+TPS'!AF39</f>
        <v>0</v>
      </c>
      <c r="AG424" s="65">
        <f>'Special Corporate+ RI+TPS'!AG39</f>
        <v>0</v>
      </c>
      <c r="AH424" s="65">
        <f>'Special Corporate+ RI+TPS'!AH39</f>
        <v>0</v>
      </c>
      <c r="AI424" s="65">
        <f>'Special Corporate+ RI+TPS'!AI39</f>
        <v>0</v>
      </c>
      <c r="AJ424" s="65">
        <f>'Special Corporate+ RI+TPS'!AJ39</f>
        <v>0</v>
      </c>
      <c r="AK424" s="65">
        <f>'Special Corporate+ RI+TPS'!AK39</f>
        <v>0</v>
      </c>
      <c r="AL424" s="65">
        <f>'Special Corporate+ RI+TPS'!AL39</f>
        <v>0</v>
      </c>
      <c r="AM424" s="65">
        <f>'Special Corporate+ RI+TPS'!AM39</f>
        <v>0</v>
      </c>
      <c r="AN424" s="65">
        <f>'Special Corporate+ RI+TPS'!AN39</f>
        <v>0</v>
      </c>
      <c r="AO424" s="65">
        <f>'Special Corporate+ RI+TPS'!AO39</f>
        <v>0</v>
      </c>
      <c r="AP424" s="65">
        <f>'Special Corporate+ RI+TPS'!AP39</f>
        <v>0</v>
      </c>
      <c r="AQ424" s="65">
        <f>'Special Corporate+ RI+TPS'!AQ39</f>
        <v>0</v>
      </c>
      <c r="AR424" s="65">
        <f>'Special Corporate+ RI+TPS'!AR39</f>
        <v>0</v>
      </c>
      <c r="AS424" s="65">
        <f>'Special Corporate+ RI+TPS'!AS39</f>
        <v>0</v>
      </c>
      <c r="AT424" s="65">
        <f>'Special Corporate+ RI+TPS'!AT39</f>
        <v>0</v>
      </c>
      <c r="AU424" s="65">
        <f>'Special Corporate+ RI+TPS'!AU39</f>
        <v>0</v>
      </c>
      <c r="AV424" s="65">
        <f>'Special Corporate+ RI+TPS'!AV39</f>
        <v>0</v>
      </c>
      <c r="AW424" s="65">
        <f>'Special Corporate+ RI+TPS'!AW39</f>
        <v>0</v>
      </c>
      <c r="AX424" s="65">
        <f>'Special Corporate+ RI+TPS'!AX39</f>
        <v>0</v>
      </c>
      <c r="AY424" s="65">
        <f>'Special Corporate+ RI+TPS'!AY39</f>
        <v>0</v>
      </c>
      <c r="AZ424" s="65">
        <f>'Special Corporate+ RI+TPS'!AZ39</f>
        <v>0</v>
      </c>
      <c r="BA424" s="65">
        <f>'Special Corporate+ RI+TPS'!BA39</f>
        <v>0</v>
      </c>
      <c r="BB424" s="65">
        <f>'Special Corporate+ RI+TPS'!BB39</f>
        <v>0</v>
      </c>
      <c r="BC424" s="65">
        <f>'Special Corporate+ RI+TPS'!BC39</f>
        <v>0</v>
      </c>
      <c r="BD424" s="65">
        <f>'Special Corporate+ RI+TPS'!BD39</f>
        <v>0</v>
      </c>
      <c r="BE424" s="65">
        <f>'Special Corporate+ RI+TPS'!BE39</f>
        <v>0</v>
      </c>
      <c r="BF424" s="65">
        <f>'Special Corporate+ RI+TPS'!BF39</f>
        <v>0</v>
      </c>
      <c r="BG424" s="65">
        <f>'Special Corporate+ RI+TPS'!BG39</f>
        <v>0</v>
      </c>
      <c r="BH424" s="65">
        <f>'Special Corporate+ RI+TPS'!BH39</f>
        <v>0</v>
      </c>
      <c r="BI424" s="65">
        <f>'Special Corporate+ RI+TPS'!BI39</f>
        <v>0</v>
      </c>
      <c r="BJ424" s="65">
        <f>'Special Corporate+ RI+TPS'!BJ39</f>
        <v>0</v>
      </c>
      <c r="BK424" s="65">
        <f>'Special Corporate+ RI+TPS'!BK39</f>
        <v>0</v>
      </c>
      <c r="BL424" s="65">
        <f>'Special Corporate+ RI+TPS'!BL39</f>
        <v>0</v>
      </c>
      <c r="BM424" s="65">
        <f>'Special Corporate+ RI+TPS'!BM39</f>
        <v>0</v>
      </c>
      <c r="BN424" s="65">
        <f>'Special Corporate+ RI+TPS'!BN39</f>
        <v>0</v>
      </c>
      <c r="BO424" s="65">
        <f>'Special Corporate+ RI+TPS'!BO39</f>
        <v>0</v>
      </c>
      <c r="BP424" s="65">
        <f>'Special Corporate+ RI+TPS'!BP39</f>
        <v>0</v>
      </c>
      <c r="BQ424" s="65">
        <f>'Special Corporate+ RI+TPS'!BQ39</f>
        <v>0</v>
      </c>
      <c r="BR424" s="65">
        <f>'Special Corporate+ RI+TPS'!BR39</f>
        <v>0</v>
      </c>
      <c r="BS424" s="65">
        <f>'Special Corporate+ RI+TPS'!BS39</f>
        <v>0</v>
      </c>
      <c r="BT424" s="65">
        <f>'Special Corporate+ RI+TPS'!BT39</f>
        <v>0</v>
      </c>
      <c r="BU424" s="65">
        <f>'Special Corporate+ RI+TPS'!BU39</f>
        <v>0</v>
      </c>
      <c r="BV424" s="65">
        <f>'Special Corporate+ RI+TPS'!BV39</f>
        <v>0</v>
      </c>
      <c r="BW424" s="65">
        <f>'Special Corporate+ RI+TPS'!BW39</f>
        <v>0</v>
      </c>
      <c r="BX424" s="65">
        <f>'Special Corporate+ RI+TPS'!BX39</f>
        <v>0</v>
      </c>
      <c r="BY424" s="65">
        <f>'Special Corporate+ RI+TPS'!BY39</f>
        <v>0</v>
      </c>
      <c r="BZ424" s="65">
        <f>'Special Corporate+ RI+TPS'!BZ39</f>
        <v>0</v>
      </c>
      <c r="CA424" s="65">
        <f>'Special Corporate+ RI+TPS'!CA39</f>
        <v>0</v>
      </c>
      <c r="CB424" s="65">
        <f>'Special Corporate+ RI+TPS'!CB39</f>
        <v>0</v>
      </c>
      <c r="CC424" s="65">
        <f>'Special Corporate+ RI+TPS'!CC39</f>
        <v>0</v>
      </c>
      <c r="CD424" s="65">
        <f>'Special Corporate+ RI+TPS'!CD39</f>
        <v>0</v>
      </c>
      <c r="CE424" s="65">
        <f>'Special Corporate+ RI+TPS'!CE39</f>
        <v>0</v>
      </c>
      <c r="CF424" s="65">
        <f>'Special Corporate+ RI+TPS'!CF39</f>
        <v>0</v>
      </c>
      <c r="CG424" s="65">
        <f>'Special Corporate+ RI+TPS'!CG39</f>
        <v>0</v>
      </c>
      <c r="CH424" s="65">
        <f>'Special Corporate+ RI+TPS'!CH39</f>
        <v>0</v>
      </c>
      <c r="CI424" s="65">
        <f>'Special Corporate+ RI+TPS'!CI39</f>
        <v>0</v>
      </c>
      <c r="CJ424" s="65">
        <f>'Special Corporate+ RI+TPS'!CJ39</f>
        <v>0</v>
      </c>
      <c r="CK424" s="65">
        <f>'Special Corporate+ RI+TPS'!CK39</f>
        <v>0</v>
      </c>
      <c r="CL424" s="65">
        <f>'Special Corporate+ RI+TPS'!CL39</f>
        <v>0</v>
      </c>
      <c r="CM424" s="65">
        <f>'Special Corporate+ RI+TPS'!CM39</f>
        <v>0</v>
      </c>
      <c r="CN424" s="65">
        <f>'Special Corporate+ RI+TPS'!CN39</f>
        <v>0</v>
      </c>
      <c r="CO424" s="65">
        <f>'Special Corporate+ RI+TPS'!CO39</f>
        <v>0</v>
      </c>
      <c r="CP424" s="65">
        <f>'Special Corporate+ RI+TPS'!CP39</f>
        <v>0</v>
      </c>
      <c r="CQ424" s="65">
        <f>'Special Corporate+ RI+TPS'!CQ39</f>
        <v>0</v>
      </c>
      <c r="CR424" s="65">
        <f>'Special Corporate+ RI+TPS'!CR39</f>
        <v>0</v>
      </c>
      <c r="CS424" s="65">
        <f>'Special Corporate+ RI+TPS'!CS39</f>
        <v>0</v>
      </c>
      <c r="CT424" s="65">
        <f>'Special Corporate+ RI+TPS'!CT39</f>
        <v>0</v>
      </c>
      <c r="CU424" s="65">
        <f>'Special Corporate+ RI+TPS'!CU39</f>
        <v>0</v>
      </c>
      <c r="CV424" s="65">
        <f>'Special Corporate+ RI+TPS'!CV39</f>
        <v>0</v>
      </c>
      <c r="CW424" s="65">
        <f>'Special Corporate+ RI+TPS'!CW39</f>
        <v>0</v>
      </c>
      <c r="CX424" s="65">
        <f>'Special Corporate+ RI+TPS'!CX39</f>
        <v>0</v>
      </c>
      <c r="CY424" s="65">
        <f>'Special Corporate+ RI+TPS'!CY39</f>
        <v>0</v>
      </c>
      <c r="CZ424" s="65">
        <f>'Special Corporate+ RI+TPS'!CZ39</f>
        <v>0</v>
      </c>
      <c r="DA424" s="65">
        <f>'Special Corporate+ RI+TPS'!DA39</f>
        <v>0</v>
      </c>
      <c r="DB424" s="65">
        <f>'Special Corporate+ RI+TPS'!DB39</f>
        <v>0</v>
      </c>
      <c r="DC424" s="65">
        <f>'Special Corporate+ RI+TPS'!DC39</f>
        <v>0</v>
      </c>
      <c r="DD424" s="65">
        <f>'Special Corporate+ RI+TPS'!DD39</f>
        <v>0</v>
      </c>
      <c r="DE424" s="65">
        <f>'Special Corporate+ RI+TPS'!DE39</f>
        <v>0</v>
      </c>
      <c r="DF424" s="65">
        <f>'Special Corporate+ RI+TPS'!DF39</f>
        <v>0</v>
      </c>
      <c r="DG424" s="65">
        <f>'Special Corporate+ RI+TPS'!DG39</f>
        <v>0</v>
      </c>
      <c r="DH424" s="65">
        <f>'Special Corporate+ RI+TPS'!DH39</f>
        <v>0</v>
      </c>
      <c r="DI424" s="65">
        <f>'Special Corporate+ RI+TPS'!DI39</f>
        <v>0</v>
      </c>
      <c r="DJ424" s="65">
        <f>'Special Corporate+ RI+TPS'!DJ39</f>
        <v>0</v>
      </c>
      <c r="DK424" s="65">
        <f>'Special Corporate+ RI+TPS'!DK39</f>
        <v>0</v>
      </c>
      <c r="DL424" s="65">
        <f>'Special Corporate+ RI+TPS'!DL39</f>
        <v>0</v>
      </c>
      <c r="DM424" s="65">
        <f>'Special Corporate+ RI+TPS'!DM39</f>
        <v>0</v>
      </c>
      <c r="DN424" s="65">
        <f>'Special Corporate+ RI+TPS'!DN39</f>
        <v>0</v>
      </c>
      <c r="DO424" s="65">
        <f>'Special Corporate+ RI+TPS'!DO39</f>
        <v>0</v>
      </c>
      <c r="DP424" s="65">
        <f>'Special Corporate+ RI+TPS'!DP39</f>
        <v>0</v>
      </c>
      <c r="DQ424" s="65">
        <f>'Special Corporate+ RI+TPS'!DQ39</f>
        <v>0</v>
      </c>
      <c r="DR424" s="65">
        <f>'Special Corporate+ RI+TPS'!DR39</f>
        <v>0</v>
      </c>
      <c r="DS424" s="65">
        <f>'Special Corporate+ RI+TPS'!DS39</f>
        <v>0</v>
      </c>
      <c r="DT424" s="65">
        <f>'Special Corporate+ RI+TPS'!DT39</f>
        <v>0</v>
      </c>
      <c r="DU424" s="65">
        <f>'Special Corporate+ RI+TPS'!DU39</f>
        <v>0</v>
      </c>
      <c r="DV424" s="65">
        <f>'Special Corporate+ RI+TPS'!DV39</f>
        <v>0</v>
      </c>
      <c r="DW424" s="65">
        <f>'Special Corporate+ RI+TPS'!DW39</f>
        <v>0</v>
      </c>
      <c r="DX424" s="65">
        <f>'Special Corporate+ RI+TPS'!DX39</f>
        <v>0</v>
      </c>
      <c r="DY424" s="65">
        <f>'Special Corporate+ RI+TPS'!DY39</f>
        <v>0</v>
      </c>
      <c r="DZ424" s="65">
        <f>'Special Corporate+ RI+TPS'!DZ39</f>
        <v>0</v>
      </c>
      <c r="EA424" s="65">
        <f>'Special Corporate+ RI+TPS'!EA39</f>
        <v>0</v>
      </c>
      <c r="EB424" s="68"/>
    </row>
    <row r="425" spans="1:132" x14ac:dyDescent="0.2">
      <c r="A425" s="152"/>
      <c r="B425" s="65" t="str">
        <f>'Special Corporate+ RI+TPS'!B40</f>
        <v>PMRS</v>
      </c>
      <c r="C425" s="65">
        <f>'Special Corporate+ RI+TPS'!C40</f>
        <v>0</v>
      </c>
      <c r="D425" s="65">
        <f>'Special Corporate+ RI+TPS'!D40</f>
        <v>0</v>
      </c>
      <c r="E425" s="65">
        <f>'Special Corporate+ RI+TPS'!E40</f>
        <v>0</v>
      </c>
      <c r="F425" s="65">
        <f>'Special Corporate+ RI+TPS'!F40</f>
        <v>0</v>
      </c>
      <c r="G425" s="65">
        <f>'Special Corporate+ RI+TPS'!G40</f>
        <v>0</v>
      </c>
      <c r="H425" s="65">
        <f>'Special Corporate+ RI+TPS'!H40</f>
        <v>0</v>
      </c>
      <c r="I425" s="65">
        <f>'Special Corporate+ RI+TPS'!I40</f>
        <v>0</v>
      </c>
      <c r="J425" s="65">
        <f>'Special Corporate+ RI+TPS'!J40</f>
        <v>0</v>
      </c>
      <c r="K425" s="65">
        <f>'Special Corporate+ RI+TPS'!K40</f>
        <v>0</v>
      </c>
      <c r="L425" s="65">
        <f>'Special Corporate+ RI+TPS'!L40</f>
        <v>0</v>
      </c>
      <c r="M425" s="65">
        <f>'Special Corporate+ RI+TPS'!M40</f>
        <v>0</v>
      </c>
      <c r="N425" s="65">
        <f>'Special Corporate+ RI+TPS'!N40</f>
        <v>0</v>
      </c>
      <c r="O425" s="65">
        <f>'Special Corporate+ RI+TPS'!O40</f>
        <v>0</v>
      </c>
      <c r="P425" s="65">
        <f>'Special Corporate+ RI+TPS'!P40</f>
        <v>0</v>
      </c>
      <c r="Q425" s="65">
        <f>'Special Corporate+ RI+TPS'!Q40</f>
        <v>0</v>
      </c>
      <c r="R425" s="65">
        <f>'Special Corporate+ RI+TPS'!R40</f>
        <v>0</v>
      </c>
      <c r="S425" s="65">
        <f>'Special Corporate+ RI+TPS'!S40</f>
        <v>0</v>
      </c>
      <c r="T425" s="65">
        <f>'Special Corporate+ RI+TPS'!T40</f>
        <v>0</v>
      </c>
      <c r="U425" s="65">
        <f>'Special Corporate+ RI+TPS'!U40</f>
        <v>0</v>
      </c>
      <c r="V425" s="65">
        <f>'Special Corporate+ RI+TPS'!V40</f>
        <v>0</v>
      </c>
      <c r="W425" s="65">
        <f>'Special Corporate+ RI+TPS'!W40</f>
        <v>0</v>
      </c>
      <c r="X425" s="65">
        <f>'Special Corporate+ RI+TPS'!X40</f>
        <v>0</v>
      </c>
      <c r="Y425" s="65">
        <f>'Special Corporate+ RI+TPS'!Y40</f>
        <v>0</v>
      </c>
      <c r="Z425" s="65">
        <f>'Special Corporate+ RI+TPS'!Z40</f>
        <v>0</v>
      </c>
      <c r="AA425" s="65">
        <f>'Special Corporate+ RI+TPS'!AA40</f>
        <v>0</v>
      </c>
      <c r="AB425" s="65">
        <f>'Special Corporate+ RI+TPS'!AB40</f>
        <v>0</v>
      </c>
      <c r="AC425" s="65">
        <f>'Special Corporate+ RI+TPS'!AC40</f>
        <v>0</v>
      </c>
      <c r="AD425" s="65">
        <f>'Special Corporate+ RI+TPS'!AD40</f>
        <v>0</v>
      </c>
      <c r="AE425" s="65">
        <f>'Special Corporate+ RI+TPS'!AE40</f>
        <v>0</v>
      </c>
      <c r="AF425" s="65">
        <f>'Special Corporate+ RI+TPS'!AF40</f>
        <v>0</v>
      </c>
      <c r="AG425" s="65">
        <f>'Special Corporate+ RI+TPS'!AG40</f>
        <v>0</v>
      </c>
      <c r="AH425" s="65">
        <f>'Special Corporate+ RI+TPS'!AH40</f>
        <v>0</v>
      </c>
      <c r="AI425" s="65">
        <f>'Special Corporate+ RI+TPS'!AI40</f>
        <v>0</v>
      </c>
      <c r="AJ425" s="65">
        <f>'Special Corporate+ RI+TPS'!AJ40</f>
        <v>0</v>
      </c>
      <c r="AK425" s="65">
        <f>'Special Corporate+ RI+TPS'!AK40</f>
        <v>0</v>
      </c>
      <c r="AL425" s="65">
        <f>'Special Corporate+ RI+TPS'!AL40</f>
        <v>0</v>
      </c>
      <c r="AM425" s="65">
        <f>'Special Corporate+ RI+TPS'!AM40</f>
        <v>0</v>
      </c>
      <c r="AN425" s="65">
        <f>'Special Corporate+ RI+TPS'!AN40</f>
        <v>0</v>
      </c>
      <c r="AO425" s="65">
        <f>'Special Corporate+ RI+TPS'!AO40</f>
        <v>0</v>
      </c>
      <c r="AP425" s="65">
        <f>'Special Corporate+ RI+TPS'!AP40</f>
        <v>0</v>
      </c>
      <c r="AQ425" s="65">
        <f>'Special Corporate+ RI+TPS'!AQ40</f>
        <v>0</v>
      </c>
      <c r="AR425" s="65">
        <f>'Special Corporate+ RI+TPS'!AR40</f>
        <v>0</v>
      </c>
      <c r="AS425" s="65">
        <f>'Special Corporate+ RI+TPS'!AS40</f>
        <v>0</v>
      </c>
      <c r="AT425" s="65">
        <f>'Special Corporate+ RI+TPS'!AT40</f>
        <v>0</v>
      </c>
      <c r="AU425" s="65">
        <f>'Special Corporate+ RI+TPS'!AU40</f>
        <v>0</v>
      </c>
      <c r="AV425" s="65">
        <f>'Special Corporate+ RI+TPS'!AV40</f>
        <v>0</v>
      </c>
      <c r="AW425" s="65">
        <f>'Special Corporate+ RI+TPS'!AW40</f>
        <v>0</v>
      </c>
      <c r="AX425" s="65">
        <f>'Special Corporate+ RI+TPS'!AX40</f>
        <v>0</v>
      </c>
      <c r="AY425" s="65">
        <f>'Special Corporate+ RI+TPS'!AY40</f>
        <v>0</v>
      </c>
      <c r="AZ425" s="65">
        <f>'Special Corporate+ RI+TPS'!AZ40</f>
        <v>0</v>
      </c>
      <c r="BA425" s="65">
        <f>'Special Corporate+ RI+TPS'!BA40</f>
        <v>0</v>
      </c>
      <c r="BB425" s="65">
        <f>'Special Corporate+ RI+TPS'!BB40</f>
        <v>0</v>
      </c>
      <c r="BC425" s="65">
        <f>'Special Corporate+ RI+TPS'!BC40</f>
        <v>0</v>
      </c>
      <c r="BD425" s="65">
        <f>'Special Corporate+ RI+TPS'!BD40</f>
        <v>0</v>
      </c>
      <c r="BE425" s="65">
        <f>'Special Corporate+ RI+TPS'!BE40</f>
        <v>0</v>
      </c>
      <c r="BF425" s="65">
        <f>'Special Corporate+ RI+TPS'!BF40</f>
        <v>0</v>
      </c>
      <c r="BG425" s="65">
        <f>'Special Corporate+ RI+TPS'!BG40</f>
        <v>0</v>
      </c>
      <c r="BH425" s="65">
        <f>'Special Corporate+ RI+TPS'!BH40</f>
        <v>0</v>
      </c>
      <c r="BI425" s="65">
        <f>'Special Corporate+ RI+TPS'!BI40</f>
        <v>0</v>
      </c>
      <c r="BJ425" s="65">
        <f>'Special Corporate+ RI+TPS'!BJ40</f>
        <v>0</v>
      </c>
      <c r="BK425" s="65">
        <f>'Special Corporate+ RI+TPS'!BK40</f>
        <v>0</v>
      </c>
      <c r="BL425" s="65">
        <f>'Special Corporate+ RI+TPS'!BL40</f>
        <v>0</v>
      </c>
      <c r="BM425" s="65">
        <f>'Special Corporate+ RI+TPS'!BM40</f>
        <v>0</v>
      </c>
      <c r="BN425" s="65">
        <f>'Special Corporate+ RI+TPS'!BN40</f>
        <v>0</v>
      </c>
      <c r="BO425" s="65">
        <f>'Special Corporate+ RI+TPS'!BO40</f>
        <v>0</v>
      </c>
      <c r="BP425" s="65">
        <f>'Special Corporate+ RI+TPS'!BP40</f>
        <v>0</v>
      </c>
      <c r="BQ425" s="65">
        <f>'Special Corporate+ RI+TPS'!BQ40</f>
        <v>0</v>
      </c>
      <c r="BR425" s="65">
        <f>'Special Corporate+ RI+TPS'!BR40</f>
        <v>0</v>
      </c>
      <c r="BS425" s="65">
        <f>'Special Corporate+ RI+TPS'!BS40</f>
        <v>0</v>
      </c>
      <c r="BT425" s="65">
        <f>'Special Corporate+ RI+TPS'!BT40</f>
        <v>0</v>
      </c>
      <c r="BU425" s="65">
        <f>'Special Corporate+ RI+TPS'!BU40</f>
        <v>0</v>
      </c>
      <c r="BV425" s="65">
        <f>'Special Corporate+ RI+TPS'!BV40</f>
        <v>0</v>
      </c>
      <c r="BW425" s="65">
        <f>'Special Corporate+ RI+TPS'!BW40</f>
        <v>0</v>
      </c>
      <c r="BX425" s="65">
        <f>'Special Corporate+ RI+TPS'!BX40</f>
        <v>0</v>
      </c>
      <c r="BY425" s="65">
        <f>'Special Corporate+ RI+TPS'!BY40</f>
        <v>0</v>
      </c>
      <c r="BZ425" s="65">
        <f>'Special Corporate+ RI+TPS'!BZ40</f>
        <v>0</v>
      </c>
      <c r="CA425" s="65">
        <f>'Special Corporate+ RI+TPS'!CA40</f>
        <v>0</v>
      </c>
      <c r="CB425" s="65">
        <f>'Special Corporate+ RI+TPS'!CB40</f>
        <v>0</v>
      </c>
      <c r="CC425" s="65">
        <f>'Special Corporate+ RI+TPS'!CC40</f>
        <v>0</v>
      </c>
      <c r="CD425" s="65">
        <f>'Special Corporate+ RI+TPS'!CD40</f>
        <v>0</v>
      </c>
      <c r="CE425" s="65">
        <f>'Special Corporate+ RI+TPS'!CE40</f>
        <v>0</v>
      </c>
      <c r="CF425" s="65">
        <f>'Special Corporate+ RI+TPS'!CF40</f>
        <v>0</v>
      </c>
      <c r="CG425" s="65">
        <f>'Special Corporate+ RI+TPS'!CG40</f>
        <v>0</v>
      </c>
      <c r="CH425" s="65">
        <f>'Special Corporate+ RI+TPS'!CH40</f>
        <v>0</v>
      </c>
      <c r="CI425" s="65">
        <f>'Special Corporate+ RI+TPS'!CI40</f>
        <v>0</v>
      </c>
      <c r="CJ425" s="65">
        <f>'Special Corporate+ RI+TPS'!CJ40</f>
        <v>0</v>
      </c>
      <c r="CK425" s="65">
        <f>'Special Corporate+ RI+TPS'!CK40</f>
        <v>0</v>
      </c>
      <c r="CL425" s="65">
        <f>'Special Corporate+ RI+TPS'!CL40</f>
        <v>0</v>
      </c>
      <c r="CM425" s="65">
        <f>'Special Corporate+ RI+TPS'!CM40</f>
        <v>0</v>
      </c>
      <c r="CN425" s="65">
        <f>'Special Corporate+ RI+TPS'!CN40</f>
        <v>0</v>
      </c>
      <c r="CO425" s="65">
        <f>'Special Corporate+ RI+TPS'!CO40</f>
        <v>0</v>
      </c>
      <c r="CP425" s="65">
        <f>'Special Corporate+ RI+TPS'!CP40</f>
        <v>0</v>
      </c>
      <c r="CQ425" s="65">
        <f>'Special Corporate+ RI+TPS'!CQ40</f>
        <v>0</v>
      </c>
      <c r="CR425" s="65">
        <f>'Special Corporate+ RI+TPS'!CR40</f>
        <v>0</v>
      </c>
      <c r="CS425" s="65">
        <f>'Special Corporate+ RI+TPS'!CS40</f>
        <v>0</v>
      </c>
      <c r="CT425" s="65">
        <f>'Special Corporate+ RI+TPS'!CT40</f>
        <v>0</v>
      </c>
      <c r="CU425" s="65">
        <f>'Special Corporate+ RI+TPS'!CU40</f>
        <v>0</v>
      </c>
      <c r="CV425" s="65">
        <f>'Special Corporate+ RI+TPS'!CV40</f>
        <v>0</v>
      </c>
      <c r="CW425" s="65">
        <f>'Special Corporate+ RI+TPS'!CW40</f>
        <v>0</v>
      </c>
      <c r="CX425" s="65">
        <f>'Special Corporate+ RI+TPS'!CX40</f>
        <v>0</v>
      </c>
      <c r="CY425" s="65">
        <f>'Special Corporate+ RI+TPS'!CY40</f>
        <v>0</v>
      </c>
      <c r="CZ425" s="65">
        <f>'Special Corporate+ RI+TPS'!CZ40</f>
        <v>0</v>
      </c>
      <c r="DA425" s="65">
        <f>'Special Corporate+ RI+TPS'!DA40</f>
        <v>0</v>
      </c>
      <c r="DB425" s="65">
        <f>'Special Corporate+ RI+TPS'!DB40</f>
        <v>0</v>
      </c>
      <c r="DC425" s="65">
        <f>'Special Corporate+ RI+TPS'!DC40</f>
        <v>0</v>
      </c>
      <c r="DD425" s="65">
        <f>'Special Corporate+ RI+TPS'!DD40</f>
        <v>0</v>
      </c>
      <c r="DE425" s="65">
        <f>'Special Corporate+ RI+TPS'!DE40</f>
        <v>0</v>
      </c>
      <c r="DF425" s="65">
        <f>'Special Corporate+ RI+TPS'!DF40</f>
        <v>0</v>
      </c>
      <c r="DG425" s="65">
        <f>'Special Corporate+ RI+TPS'!DG40</f>
        <v>0</v>
      </c>
      <c r="DH425" s="65">
        <f>'Special Corporate+ RI+TPS'!DH40</f>
        <v>0</v>
      </c>
      <c r="DI425" s="65">
        <f>'Special Corporate+ RI+TPS'!DI40</f>
        <v>0</v>
      </c>
      <c r="DJ425" s="65">
        <f>'Special Corporate+ RI+TPS'!DJ40</f>
        <v>0</v>
      </c>
      <c r="DK425" s="65">
        <f>'Special Corporate+ RI+TPS'!DK40</f>
        <v>0</v>
      </c>
      <c r="DL425" s="65">
        <f>'Special Corporate+ RI+TPS'!DL40</f>
        <v>0</v>
      </c>
      <c r="DM425" s="65">
        <f>'Special Corporate+ RI+TPS'!DM40</f>
        <v>0</v>
      </c>
      <c r="DN425" s="65">
        <f>'Special Corporate+ RI+TPS'!DN40</f>
        <v>0</v>
      </c>
      <c r="DO425" s="65">
        <f>'Special Corporate+ RI+TPS'!DO40</f>
        <v>0</v>
      </c>
      <c r="DP425" s="65">
        <f>'Special Corporate+ RI+TPS'!DP40</f>
        <v>0</v>
      </c>
      <c r="DQ425" s="65">
        <f>'Special Corporate+ RI+TPS'!DQ40</f>
        <v>0</v>
      </c>
      <c r="DR425" s="65">
        <f>'Special Corporate+ RI+TPS'!DR40</f>
        <v>0</v>
      </c>
      <c r="DS425" s="65">
        <f>'Special Corporate+ RI+TPS'!DS40</f>
        <v>0</v>
      </c>
      <c r="DT425" s="65">
        <f>'Special Corporate+ RI+TPS'!DT40</f>
        <v>0</v>
      </c>
      <c r="DU425" s="65">
        <f>'Special Corporate+ RI+TPS'!DU40</f>
        <v>0</v>
      </c>
      <c r="DV425" s="65">
        <f>'Special Corporate+ RI+TPS'!DV40</f>
        <v>0</v>
      </c>
      <c r="DW425" s="65">
        <f>'Special Corporate+ RI+TPS'!DW40</f>
        <v>0</v>
      </c>
      <c r="DX425" s="65">
        <f>'Special Corporate+ RI+TPS'!DX40</f>
        <v>0</v>
      </c>
      <c r="DY425" s="65">
        <f>'Special Corporate+ RI+TPS'!DY40</f>
        <v>0</v>
      </c>
      <c r="DZ425" s="65">
        <f>'Special Corporate+ RI+TPS'!DZ40</f>
        <v>0</v>
      </c>
      <c r="EA425" s="65">
        <f>'Special Corporate+ RI+TPS'!EA40</f>
        <v>0</v>
      </c>
      <c r="EB425" s="68"/>
    </row>
    <row r="426" spans="1:132" x14ac:dyDescent="0.2">
      <c r="A426" s="152"/>
      <c r="B426" s="65">
        <f>'Special Corporate+ RI+TPS'!B41</f>
        <v>0</v>
      </c>
      <c r="C426" s="65">
        <f>'Special Corporate+ RI+TPS'!C41</f>
        <v>0</v>
      </c>
      <c r="D426" s="65">
        <f>'Special Corporate+ RI+TPS'!D41</f>
        <v>0</v>
      </c>
      <c r="E426" s="65">
        <f>'Special Corporate+ RI+TPS'!E41</f>
        <v>0</v>
      </c>
      <c r="F426" s="65">
        <f>'Special Corporate+ RI+TPS'!F41</f>
        <v>0</v>
      </c>
      <c r="G426" s="65">
        <f>'Special Corporate+ RI+TPS'!G41</f>
        <v>0</v>
      </c>
      <c r="H426" s="65">
        <f>'Special Corporate+ RI+TPS'!H41</f>
        <v>0</v>
      </c>
      <c r="I426" s="65">
        <f>'Special Corporate+ RI+TPS'!I41</f>
        <v>0</v>
      </c>
      <c r="J426" s="65">
        <f>'Special Corporate+ RI+TPS'!J41</f>
        <v>0</v>
      </c>
      <c r="K426" s="65">
        <f>'Special Corporate+ RI+TPS'!K41</f>
        <v>0</v>
      </c>
      <c r="L426" s="65">
        <f>'Special Corporate+ RI+TPS'!L41</f>
        <v>0</v>
      </c>
      <c r="M426" s="65">
        <f>'Special Corporate+ RI+TPS'!M41</f>
        <v>0</v>
      </c>
      <c r="N426" s="65">
        <f>'Special Corporate+ RI+TPS'!N41</f>
        <v>0</v>
      </c>
      <c r="O426" s="65">
        <f>'Special Corporate+ RI+TPS'!O41</f>
        <v>0</v>
      </c>
      <c r="P426" s="65">
        <f>'Special Corporate+ RI+TPS'!P41</f>
        <v>0</v>
      </c>
      <c r="Q426" s="65">
        <f>'Special Corporate+ RI+TPS'!Q41</f>
        <v>0</v>
      </c>
      <c r="R426" s="65">
        <f>'Special Corporate+ RI+TPS'!R41</f>
        <v>0</v>
      </c>
      <c r="S426" s="65">
        <f>'Special Corporate+ RI+TPS'!S41</f>
        <v>0</v>
      </c>
      <c r="T426" s="65">
        <f>'Special Corporate+ RI+TPS'!T41</f>
        <v>0</v>
      </c>
      <c r="U426" s="65">
        <f>'Special Corporate+ RI+TPS'!U41</f>
        <v>0</v>
      </c>
      <c r="V426" s="65">
        <f>'Special Corporate+ RI+TPS'!V41</f>
        <v>0</v>
      </c>
      <c r="W426" s="65">
        <f>'Special Corporate+ RI+TPS'!W41</f>
        <v>0</v>
      </c>
      <c r="X426" s="65">
        <f>'Special Corporate+ RI+TPS'!X41</f>
        <v>0</v>
      </c>
      <c r="Y426" s="65">
        <f>'Special Corporate+ RI+TPS'!Y41</f>
        <v>0</v>
      </c>
      <c r="Z426" s="65">
        <f>'Special Corporate+ RI+TPS'!Z41</f>
        <v>0</v>
      </c>
      <c r="AA426" s="65">
        <f>'Special Corporate+ RI+TPS'!AA41</f>
        <v>0</v>
      </c>
      <c r="AB426" s="65">
        <f>'Special Corporate+ RI+TPS'!AB41</f>
        <v>0</v>
      </c>
      <c r="AC426" s="65">
        <f>'Special Corporate+ RI+TPS'!AC41</f>
        <v>0</v>
      </c>
      <c r="AD426" s="65">
        <f>'Special Corporate+ RI+TPS'!AD41</f>
        <v>0</v>
      </c>
      <c r="AE426" s="65">
        <f>'Special Corporate+ RI+TPS'!AE41</f>
        <v>0</v>
      </c>
      <c r="AF426" s="65">
        <f>'Special Corporate+ RI+TPS'!AF41</f>
        <v>0</v>
      </c>
      <c r="AG426" s="65">
        <f>'Special Corporate+ RI+TPS'!AG41</f>
        <v>0</v>
      </c>
      <c r="AH426" s="65">
        <f>'Special Corporate+ RI+TPS'!AH41</f>
        <v>0</v>
      </c>
      <c r="AI426" s="65">
        <f>'Special Corporate+ RI+TPS'!AI41</f>
        <v>0</v>
      </c>
      <c r="AJ426" s="65">
        <f>'Special Corporate+ RI+TPS'!AJ41</f>
        <v>0</v>
      </c>
      <c r="AK426" s="65">
        <f>'Special Corporate+ RI+TPS'!AK41</f>
        <v>0</v>
      </c>
      <c r="AL426" s="65">
        <f>'Special Corporate+ RI+TPS'!AL41</f>
        <v>0</v>
      </c>
      <c r="AM426" s="65">
        <f>'Special Corporate+ RI+TPS'!AM41</f>
        <v>0</v>
      </c>
      <c r="AN426" s="65">
        <f>'Special Corporate+ RI+TPS'!AN41</f>
        <v>0</v>
      </c>
      <c r="AO426" s="65">
        <f>'Special Corporate+ RI+TPS'!AO41</f>
        <v>0</v>
      </c>
      <c r="AP426" s="65">
        <f>'Special Corporate+ RI+TPS'!AP41</f>
        <v>0</v>
      </c>
      <c r="AQ426" s="65">
        <f>'Special Corporate+ RI+TPS'!AQ41</f>
        <v>0</v>
      </c>
      <c r="AR426" s="65">
        <f>'Special Corporate+ RI+TPS'!AR41</f>
        <v>0</v>
      </c>
      <c r="AS426" s="65">
        <f>'Special Corporate+ RI+TPS'!AS41</f>
        <v>0</v>
      </c>
      <c r="AT426" s="65">
        <f>'Special Corporate+ RI+TPS'!AT41</f>
        <v>0</v>
      </c>
      <c r="AU426" s="65">
        <f>'Special Corporate+ RI+TPS'!AU41</f>
        <v>0</v>
      </c>
      <c r="AV426" s="65">
        <f>'Special Corporate+ RI+TPS'!AV41</f>
        <v>0</v>
      </c>
      <c r="AW426" s="65">
        <f>'Special Corporate+ RI+TPS'!AW41</f>
        <v>0</v>
      </c>
      <c r="AX426" s="65">
        <f>'Special Corporate+ RI+TPS'!AX41</f>
        <v>0</v>
      </c>
      <c r="AY426" s="65">
        <f>'Special Corporate+ RI+TPS'!AY41</f>
        <v>0</v>
      </c>
      <c r="AZ426" s="65">
        <f>'Special Corporate+ RI+TPS'!AZ41</f>
        <v>0</v>
      </c>
      <c r="BA426" s="65">
        <f>'Special Corporate+ RI+TPS'!BA41</f>
        <v>0</v>
      </c>
      <c r="BB426" s="65">
        <f>'Special Corporate+ RI+TPS'!BB41</f>
        <v>0</v>
      </c>
      <c r="BC426" s="65">
        <f>'Special Corporate+ RI+TPS'!BC41</f>
        <v>0</v>
      </c>
      <c r="BD426" s="65">
        <f>'Special Corporate+ RI+TPS'!BD41</f>
        <v>0</v>
      </c>
      <c r="BE426" s="65">
        <f>'Special Corporate+ RI+TPS'!BE41</f>
        <v>0</v>
      </c>
      <c r="BF426" s="65">
        <f>'Special Corporate+ RI+TPS'!BF41</f>
        <v>0</v>
      </c>
      <c r="BG426" s="65">
        <f>'Special Corporate+ RI+TPS'!BG41</f>
        <v>0</v>
      </c>
      <c r="BH426" s="65">
        <f>'Special Corporate+ RI+TPS'!BH41</f>
        <v>0</v>
      </c>
      <c r="BI426" s="65">
        <f>'Special Corporate+ RI+TPS'!BI41</f>
        <v>0</v>
      </c>
      <c r="BJ426" s="65">
        <f>'Special Corporate+ RI+TPS'!BJ41</f>
        <v>0</v>
      </c>
      <c r="BK426" s="65">
        <f>'Special Corporate+ RI+TPS'!BK41</f>
        <v>0</v>
      </c>
      <c r="BL426" s="65">
        <f>'Special Corporate+ RI+TPS'!BL41</f>
        <v>0</v>
      </c>
      <c r="BM426" s="65">
        <f>'Special Corporate+ RI+TPS'!BM41</f>
        <v>0</v>
      </c>
      <c r="BN426" s="65">
        <f>'Special Corporate+ RI+TPS'!BN41</f>
        <v>0</v>
      </c>
      <c r="BO426" s="65">
        <f>'Special Corporate+ RI+TPS'!BO41</f>
        <v>0</v>
      </c>
      <c r="BP426" s="65">
        <f>'Special Corporate+ RI+TPS'!BP41</f>
        <v>0</v>
      </c>
      <c r="BQ426" s="65">
        <f>'Special Corporate+ RI+TPS'!BQ41</f>
        <v>0</v>
      </c>
      <c r="BR426" s="65">
        <f>'Special Corporate+ RI+TPS'!BR41</f>
        <v>0</v>
      </c>
      <c r="BS426" s="65">
        <f>'Special Corporate+ RI+TPS'!BS41</f>
        <v>0</v>
      </c>
      <c r="BT426" s="65">
        <f>'Special Corporate+ RI+TPS'!BT41</f>
        <v>0</v>
      </c>
      <c r="BU426" s="65">
        <f>'Special Corporate+ RI+TPS'!BU41</f>
        <v>0</v>
      </c>
      <c r="BV426" s="65">
        <f>'Special Corporate+ RI+TPS'!BV41</f>
        <v>0</v>
      </c>
      <c r="BW426" s="65">
        <f>'Special Corporate+ RI+TPS'!BW41</f>
        <v>0</v>
      </c>
      <c r="BX426" s="65">
        <f>'Special Corporate+ RI+TPS'!BX41</f>
        <v>0</v>
      </c>
      <c r="BY426" s="65">
        <f>'Special Corporate+ RI+TPS'!BY41</f>
        <v>0</v>
      </c>
      <c r="BZ426" s="65">
        <f>'Special Corporate+ RI+TPS'!BZ41</f>
        <v>0</v>
      </c>
      <c r="CA426" s="65">
        <f>'Special Corporate+ RI+TPS'!CA41</f>
        <v>0</v>
      </c>
      <c r="CB426" s="65">
        <f>'Special Corporate+ RI+TPS'!CB41</f>
        <v>0</v>
      </c>
      <c r="CC426" s="65">
        <f>'Special Corporate+ RI+TPS'!CC41</f>
        <v>0</v>
      </c>
      <c r="CD426" s="65">
        <f>'Special Corporate+ RI+TPS'!CD41</f>
        <v>0</v>
      </c>
      <c r="CE426" s="65">
        <f>'Special Corporate+ RI+TPS'!CE41</f>
        <v>0</v>
      </c>
      <c r="CF426" s="65">
        <f>'Special Corporate+ RI+TPS'!CF41</f>
        <v>0</v>
      </c>
      <c r="CG426" s="65">
        <f>'Special Corporate+ RI+TPS'!CG41</f>
        <v>0</v>
      </c>
      <c r="CH426" s="65">
        <f>'Special Corporate+ RI+TPS'!CH41</f>
        <v>0</v>
      </c>
      <c r="CI426" s="65">
        <f>'Special Corporate+ RI+TPS'!CI41</f>
        <v>0</v>
      </c>
      <c r="CJ426" s="65">
        <f>'Special Corporate+ RI+TPS'!CJ41</f>
        <v>0</v>
      </c>
      <c r="CK426" s="65">
        <f>'Special Corporate+ RI+TPS'!CK41</f>
        <v>0</v>
      </c>
      <c r="CL426" s="65">
        <f>'Special Corporate+ RI+TPS'!CL41</f>
        <v>0</v>
      </c>
      <c r="CM426" s="65">
        <f>'Special Corporate+ RI+TPS'!CM41</f>
        <v>0</v>
      </c>
      <c r="CN426" s="65">
        <f>'Special Corporate+ RI+TPS'!CN41</f>
        <v>0</v>
      </c>
      <c r="CO426" s="65">
        <f>'Special Corporate+ RI+TPS'!CO41</f>
        <v>0</v>
      </c>
      <c r="CP426" s="65">
        <f>'Special Corporate+ RI+TPS'!CP41</f>
        <v>0</v>
      </c>
      <c r="CQ426" s="65">
        <f>'Special Corporate+ RI+TPS'!CQ41</f>
        <v>0</v>
      </c>
      <c r="CR426" s="65">
        <f>'Special Corporate+ RI+TPS'!CR41</f>
        <v>0</v>
      </c>
      <c r="CS426" s="65">
        <f>'Special Corporate+ RI+TPS'!CS41</f>
        <v>0</v>
      </c>
      <c r="CT426" s="65">
        <f>'Special Corporate+ RI+TPS'!CT41</f>
        <v>0</v>
      </c>
      <c r="CU426" s="65">
        <f>'Special Corporate+ RI+TPS'!CU41</f>
        <v>0</v>
      </c>
      <c r="CV426" s="65">
        <f>'Special Corporate+ RI+TPS'!CV41</f>
        <v>0</v>
      </c>
      <c r="CW426" s="65">
        <f>'Special Corporate+ RI+TPS'!CW41</f>
        <v>0</v>
      </c>
      <c r="CX426" s="65">
        <f>'Special Corporate+ RI+TPS'!CX41</f>
        <v>0</v>
      </c>
      <c r="CY426" s="65">
        <f>'Special Corporate+ RI+TPS'!CY41</f>
        <v>0</v>
      </c>
      <c r="CZ426" s="65">
        <f>'Special Corporate+ RI+TPS'!CZ41</f>
        <v>0</v>
      </c>
      <c r="DA426" s="65">
        <f>'Special Corporate+ RI+TPS'!DA41</f>
        <v>0</v>
      </c>
      <c r="DB426" s="65">
        <f>'Special Corporate+ RI+TPS'!DB41</f>
        <v>0</v>
      </c>
      <c r="DC426" s="65">
        <f>'Special Corporate+ RI+TPS'!DC41</f>
        <v>0</v>
      </c>
      <c r="DD426" s="65">
        <f>'Special Corporate+ RI+TPS'!DD41</f>
        <v>0</v>
      </c>
      <c r="DE426" s="65">
        <f>'Special Corporate+ RI+TPS'!DE41</f>
        <v>0</v>
      </c>
      <c r="DF426" s="65">
        <f>'Special Corporate+ RI+TPS'!DF41</f>
        <v>0</v>
      </c>
      <c r="DG426" s="65">
        <f>'Special Corporate+ RI+TPS'!DG41</f>
        <v>0</v>
      </c>
      <c r="DH426" s="65">
        <f>'Special Corporate+ RI+TPS'!DH41</f>
        <v>0</v>
      </c>
      <c r="DI426" s="65">
        <f>'Special Corporate+ RI+TPS'!DI41</f>
        <v>0</v>
      </c>
      <c r="DJ426" s="65">
        <f>'Special Corporate+ RI+TPS'!DJ41</f>
        <v>0</v>
      </c>
      <c r="DK426" s="65">
        <f>'Special Corporate+ RI+TPS'!DK41</f>
        <v>0</v>
      </c>
      <c r="DL426" s="65">
        <f>'Special Corporate+ RI+TPS'!DL41</f>
        <v>0</v>
      </c>
      <c r="DM426" s="65">
        <f>'Special Corporate+ RI+TPS'!DM41</f>
        <v>0</v>
      </c>
      <c r="DN426" s="65">
        <f>'Special Corporate+ RI+TPS'!DN41</f>
        <v>0</v>
      </c>
      <c r="DO426" s="65">
        <f>'Special Corporate+ RI+TPS'!DO41</f>
        <v>0</v>
      </c>
      <c r="DP426" s="65">
        <f>'Special Corporate+ RI+TPS'!DP41</f>
        <v>0</v>
      </c>
      <c r="DQ426" s="65">
        <f>'Special Corporate+ RI+TPS'!DQ41</f>
        <v>0</v>
      </c>
      <c r="DR426" s="65">
        <f>'Special Corporate+ RI+TPS'!DR41</f>
        <v>0</v>
      </c>
      <c r="DS426" s="65">
        <f>'Special Corporate+ RI+TPS'!DS41</f>
        <v>0</v>
      </c>
      <c r="DT426" s="65">
        <f>'Special Corporate+ RI+TPS'!DT41</f>
        <v>0</v>
      </c>
      <c r="DU426" s="65">
        <f>'Special Corporate+ RI+TPS'!DU41</f>
        <v>0</v>
      </c>
      <c r="DV426" s="65">
        <f>'Special Corporate+ RI+TPS'!DV41</f>
        <v>0</v>
      </c>
      <c r="DW426" s="65">
        <f>'Special Corporate+ RI+TPS'!DW41</f>
        <v>0</v>
      </c>
      <c r="DX426" s="65">
        <f>'Special Corporate+ RI+TPS'!DX41</f>
        <v>0</v>
      </c>
      <c r="DY426" s="65">
        <f>'Special Corporate+ RI+TPS'!DY41</f>
        <v>0</v>
      </c>
      <c r="DZ426" s="65">
        <f>'Special Corporate+ RI+TPS'!DZ41</f>
        <v>0</v>
      </c>
      <c r="EA426" s="65">
        <f>'Special Corporate+ RI+TPS'!EA41</f>
        <v>0</v>
      </c>
      <c r="EB426" s="68"/>
    </row>
    <row r="427" spans="1:132" x14ac:dyDescent="0.2">
      <c r="A427" s="152"/>
      <c r="B427" s="65">
        <f>'Special Corporate+ RI+TPS'!B42</f>
        <v>0</v>
      </c>
      <c r="C427" s="65">
        <f>'Special Corporate+ RI+TPS'!C42</f>
        <v>0</v>
      </c>
      <c r="D427" s="65">
        <f>'Special Corporate+ RI+TPS'!D42</f>
        <v>0</v>
      </c>
      <c r="E427" s="65">
        <f>'Special Corporate+ RI+TPS'!E42</f>
        <v>0</v>
      </c>
      <c r="F427" s="65">
        <f>'Special Corporate+ RI+TPS'!F42</f>
        <v>0</v>
      </c>
      <c r="G427" s="65">
        <f>'Special Corporate+ RI+TPS'!G42</f>
        <v>0</v>
      </c>
      <c r="H427" s="65">
        <f>'Special Corporate+ RI+TPS'!H42</f>
        <v>0</v>
      </c>
      <c r="I427" s="65">
        <f>'Special Corporate+ RI+TPS'!I42</f>
        <v>0</v>
      </c>
      <c r="J427" s="65">
        <f>'Special Corporate+ RI+TPS'!J42</f>
        <v>0</v>
      </c>
      <c r="K427" s="65">
        <f>'Special Corporate+ RI+TPS'!K42</f>
        <v>0</v>
      </c>
      <c r="L427" s="65">
        <f>'Special Corporate+ RI+TPS'!L42</f>
        <v>0</v>
      </c>
      <c r="M427" s="65">
        <f>'Special Corporate+ RI+TPS'!M42</f>
        <v>0</v>
      </c>
      <c r="N427" s="65">
        <f>'Special Corporate+ RI+TPS'!N42</f>
        <v>0</v>
      </c>
      <c r="O427" s="65">
        <f>'Special Corporate+ RI+TPS'!O42</f>
        <v>0</v>
      </c>
      <c r="P427" s="65">
        <f>'Special Corporate+ RI+TPS'!P42</f>
        <v>0</v>
      </c>
      <c r="Q427" s="65">
        <f>'Special Corporate+ RI+TPS'!Q42</f>
        <v>0</v>
      </c>
      <c r="R427" s="65">
        <f>'Special Corporate+ RI+TPS'!R42</f>
        <v>0</v>
      </c>
      <c r="S427" s="65">
        <f>'Special Corporate+ RI+TPS'!S42</f>
        <v>0</v>
      </c>
      <c r="T427" s="65">
        <f>'Special Corporate+ RI+TPS'!T42</f>
        <v>0</v>
      </c>
      <c r="U427" s="65">
        <f>'Special Corporate+ RI+TPS'!U42</f>
        <v>0</v>
      </c>
      <c r="V427" s="65">
        <f>'Special Corporate+ RI+TPS'!V42</f>
        <v>0</v>
      </c>
      <c r="W427" s="65">
        <f>'Special Corporate+ RI+TPS'!W42</f>
        <v>0</v>
      </c>
      <c r="X427" s="65">
        <f>'Special Corporate+ RI+TPS'!X42</f>
        <v>0</v>
      </c>
      <c r="Y427" s="65">
        <f>'Special Corporate+ RI+TPS'!Y42</f>
        <v>0</v>
      </c>
      <c r="Z427" s="65">
        <f>'Special Corporate+ RI+TPS'!Z42</f>
        <v>0</v>
      </c>
      <c r="AA427" s="65">
        <f>'Special Corporate+ RI+TPS'!AA42</f>
        <v>0</v>
      </c>
      <c r="AB427" s="65">
        <f>'Special Corporate+ RI+TPS'!AB42</f>
        <v>0</v>
      </c>
      <c r="AC427" s="65">
        <f>'Special Corporate+ RI+TPS'!AC42</f>
        <v>0</v>
      </c>
      <c r="AD427" s="65">
        <f>'Special Corporate+ RI+TPS'!AD42</f>
        <v>0</v>
      </c>
      <c r="AE427" s="65">
        <f>'Special Corporate+ RI+TPS'!AE42</f>
        <v>0</v>
      </c>
      <c r="AF427" s="65">
        <f>'Special Corporate+ RI+TPS'!AF42</f>
        <v>0</v>
      </c>
      <c r="AG427" s="65">
        <f>'Special Corporate+ RI+TPS'!AG42</f>
        <v>0</v>
      </c>
      <c r="AH427" s="65">
        <f>'Special Corporate+ RI+TPS'!AH42</f>
        <v>0</v>
      </c>
      <c r="AI427" s="65">
        <f>'Special Corporate+ RI+TPS'!AI42</f>
        <v>0</v>
      </c>
      <c r="AJ427" s="65">
        <f>'Special Corporate+ RI+TPS'!AJ42</f>
        <v>0</v>
      </c>
      <c r="AK427" s="65">
        <f>'Special Corporate+ RI+TPS'!AK42</f>
        <v>0</v>
      </c>
      <c r="AL427" s="65">
        <f>'Special Corporate+ RI+TPS'!AL42</f>
        <v>0</v>
      </c>
      <c r="AM427" s="65">
        <f>'Special Corporate+ RI+TPS'!AM42</f>
        <v>0</v>
      </c>
      <c r="AN427" s="65">
        <f>'Special Corporate+ RI+TPS'!AN42</f>
        <v>0</v>
      </c>
      <c r="AO427" s="65">
        <f>'Special Corporate+ RI+TPS'!AO42</f>
        <v>0</v>
      </c>
      <c r="AP427" s="65">
        <f>'Special Corporate+ RI+TPS'!AP42</f>
        <v>0</v>
      </c>
      <c r="AQ427" s="65">
        <f>'Special Corporate+ RI+TPS'!AQ42</f>
        <v>0</v>
      </c>
      <c r="AR427" s="65">
        <f>'Special Corporate+ RI+TPS'!AR42</f>
        <v>0</v>
      </c>
      <c r="AS427" s="65">
        <f>'Special Corporate+ RI+TPS'!AS42</f>
        <v>0</v>
      </c>
      <c r="AT427" s="65">
        <f>'Special Corporate+ RI+TPS'!AT42</f>
        <v>0</v>
      </c>
      <c r="AU427" s="65">
        <f>'Special Corporate+ RI+TPS'!AU42</f>
        <v>0</v>
      </c>
      <c r="AV427" s="65">
        <f>'Special Corporate+ RI+TPS'!AV42</f>
        <v>0</v>
      </c>
      <c r="AW427" s="65">
        <f>'Special Corporate+ RI+TPS'!AW42</f>
        <v>0</v>
      </c>
      <c r="AX427" s="65">
        <f>'Special Corporate+ RI+TPS'!AX42</f>
        <v>0</v>
      </c>
      <c r="AY427" s="65">
        <f>'Special Corporate+ RI+TPS'!AY42</f>
        <v>0</v>
      </c>
      <c r="AZ427" s="65">
        <f>'Special Corporate+ RI+TPS'!AZ42</f>
        <v>0</v>
      </c>
      <c r="BA427" s="65">
        <f>'Special Corporate+ RI+TPS'!BA42</f>
        <v>0</v>
      </c>
      <c r="BB427" s="65">
        <f>'Special Corporate+ RI+TPS'!BB42</f>
        <v>0</v>
      </c>
      <c r="BC427" s="65">
        <f>'Special Corporate+ RI+TPS'!BC42</f>
        <v>0</v>
      </c>
      <c r="BD427" s="65">
        <f>'Special Corporate+ RI+TPS'!BD42</f>
        <v>0</v>
      </c>
      <c r="BE427" s="65">
        <f>'Special Corporate+ RI+TPS'!BE42</f>
        <v>0</v>
      </c>
      <c r="BF427" s="65">
        <f>'Special Corporate+ RI+TPS'!BF42</f>
        <v>0</v>
      </c>
      <c r="BG427" s="65">
        <f>'Special Corporate+ RI+TPS'!BG42</f>
        <v>0</v>
      </c>
      <c r="BH427" s="65">
        <f>'Special Corporate+ RI+TPS'!BH42</f>
        <v>0</v>
      </c>
      <c r="BI427" s="65">
        <f>'Special Corporate+ RI+TPS'!BI42</f>
        <v>0</v>
      </c>
      <c r="BJ427" s="65">
        <f>'Special Corporate+ RI+TPS'!BJ42</f>
        <v>0</v>
      </c>
      <c r="BK427" s="65">
        <f>'Special Corporate+ RI+TPS'!BK42</f>
        <v>0</v>
      </c>
      <c r="BL427" s="65">
        <f>'Special Corporate+ RI+TPS'!BL42</f>
        <v>0</v>
      </c>
      <c r="BM427" s="65">
        <f>'Special Corporate+ RI+TPS'!BM42</f>
        <v>0</v>
      </c>
      <c r="BN427" s="65">
        <f>'Special Corporate+ RI+TPS'!BN42</f>
        <v>0</v>
      </c>
      <c r="BO427" s="65">
        <f>'Special Corporate+ RI+TPS'!BO42</f>
        <v>0</v>
      </c>
      <c r="BP427" s="65">
        <f>'Special Corporate+ RI+TPS'!BP42</f>
        <v>0</v>
      </c>
      <c r="BQ427" s="65">
        <f>'Special Corporate+ RI+TPS'!BQ42</f>
        <v>0</v>
      </c>
      <c r="BR427" s="65">
        <f>'Special Corporate+ RI+TPS'!BR42</f>
        <v>0</v>
      </c>
      <c r="BS427" s="65">
        <f>'Special Corporate+ RI+TPS'!BS42</f>
        <v>0</v>
      </c>
      <c r="BT427" s="65">
        <f>'Special Corporate+ RI+TPS'!BT42</f>
        <v>0</v>
      </c>
      <c r="BU427" s="65">
        <f>'Special Corporate+ RI+TPS'!BU42</f>
        <v>0</v>
      </c>
      <c r="BV427" s="65">
        <f>'Special Corporate+ RI+TPS'!BV42</f>
        <v>0</v>
      </c>
      <c r="BW427" s="65">
        <f>'Special Corporate+ RI+TPS'!BW42</f>
        <v>0</v>
      </c>
      <c r="BX427" s="65">
        <f>'Special Corporate+ RI+TPS'!BX42</f>
        <v>0</v>
      </c>
      <c r="BY427" s="65">
        <f>'Special Corporate+ RI+TPS'!BY42</f>
        <v>0</v>
      </c>
      <c r="BZ427" s="65">
        <f>'Special Corporate+ RI+TPS'!BZ42</f>
        <v>0</v>
      </c>
      <c r="CA427" s="65">
        <f>'Special Corporate+ RI+TPS'!CA42</f>
        <v>0</v>
      </c>
      <c r="CB427" s="65">
        <f>'Special Corporate+ RI+TPS'!CB42</f>
        <v>0</v>
      </c>
      <c r="CC427" s="65">
        <f>'Special Corporate+ RI+TPS'!CC42</f>
        <v>0</v>
      </c>
      <c r="CD427" s="65">
        <f>'Special Corporate+ RI+TPS'!CD42</f>
        <v>0</v>
      </c>
      <c r="CE427" s="65">
        <f>'Special Corporate+ RI+TPS'!CE42</f>
        <v>0</v>
      </c>
      <c r="CF427" s="65">
        <f>'Special Corporate+ RI+TPS'!CF42</f>
        <v>0</v>
      </c>
      <c r="CG427" s="65">
        <f>'Special Corporate+ RI+TPS'!CG42</f>
        <v>0</v>
      </c>
      <c r="CH427" s="65">
        <f>'Special Corporate+ RI+TPS'!CH42</f>
        <v>0</v>
      </c>
      <c r="CI427" s="65">
        <f>'Special Corporate+ RI+TPS'!CI42</f>
        <v>0</v>
      </c>
      <c r="CJ427" s="65">
        <f>'Special Corporate+ RI+TPS'!CJ42</f>
        <v>0</v>
      </c>
      <c r="CK427" s="65">
        <f>'Special Corporate+ RI+TPS'!CK42</f>
        <v>0</v>
      </c>
      <c r="CL427" s="65">
        <f>'Special Corporate+ RI+TPS'!CL42</f>
        <v>0</v>
      </c>
      <c r="CM427" s="65">
        <f>'Special Corporate+ RI+TPS'!CM42</f>
        <v>0</v>
      </c>
      <c r="CN427" s="65">
        <f>'Special Corporate+ RI+TPS'!CN42</f>
        <v>0</v>
      </c>
      <c r="CO427" s="65">
        <f>'Special Corporate+ RI+TPS'!CO42</f>
        <v>0</v>
      </c>
      <c r="CP427" s="65">
        <f>'Special Corporate+ RI+TPS'!CP42</f>
        <v>0</v>
      </c>
      <c r="CQ427" s="65">
        <f>'Special Corporate+ RI+TPS'!CQ42</f>
        <v>0</v>
      </c>
      <c r="CR427" s="65">
        <f>'Special Corporate+ RI+TPS'!CR42</f>
        <v>0</v>
      </c>
      <c r="CS427" s="65">
        <f>'Special Corporate+ RI+TPS'!CS42</f>
        <v>0</v>
      </c>
      <c r="CT427" s="65">
        <f>'Special Corporate+ RI+TPS'!CT42</f>
        <v>0</v>
      </c>
      <c r="CU427" s="65">
        <f>'Special Corporate+ RI+TPS'!CU42</f>
        <v>0</v>
      </c>
      <c r="CV427" s="65">
        <f>'Special Corporate+ RI+TPS'!CV42</f>
        <v>0</v>
      </c>
      <c r="CW427" s="65">
        <f>'Special Corporate+ RI+TPS'!CW42</f>
        <v>0</v>
      </c>
      <c r="CX427" s="65">
        <f>'Special Corporate+ RI+TPS'!CX42</f>
        <v>0</v>
      </c>
      <c r="CY427" s="65">
        <f>'Special Corporate+ RI+TPS'!CY42</f>
        <v>0</v>
      </c>
      <c r="CZ427" s="65">
        <f>'Special Corporate+ RI+TPS'!CZ42</f>
        <v>0</v>
      </c>
      <c r="DA427" s="65">
        <f>'Special Corporate+ RI+TPS'!DA42</f>
        <v>0</v>
      </c>
      <c r="DB427" s="65">
        <f>'Special Corporate+ RI+TPS'!DB42</f>
        <v>0</v>
      </c>
      <c r="DC427" s="65">
        <f>'Special Corporate+ RI+TPS'!DC42</f>
        <v>0</v>
      </c>
      <c r="DD427" s="65">
        <f>'Special Corporate+ RI+TPS'!DD42</f>
        <v>0</v>
      </c>
      <c r="DE427" s="65">
        <f>'Special Corporate+ RI+TPS'!DE42</f>
        <v>0</v>
      </c>
      <c r="DF427" s="65">
        <f>'Special Corporate+ RI+TPS'!DF42</f>
        <v>0</v>
      </c>
      <c r="DG427" s="65">
        <f>'Special Corporate+ RI+TPS'!DG42</f>
        <v>0</v>
      </c>
      <c r="DH427" s="65">
        <f>'Special Corporate+ RI+TPS'!DH42</f>
        <v>0</v>
      </c>
      <c r="DI427" s="65">
        <f>'Special Corporate+ RI+TPS'!DI42</f>
        <v>0</v>
      </c>
      <c r="DJ427" s="65">
        <f>'Special Corporate+ RI+TPS'!DJ42</f>
        <v>0</v>
      </c>
      <c r="DK427" s="65">
        <f>'Special Corporate+ RI+TPS'!DK42</f>
        <v>0</v>
      </c>
      <c r="DL427" s="65">
        <f>'Special Corporate+ RI+TPS'!DL42</f>
        <v>0</v>
      </c>
      <c r="DM427" s="65">
        <f>'Special Corporate+ RI+TPS'!DM42</f>
        <v>0</v>
      </c>
      <c r="DN427" s="65">
        <f>'Special Corporate+ RI+TPS'!DN42</f>
        <v>0</v>
      </c>
      <c r="DO427" s="65">
        <f>'Special Corporate+ RI+TPS'!DO42</f>
        <v>0</v>
      </c>
      <c r="DP427" s="65">
        <f>'Special Corporate+ RI+TPS'!DP42</f>
        <v>0</v>
      </c>
      <c r="DQ427" s="65">
        <f>'Special Corporate+ RI+TPS'!DQ42</f>
        <v>0</v>
      </c>
      <c r="DR427" s="65">
        <f>'Special Corporate+ RI+TPS'!DR42</f>
        <v>0</v>
      </c>
      <c r="DS427" s="65">
        <f>'Special Corporate+ RI+TPS'!DS42</f>
        <v>0</v>
      </c>
      <c r="DT427" s="65">
        <f>'Special Corporate+ RI+TPS'!DT42</f>
        <v>0</v>
      </c>
      <c r="DU427" s="65">
        <f>'Special Corporate+ RI+TPS'!DU42</f>
        <v>0</v>
      </c>
      <c r="DV427" s="65">
        <f>'Special Corporate+ RI+TPS'!DV42</f>
        <v>0</v>
      </c>
      <c r="DW427" s="65">
        <f>'Special Corporate+ RI+TPS'!DW42</f>
        <v>0</v>
      </c>
      <c r="DX427" s="65">
        <f>'Special Corporate+ RI+TPS'!DX42</f>
        <v>0</v>
      </c>
      <c r="DY427" s="65">
        <f>'Special Corporate+ RI+TPS'!DY42</f>
        <v>0</v>
      </c>
      <c r="DZ427" s="65">
        <f>'Special Corporate+ RI+TPS'!DZ42</f>
        <v>0</v>
      </c>
      <c r="EA427" s="65">
        <f>'Special Corporate+ RI+TPS'!EA42</f>
        <v>0</v>
      </c>
      <c r="EB427" s="68"/>
    </row>
    <row r="428" spans="1:132" x14ac:dyDescent="0.2">
      <c r="A428" s="152"/>
      <c r="B428" s="65">
        <f>'Special Corporate+ RI+TPS'!B43</f>
        <v>0</v>
      </c>
      <c r="C428" s="65">
        <f>'Special Corporate+ RI+TPS'!C43</f>
        <v>0</v>
      </c>
      <c r="D428" s="65">
        <f>'Special Corporate+ RI+TPS'!D43</f>
        <v>0</v>
      </c>
      <c r="E428" s="65">
        <f>'Special Corporate+ RI+TPS'!E43</f>
        <v>0</v>
      </c>
      <c r="F428" s="65">
        <f>'Special Corporate+ RI+TPS'!F43</f>
        <v>0</v>
      </c>
      <c r="G428" s="65">
        <f>'Special Corporate+ RI+TPS'!G43</f>
        <v>0</v>
      </c>
      <c r="H428" s="65">
        <f>'Special Corporate+ RI+TPS'!H43</f>
        <v>0</v>
      </c>
      <c r="I428" s="65">
        <f>'Special Corporate+ RI+TPS'!I43</f>
        <v>0</v>
      </c>
      <c r="J428" s="65">
        <f>'Special Corporate+ RI+TPS'!J43</f>
        <v>0</v>
      </c>
      <c r="K428" s="65">
        <f>'Special Corporate+ RI+TPS'!K43</f>
        <v>0</v>
      </c>
      <c r="L428" s="65">
        <f>'Special Corporate+ RI+TPS'!L43</f>
        <v>0</v>
      </c>
      <c r="M428" s="65">
        <f>'Special Corporate+ RI+TPS'!M43</f>
        <v>0</v>
      </c>
      <c r="N428" s="65">
        <f>'Special Corporate+ RI+TPS'!N43</f>
        <v>0</v>
      </c>
      <c r="O428" s="65">
        <f>'Special Corporate+ RI+TPS'!O43</f>
        <v>0</v>
      </c>
      <c r="P428" s="65">
        <f>'Special Corporate+ RI+TPS'!P43</f>
        <v>0</v>
      </c>
      <c r="Q428" s="65">
        <f>'Special Corporate+ RI+TPS'!Q43</f>
        <v>0</v>
      </c>
      <c r="R428" s="65">
        <f>'Special Corporate+ RI+TPS'!R43</f>
        <v>0</v>
      </c>
      <c r="S428" s="65">
        <f>'Special Corporate+ RI+TPS'!S43</f>
        <v>0</v>
      </c>
      <c r="T428" s="65">
        <f>'Special Corporate+ RI+TPS'!T43</f>
        <v>0</v>
      </c>
      <c r="U428" s="65">
        <f>'Special Corporate+ RI+TPS'!U43</f>
        <v>0</v>
      </c>
      <c r="V428" s="65">
        <f>'Special Corporate+ RI+TPS'!V43</f>
        <v>0</v>
      </c>
      <c r="W428" s="65">
        <f>'Special Corporate+ RI+TPS'!W43</f>
        <v>0</v>
      </c>
      <c r="X428" s="65">
        <f>'Special Corporate+ RI+TPS'!X43</f>
        <v>0</v>
      </c>
      <c r="Y428" s="65">
        <f>'Special Corporate+ RI+TPS'!Y43</f>
        <v>0</v>
      </c>
      <c r="Z428" s="65">
        <f>'Special Corporate+ RI+TPS'!Z43</f>
        <v>0</v>
      </c>
      <c r="AA428" s="65">
        <f>'Special Corporate+ RI+TPS'!AA43</f>
        <v>0</v>
      </c>
      <c r="AB428" s="65">
        <f>'Special Corporate+ RI+TPS'!AB43</f>
        <v>0</v>
      </c>
      <c r="AC428" s="65">
        <f>'Special Corporate+ RI+TPS'!AC43</f>
        <v>0</v>
      </c>
      <c r="AD428" s="65">
        <f>'Special Corporate+ RI+TPS'!AD43</f>
        <v>0</v>
      </c>
      <c r="AE428" s="65">
        <f>'Special Corporate+ RI+TPS'!AE43</f>
        <v>0</v>
      </c>
      <c r="AF428" s="65">
        <f>'Special Corporate+ RI+TPS'!AF43</f>
        <v>0</v>
      </c>
      <c r="AG428" s="65">
        <f>'Special Corporate+ RI+TPS'!AG43</f>
        <v>0</v>
      </c>
      <c r="AH428" s="65">
        <f>'Special Corporate+ RI+TPS'!AH43</f>
        <v>0</v>
      </c>
      <c r="AI428" s="65">
        <f>'Special Corporate+ RI+TPS'!AI43</f>
        <v>0</v>
      </c>
      <c r="AJ428" s="65">
        <f>'Special Corporate+ RI+TPS'!AJ43</f>
        <v>0</v>
      </c>
      <c r="AK428" s="65">
        <f>'Special Corporate+ RI+TPS'!AK43</f>
        <v>0</v>
      </c>
      <c r="AL428" s="65">
        <f>'Special Corporate+ RI+TPS'!AL43</f>
        <v>0</v>
      </c>
      <c r="AM428" s="65">
        <f>'Special Corporate+ RI+TPS'!AM43</f>
        <v>0</v>
      </c>
      <c r="AN428" s="65">
        <f>'Special Corporate+ RI+TPS'!AN43</f>
        <v>0</v>
      </c>
      <c r="AO428" s="65">
        <f>'Special Corporate+ RI+TPS'!AO43</f>
        <v>0</v>
      </c>
      <c r="AP428" s="65">
        <f>'Special Corporate+ RI+TPS'!AP43</f>
        <v>0</v>
      </c>
      <c r="AQ428" s="65">
        <f>'Special Corporate+ RI+TPS'!AQ43</f>
        <v>0</v>
      </c>
      <c r="AR428" s="65">
        <f>'Special Corporate+ RI+TPS'!AR43</f>
        <v>0</v>
      </c>
      <c r="AS428" s="65">
        <f>'Special Corporate+ RI+TPS'!AS43</f>
        <v>0</v>
      </c>
      <c r="AT428" s="65">
        <f>'Special Corporate+ RI+TPS'!AT43</f>
        <v>0</v>
      </c>
      <c r="AU428" s="65">
        <f>'Special Corporate+ RI+TPS'!AU43</f>
        <v>0</v>
      </c>
      <c r="AV428" s="65">
        <f>'Special Corporate+ RI+TPS'!AV43</f>
        <v>0</v>
      </c>
      <c r="AW428" s="65">
        <f>'Special Corporate+ RI+TPS'!AW43</f>
        <v>0</v>
      </c>
      <c r="AX428" s="65">
        <f>'Special Corporate+ RI+TPS'!AX43</f>
        <v>0</v>
      </c>
      <c r="AY428" s="65">
        <f>'Special Corporate+ RI+TPS'!AY43</f>
        <v>0</v>
      </c>
      <c r="AZ428" s="65">
        <f>'Special Corporate+ RI+TPS'!AZ43</f>
        <v>0</v>
      </c>
      <c r="BA428" s="65">
        <f>'Special Corporate+ RI+TPS'!BA43</f>
        <v>0</v>
      </c>
      <c r="BB428" s="65">
        <f>'Special Corporate+ RI+TPS'!BB43</f>
        <v>0</v>
      </c>
      <c r="BC428" s="65">
        <f>'Special Corporate+ RI+TPS'!BC43</f>
        <v>0</v>
      </c>
      <c r="BD428" s="65">
        <f>'Special Corporate+ RI+TPS'!BD43</f>
        <v>0</v>
      </c>
      <c r="BE428" s="65">
        <f>'Special Corporate+ RI+TPS'!BE43</f>
        <v>0</v>
      </c>
      <c r="BF428" s="65">
        <f>'Special Corporate+ RI+TPS'!BF43</f>
        <v>0</v>
      </c>
      <c r="BG428" s="65">
        <f>'Special Corporate+ RI+TPS'!BG43</f>
        <v>0</v>
      </c>
      <c r="BH428" s="65">
        <f>'Special Corporate+ RI+TPS'!BH43</f>
        <v>0</v>
      </c>
      <c r="BI428" s="65">
        <f>'Special Corporate+ RI+TPS'!BI43</f>
        <v>0</v>
      </c>
      <c r="BJ428" s="65">
        <f>'Special Corporate+ RI+TPS'!BJ43</f>
        <v>0</v>
      </c>
      <c r="BK428" s="65">
        <f>'Special Corporate+ RI+TPS'!BK43</f>
        <v>0</v>
      </c>
      <c r="BL428" s="65">
        <f>'Special Corporate+ RI+TPS'!BL43</f>
        <v>0</v>
      </c>
      <c r="BM428" s="65">
        <f>'Special Corporate+ RI+TPS'!BM43</f>
        <v>0</v>
      </c>
      <c r="BN428" s="65">
        <f>'Special Corporate+ RI+TPS'!BN43</f>
        <v>0</v>
      </c>
      <c r="BO428" s="65">
        <f>'Special Corporate+ RI+TPS'!BO43</f>
        <v>0</v>
      </c>
      <c r="BP428" s="65">
        <f>'Special Corporate+ RI+TPS'!BP43</f>
        <v>0</v>
      </c>
      <c r="BQ428" s="65">
        <f>'Special Corporate+ RI+TPS'!BQ43</f>
        <v>0</v>
      </c>
      <c r="BR428" s="65">
        <f>'Special Corporate+ RI+TPS'!BR43</f>
        <v>0</v>
      </c>
      <c r="BS428" s="65">
        <f>'Special Corporate+ RI+TPS'!BS43</f>
        <v>0</v>
      </c>
      <c r="BT428" s="65">
        <f>'Special Corporate+ RI+TPS'!BT43</f>
        <v>0</v>
      </c>
      <c r="BU428" s="65">
        <f>'Special Corporate+ RI+TPS'!BU43</f>
        <v>0</v>
      </c>
      <c r="BV428" s="65">
        <f>'Special Corporate+ RI+TPS'!BV43</f>
        <v>0</v>
      </c>
      <c r="BW428" s="65">
        <f>'Special Corporate+ RI+TPS'!BW43</f>
        <v>0</v>
      </c>
      <c r="BX428" s="65">
        <f>'Special Corporate+ RI+TPS'!BX43</f>
        <v>0</v>
      </c>
      <c r="BY428" s="65">
        <f>'Special Corporate+ RI+TPS'!BY43</f>
        <v>0</v>
      </c>
      <c r="BZ428" s="65">
        <f>'Special Corporate+ RI+TPS'!BZ43</f>
        <v>0</v>
      </c>
      <c r="CA428" s="65">
        <f>'Special Corporate+ RI+TPS'!CA43</f>
        <v>0</v>
      </c>
      <c r="CB428" s="65">
        <f>'Special Corporate+ RI+TPS'!CB43</f>
        <v>0</v>
      </c>
      <c r="CC428" s="65">
        <f>'Special Corporate+ RI+TPS'!CC43</f>
        <v>0</v>
      </c>
      <c r="CD428" s="65">
        <f>'Special Corporate+ RI+TPS'!CD43</f>
        <v>0</v>
      </c>
      <c r="CE428" s="65">
        <f>'Special Corporate+ RI+TPS'!CE43</f>
        <v>0</v>
      </c>
      <c r="CF428" s="65">
        <f>'Special Corporate+ RI+TPS'!CF43</f>
        <v>0</v>
      </c>
      <c r="CG428" s="65">
        <f>'Special Corporate+ RI+TPS'!CG43</f>
        <v>0</v>
      </c>
      <c r="CH428" s="65">
        <f>'Special Corporate+ RI+TPS'!CH43</f>
        <v>0</v>
      </c>
      <c r="CI428" s="65">
        <f>'Special Corporate+ RI+TPS'!CI43</f>
        <v>0</v>
      </c>
      <c r="CJ428" s="65">
        <f>'Special Corporate+ RI+TPS'!CJ43</f>
        <v>0</v>
      </c>
      <c r="CK428" s="65">
        <f>'Special Corporate+ RI+TPS'!CK43</f>
        <v>0</v>
      </c>
      <c r="CL428" s="65">
        <f>'Special Corporate+ RI+TPS'!CL43</f>
        <v>0</v>
      </c>
      <c r="CM428" s="65">
        <f>'Special Corporate+ RI+TPS'!CM43</f>
        <v>0</v>
      </c>
      <c r="CN428" s="65">
        <f>'Special Corporate+ RI+TPS'!CN43</f>
        <v>0</v>
      </c>
      <c r="CO428" s="65">
        <f>'Special Corporate+ RI+TPS'!CO43</f>
        <v>0</v>
      </c>
      <c r="CP428" s="65">
        <f>'Special Corporate+ RI+TPS'!CP43</f>
        <v>0</v>
      </c>
      <c r="CQ428" s="65">
        <f>'Special Corporate+ RI+TPS'!CQ43</f>
        <v>0</v>
      </c>
      <c r="CR428" s="65">
        <f>'Special Corporate+ RI+TPS'!CR43</f>
        <v>0</v>
      </c>
      <c r="CS428" s="65">
        <f>'Special Corporate+ RI+TPS'!CS43</f>
        <v>0</v>
      </c>
      <c r="CT428" s="65">
        <f>'Special Corporate+ RI+TPS'!CT43</f>
        <v>0</v>
      </c>
      <c r="CU428" s="65">
        <f>'Special Corporate+ RI+TPS'!CU43</f>
        <v>0</v>
      </c>
      <c r="CV428" s="65">
        <f>'Special Corporate+ RI+TPS'!CV43</f>
        <v>0</v>
      </c>
      <c r="CW428" s="65">
        <f>'Special Corporate+ RI+TPS'!CW43</f>
        <v>0</v>
      </c>
      <c r="CX428" s="65">
        <f>'Special Corporate+ RI+TPS'!CX43</f>
        <v>0</v>
      </c>
      <c r="CY428" s="65">
        <f>'Special Corporate+ RI+TPS'!CY43</f>
        <v>0</v>
      </c>
      <c r="CZ428" s="65">
        <f>'Special Corporate+ RI+TPS'!CZ43</f>
        <v>0</v>
      </c>
      <c r="DA428" s="65">
        <f>'Special Corporate+ RI+TPS'!DA43</f>
        <v>0</v>
      </c>
      <c r="DB428" s="65">
        <f>'Special Corporate+ RI+TPS'!DB43</f>
        <v>0</v>
      </c>
      <c r="DC428" s="65">
        <f>'Special Corporate+ RI+TPS'!DC43</f>
        <v>0</v>
      </c>
      <c r="DD428" s="65">
        <f>'Special Corporate+ RI+TPS'!DD43</f>
        <v>0</v>
      </c>
      <c r="DE428" s="65">
        <f>'Special Corporate+ RI+TPS'!DE43</f>
        <v>0</v>
      </c>
      <c r="DF428" s="65">
        <f>'Special Corporate+ RI+TPS'!DF43</f>
        <v>0</v>
      </c>
      <c r="DG428" s="65">
        <f>'Special Corporate+ RI+TPS'!DG43</f>
        <v>0</v>
      </c>
      <c r="DH428" s="65">
        <f>'Special Corporate+ RI+TPS'!DH43</f>
        <v>0</v>
      </c>
      <c r="DI428" s="65">
        <f>'Special Corporate+ RI+TPS'!DI43</f>
        <v>0</v>
      </c>
      <c r="DJ428" s="65">
        <f>'Special Corporate+ RI+TPS'!DJ43</f>
        <v>0</v>
      </c>
      <c r="DK428" s="65">
        <f>'Special Corporate+ RI+TPS'!DK43</f>
        <v>0</v>
      </c>
      <c r="DL428" s="65">
        <f>'Special Corporate+ RI+TPS'!DL43</f>
        <v>0</v>
      </c>
      <c r="DM428" s="65">
        <f>'Special Corporate+ RI+TPS'!DM43</f>
        <v>0</v>
      </c>
      <c r="DN428" s="65">
        <f>'Special Corporate+ RI+TPS'!DN43</f>
        <v>0</v>
      </c>
      <c r="DO428" s="65">
        <f>'Special Corporate+ RI+TPS'!DO43</f>
        <v>0</v>
      </c>
      <c r="DP428" s="65">
        <f>'Special Corporate+ RI+TPS'!DP43</f>
        <v>0</v>
      </c>
      <c r="DQ428" s="65">
        <f>'Special Corporate+ RI+TPS'!DQ43</f>
        <v>0</v>
      </c>
      <c r="DR428" s="65">
        <f>'Special Corporate+ RI+TPS'!DR43</f>
        <v>0</v>
      </c>
      <c r="DS428" s="65">
        <f>'Special Corporate+ RI+TPS'!DS43</f>
        <v>0</v>
      </c>
      <c r="DT428" s="65">
        <f>'Special Corporate+ RI+TPS'!DT43</f>
        <v>0</v>
      </c>
      <c r="DU428" s="65">
        <f>'Special Corporate+ RI+TPS'!DU43</f>
        <v>0</v>
      </c>
      <c r="DV428" s="65">
        <f>'Special Corporate+ RI+TPS'!DV43</f>
        <v>0</v>
      </c>
      <c r="DW428" s="65">
        <f>'Special Corporate+ RI+TPS'!DW43</f>
        <v>0</v>
      </c>
      <c r="DX428" s="65">
        <f>'Special Corporate+ RI+TPS'!DX43</f>
        <v>0</v>
      </c>
      <c r="DY428" s="65">
        <f>'Special Corporate+ RI+TPS'!DY43</f>
        <v>0</v>
      </c>
      <c r="DZ428" s="65">
        <f>'Special Corporate+ RI+TPS'!DZ43</f>
        <v>0</v>
      </c>
      <c r="EA428" s="65">
        <f>'Special Corporate+ RI+TPS'!EA43</f>
        <v>0</v>
      </c>
      <c r="EB428" s="68"/>
    </row>
    <row r="429" spans="1:132" x14ac:dyDescent="0.2">
      <c r="A429" s="152"/>
      <c r="B429" s="65">
        <f>'Special Corporate+ RI+TPS'!B44</f>
        <v>0</v>
      </c>
      <c r="C429" s="65">
        <f>'Special Corporate+ RI+TPS'!C44</f>
        <v>0</v>
      </c>
      <c r="D429" s="65">
        <f>'Special Corporate+ RI+TPS'!D44</f>
        <v>0</v>
      </c>
      <c r="E429" s="65">
        <f>'Special Corporate+ RI+TPS'!E44</f>
        <v>0</v>
      </c>
      <c r="F429" s="65">
        <f>'Special Corporate+ RI+TPS'!F44</f>
        <v>0</v>
      </c>
      <c r="G429" s="65">
        <f>'Special Corporate+ RI+TPS'!G44</f>
        <v>0</v>
      </c>
      <c r="H429" s="65">
        <f>'Special Corporate+ RI+TPS'!H44</f>
        <v>0</v>
      </c>
      <c r="I429" s="65">
        <f>'Special Corporate+ RI+TPS'!I44</f>
        <v>0</v>
      </c>
      <c r="J429" s="65">
        <f>'Special Corporate+ RI+TPS'!J44</f>
        <v>0</v>
      </c>
      <c r="K429" s="65">
        <f>'Special Corporate+ RI+TPS'!K44</f>
        <v>0</v>
      </c>
      <c r="L429" s="65">
        <f>'Special Corporate+ RI+TPS'!L44</f>
        <v>0</v>
      </c>
      <c r="M429" s="65">
        <f>'Special Corporate+ RI+TPS'!M44</f>
        <v>0</v>
      </c>
      <c r="N429" s="65">
        <f>'Special Corporate+ RI+TPS'!N44</f>
        <v>0</v>
      </c>
      <c r="O429" s="65">
        <f>'Special Corporate+ RI+TPS'!O44</f>
        <v>0</v>
      </c>
      <c r="P429" s="65">
        <f>'Special Corporate+ RI+TPS'!P44</f>
        <v>0</v>
      </c>
      <c r="Q429" s="65">
        <f>'Special Corporate+ RI+TPS'!Q44</f>
        <v>0</v>
      </c>
      <c r="R429" s="65">
        <f>'Special Corporate+ RI+TPS'!R44</f>
        <v>0</v>
      </c>
      <c r="S429" s="65">
        <f>'Special Corporate+ RI+TPS'!S44</f>
        <v>0</v>
      </c>
      <c r="T429" s="65">
        <f>'Special Corporate+ RI+TPS'!T44</f>
        <v>0</v>
      </c>
      <c r="U429" s="65">
        <f>'Special Corporate+ RI+TPS'!U44</f>
        <v>0</v>
      </c>
      <c r="V429" s="65">
        <f>'Special Corporate+ RI+TPS'!V44</f>
        <v>0</v>
      </c>
      <c r="W429" s="65">
        <f>'Special Corporate+ RI+TPS'!W44</f>
        <v>0</v>
      </c>
      <c r="X429" s="65">
        <f>'Special Corporate+ RI+TPS'!X44</f>
        <v>0</v>
      </c>
      <c r="Y429" s="65">
        <f>'Special Corporate+ RI+TPS'!Y44</f>
        <v>0</v>
      </c>
      <c r="Z429" s="65">
        <f>'Special Corporate+ RI+TPS'!Z44</f>
        <v>0</v>
      </c>
      <c r="AA429" s="65">
        <f>'Special Corporate+ RI+TPS'!AA44</f>
        <v>0</v>
      </c>
      <c r="AB429" s="65">
        <f>'Special Corporate+ RI+TPS'!AB44</f>
        <v>0</v>
      </c>
      <c r="AC429" s="65">
        <f>'Special Corporate+ RI+TPS'!AC44</f>
        <v>0</v>
      </c>
      <c r="AD429" s="65">
        <f>'Special Corporate+ RI+TPS'!AD44</f>
        <v>0</v>
      </c>
      <c r="AE429" s="65">
        <f>'Special Corporate+ RI+TPS'!AE44</f>
        <v>0</v>
      </c>
      <c r="AF429" s="65">
        <f>'Special Corporate+ RI+TPS'!AF44</f>
        <v>0</v>
      </c>
      <c r="AG429" s="65">
        <f>'Special Corporate+ RI+TPS'!AG44</f>
        <v>0</v>
      </c>
      <c r="AH429" s="65">
        <f>'Special Corporate+ RI+TPS'!AH44</f>
        <v>0</v>
      </c>
      <c r="AI429" s="65">
        <f>'Special Corporate+ RI+TPS'!AI44</f>
        <v>0</v>
      </c>
      <c r="AJ429" s="65">
        <f>'Special Corporate+ RI+TPS'!AJ44</f>
        <v>0</v>
      </c>
      <c r="AK429" s="65">
        <f>'Special Corporate+ RI+TPS'!AK44</f>
        <v>0</v>
      </c>
      <c r="AL429" s="65">
        <f>'Special Corporate+ RI+TPS'!AL44</f>
        <v>0</v>
      </c>
      <c r="AM429" s="65">
        <f>'Special Corporate+ RI+TPS'!AM44</f>
        <v>0</v>
      </c>
      <c r="AN429" s="65">
        <f>'Special Corporate+ RI+TPS'!AN44</f>
        <v>0</v>
      </c>
      <c r="AO429" s="65">
        <f>'Special Corporate+ RI+TPS'!AO44</f>
        <v>0</v>
      </c>
      <c r="AP429" s="65">
        <f>'Special Corporate+ RI+TPS'!AP44</f>
        <v>0</v>
      </c>
      <c r="AQ429" s="65">
        <f>'Special Corporate+ RI+TPS'!AQ44</f>
        <v>0</v>
      </c>
      <c r="AR429" s="65">
        <f>'Special Corporate+ RI+TPS'!AR44</f>
        <v>0</v>
      </c>
      <c r="AS429" s="65">
        <f>'Special Corporate+ RI+TPS'!AS44</f>
        <v>0</v>
      </c>
      <c r="AT429" s="65">
        <f>'Special Corporate+ RI+TPS'!AT44</f>
        <v>0</v>
      </c>
      <c r="AU429" s="65">
        <f>'Special Corporate+ RI+TPS'!AU44</f>
        <v>0</v>
      </c>
      <c r="AV429" s="65">
        <f>'Special Corporate+ RI+TPS'!AV44</f>
        <v>0</v>
      </c>
      <c r="AW429" s="65">
        <f>'Special Corporate+ RI+TPS'!AW44</f>
        <v>0</v>
      </c>
      <c r="AX429" s="65">
        <f>'Special Corporate+ RI+TPS'!AX44</f>
        <v>0</v>
      </c>
      <c r="AY429" s="65">
        <f>'Special Corporate+ RI+TPS'!AY44</f>
        <v>0</v>
      </c>
      <c r="AZ429" s="65">
        <f>'Special Corporate+ RI+TPS'!AZ44</f>
        <v>0</v>
      </c>
      <c r="BA429" s="65">
        <f>'Special Corporate+ RI+TPS'!BA44</f>
        <v>0</v>
      </c>
      <c r="BB429" s="65">
        <f>'Special Corporate+ RI+TPS'!BB44</f>
        <v>0</v>
      </c>
      <c r="BC429" s="65">
        <f>'Special Corporate+ RI+TPS'!BC44</f>
        <v>0</v>
      </c>
      <c r="BD429" s="65">
        <f>'Special Corporate+ RI+TPS'!BD44</f>
        <v>0</v>
      </c>
      <c r="BE429" s="65">
        <f>'Special Corporate+ RI+TPS'!BE44</f>
        <v>0</v>
      </c>
      <c r="BF429" s="65">
        <f>'Special Corporate+ RI+TPS'!BF44</f>
        <v>0</v>
      </c>
      <c r="BG429" s="65">
        <f>'Special Corporate+ RI+TPS'!BG44</f>
        <v>0</v>
      </c>
      <c r="BH429" s="65">
        <f>'Special Corporate+ RI+TPS'!BH44</f>
        <v>0</v>
      </c>
      <c r="BI429" s="65">
        <f>'Special Corporate+ RI+TPS'!BI44</f>
        <v>0</v>
      </c>
      <c r="BJ429" s="65">
        <f>'Special Corporate+ RI+TPS'!BJ44</f>
        <v>0</v>
      </c>
      <c r="BK429" s="65">
        <f>'Special Corporate+ RI+TPS'!BK44</f>
        <v>0</v>
      </c>
      <c r="BL429" s="65">
        <f>'Special Corporate+ RI+TPS'!BL44</f>
        <v>0</v>
      </c>
      <c r="BM429" s="65">
        <f>'Special Corporate+ RI+TPS'!BM44</f>
        <v>0</v>
      </c>
      <c r="BN429" s="65">
        <f>'Special Corporate+ RI+TPS'!BN44</f>
        <v>0</v>
      </c>
      <c r="BO429" s="65">
        <f>'Special Corporate+ RI+TPS'!BO44</f>
        <v>0</v>
      </c>
      <c r="BP429" s="65">
        <f>'Special Corporate+ RI+TPS'!BP44</f>
        <v>0</v>
      </c>
      <c r="BQ429" s="65">
        <f>'Special Corporate+ RI+TPS'!BQ44</f>
        <v>0</v>
      </c>
      <c r="BR429" s="65">
        <f>'Special Corporate+ RI+TPS'!BR44</f>
        <v>0</v>
      </c>
      <c r="BS429" s="65">
        <f>'Special Corporate+ RI+TPS'!BS44</f>
        <v>0</v>
      </c>
      <c r="BT429" s="65">
        <f>'Special Corporate+ RI+TPS'!BT44</f>
        <v>0</v>
      </c>
      <c r="BU429" s="65">
        <f>'Special Corporate+ RI+TPS'!BU44</f>
        <v>0</v>
      </c>
      <c r="BV429" s="65">
        <f>'Special Corporate+ RI+TPS'!BV44</f>
        <v>0</v>
      </c>
      <c r="BW429" s="65">
        <f>'Special Corporate+ RI+TPS'!BW44</f>
        <v>0</v>
      </c>
      <c r="BX429" s="65">
        <f>'Special Corporate+ RI+TPS'!BX44</f>
        <v>0</v>
      </c>
      <c r="BY429" s="65">
        <f>'Special Corporate+ RI+TPS'!BY44</f>
        <v>0</v>
      </c>
      <c r="BZ429" s="65">
        <f>'Special Corporate+ RI+TPS'!BZ44</f>
        <v>0</v>
      </c>
      <c r="CA429" s="65">
        <f>'Special Corporate+ RI+TPS'!CA44</f>
        <v>0</v>
      </c>
      <c r="CB429" s="65">
        <f>'Special Corporate+ RI+TPS'!CB44</f>
        <v>0</v>
      </c>
      <c r="CC429" s="65">
        <f>'Special Corporate+ RI+TPS'!CC44</f>
        <v>0</v>
      </c>
      <c r="CD429" s="65">
        <f>'Special Corporate+ RI+TPS'!CD44</f>
        <v>0</v>
      </c>
      <c r="CE429" s="65">
        <f>'Special Corporate+ RI+TPS'!CE44</f>
        <v>0</v>
      </c>
      <c r="CF429" s="65">
        <f>'Special Corporate+ RI+TPS'!CF44</f>
        <v>0</v>
      </c>
      <c r="CG429" s="65">
        <f>'Special Corporate+ RI+TPS'!CG44</f>
        <v>0</v>
      </c>
      <c r="CH429" s="65">
        <f>'Special Corporate+ RI+TPS'!CH44</f>
        <v>0</v>
      </c>
      <c r="CI429" s="65">
        <f>'Special Corporate+ RI+TPS'!CI44</f>
        <v>0</v>
      </c>
      <c r="CJ429" s="65">
        <f>'Special Corporate+ RI+TPS'!CJ44</f>
        <v>0</v>
      </c>
      <c r="CK429" s="65">
        <f>'Special Corporate+ RI+TPS'!CK44</f>
        <v>0</v>
      </c>
      <c r="CL429" s="65">
        <f>'Special Corporate+ RI+TPS'!CL44</f>
        <v>0</v>
      </c>
      <c r="CM429" s="65">
        <f>'Special Corporate+ RI+TPS'!CM44</f>
        <v>0</v>
      </c>
      <c r="CN429" s="65">
        <f>'Special Corporate+ RI+TPS'!CN44</f>
        <v>0</v>
      </c>
      <c r="CO429" s="65">
        <f>'Special Corporate+ RI+TPS'!CO44</f>
        <v>0</v>
      </c>
      <c r="CP429" s="65">
        <f>'Special Corporate+ RI+TPS'!CP44</f>
        <v>0</v>
      </c>
      <c r="CQ429" s="65">
        <f>'Special Corporate+ RI+TPS'!CQ44</f>
        <v>0</v>
      </c>
      <c r="CR429" s="65">
        <f>'Special Corporate+ RI+TPS'!CR44</f>
        <v>0</v>
      </c>
      <c r="CS429" s="65">
        <f>'Special Corporate+ RI+TPS'!CS44</f>
        <v>0</v>
      </c>
      <c r="CT429" s="65">
        <f>'Special Corporate+ RI+TPS'!CT44</f>
        <v>0</v>
      </c>
      <c r="CU429" s="65">
        <f>'Special Corporate+ RI+TPS'!CU44</f>
        <v>0</v>
      </c>
      <c r="CV429" s="65">
        <f>'Special Corporate+ RI+TPS'!CV44</f>
        <v>0</v>
      </c>
      <c r="CW429" s="65">
        <f>'Special Corporate+ RI+TPS'!CW44</f>
        <v>0</v>
      </c>
      <c r="CX429" s="65">
        <f>'Special Corporate+ RI+TPS'!CX44</f>
        <v>0</v>
      </c>
      <c r="CY429" s="65">
        <f>'Special Corporate+ RI+TPS'!CY44</f>
        <v>0</v>
      </c>
      <c r="CZ429" s="65">
        <f>'Special Corporate+ RI+TPS'!CZ44</f>
        <v>0</v>
      </c>
      <c r="DA429" s="65">
        <f>'Special Corporate+ RI+TPS'!DA44</f>
        <v>0</v>
      </c>
      <c r="DB429" s="65">
        <f>'Special Corporate+ RI+TPS'!DB44</f>
        <v>0</v>
      </c>
      <c r="DC429" s="65">
        <f>'Special Corporate+ RI+TPS'!DC44</f>
        <v>0</v>
      </c>
      <c r="DD429" s="65">
        <f>'Special Corporate+ RI+TPS'!DD44</f>
        <v>0</v>
      </c>
      <c r="DE429" s="65">
        <f>'Special Corporate+ RI+TPS'!DE44</f>
        <v>0</v>
      </c>
      <c r="DF429" s="65">
        <f>'Special Corporate+ RI+TPS'!DF44</f>
        <v>0</v>
      </c>
      <c r="DG429" s="65">
        <f>'Special Corporate+ RI+TPS'!DG44</f>
        <v>0</v>
      </c>
      <c r="DH429" s="65">
        <f>'Special Corporate+ RI+TPS'!DH44</f>
        <v>0</v>
      </c>
      <c r="DI429" s="65">
        <f>'Special Corporate+ RI+TPS'!DI44</f>
        <v>0</v>
      </c>
      <c r="DJ429" s="65">
        <f>'Special Corporate+ RI+TPS'!DJ44</f>
        <v>0</v>
      </c>
      <c r="DK429" s="65">
        <f>'Special Corporate+ RI+TPS'!DK44</f>
        <v>0</v>
      </c>
      <c r="DL429" s="65">
        <f>'Special Corporate+ RI+TPS'!DL44</f>
        <v>0</v>
      </c>
      <c r="DM429" s="65">
        <f>'Special Corporate+ RI+TPS'!DM44</f>
        <v>0</v>
      </c>
      <c r="DN429" s="65">
        <f>'Special Corporate+ RI+TPS'!DN44</f>
        <v>0</v>
      </c>
      <c r="DO429" s="65">
        <f>'Special Corporate+ RI+TPS'!DO44</f>
        <v>0</v>
      </c>
      <c r="DP429" s="65">
        <f>'Special Corporate+ RI+TPS'!DP44</f>
        <v>0</v>
      </c>
      <c r="DQ429" s="65">
        <f>'Special Corporate+ RI+TPS'!DQ44</f>
        <v>0</v>
      </c>
      <c r="DR429" s="65">
        <f>'Special Corporate+ RI+TPS'!DR44</f>
        <v>0</v>
      </c>
      <c r="DS429" s="65">
        <f>'Special Corporate+ RI+TPS'!DS44</f>
        <v>0</v>
      </c>
      <c r="DT429" s="65">
        <f>'Special Corporate+ RI+TPS'!DT44</f>
        <v>0</v>
      </c>
      <c r="DU429" s="65">
        <f>'Special Corporate+ RI+TPS'!DU44</f>
        <v>0</v>
      </c>
      <c r="DV429" s="65">
        <f>'Special Corporate+ RI+TPS'!DV44</f>
        <v>0</v>
      </c>
      <c r="DW429" s="65">
        <f>'Special Corporate+ RI+TPS'!DW44</f>
        <v>0</v>
      </c>
      <c r="DX429" s="65">
        <f>'Special Corporate+ RI+TPS'!DX44</f>
        <v>0</v>
      </c>
      <c r="DY429" s="65">
        <f>'Special Corporate+ RI+TPS'!DY44</f>
        <v>0</v>
      </c>
      <c r="DZ429" s="65">
        <f>'Special Corporate+ RI+TPS'!DZ44</f>
        <v>0</v>
      </c>
      <c r="EA429" s="65">
        <f>'Special Corporate+ RI+TPS'!EA44</f>
        <v>0</v>
      </c>
      <c r="EB429" s="68"/>
    </row>
    <row r="430" spans="1:132" x14ac:dyDescent="0.2">
      <c r="A430" s="152"/>
      <c r="B430" s="65">
        <f>'Special Corporate+ RI+TPS'!B45</f>
        <v>0</v>
      </c>
      <c r="C430" s="65">
        <f>'Special Corporate+ RI+TPS'!C45</f>
        <v>0</v>
      </c>
      <c r="D430" s="65">
        <f>'Special Corporate+ RI+TPS'!D45</f>
        <v>0</v>
      </c>
      <c r="E430" s="65">
        <f>'Special Corporate+ RI+TPS'!E45</f>
        <v>0</v>
      </c>
      <c r="F430" s="65">
        <f>'Special Corporate+ RI+TPS'!F45</f>
        <v>0</v>
      </c>
      <c r="G430" s="65">
        <f>'Special Corporate+ RI+TPS'!G45</f>
        <v>0</v>
      </c>
      <c r="H430" s="65">
        <f>'Special Corporate+ RI+TPS'!H45</f>
        <v>0</v>
      </c>
      <c r="I430" s="65">
        <f>'Special Corporate+ RI+TPS'!I45</f>
        <v>0</v>
      </c>
      <c r="J430" s="65">
        <f>'Special Corporate+ RI+TPS'!J45</f>
        <v>0</v>
      </c>
      <c r="K430" s="65">
        <f>'Special Corporate+ RI+TPS'!K45</f>
        <v>0</v>
      </c>
      <c r="L430" s="65">
        <f>'Special Corporate+ RI+TPS'!L45</f>
        <v>0</v>
      </c>
      <c r="M430" s="65">
        <f>'Special Corporate+ RI+TPS'!M45</f>
        <v>0</v>
      </c>
      <c r="N430" s="65">
        <f>'Special Corporate+ RI+TPS'!N45</f>
        <v>0</v>
      </c>
      <c r="O430" s="65">
        <f>'Special Corporate+ RI+TPS'!O45</f>
        <v>0</v>
      </c>
      <c r="P430" s="65">
        <f>'Special Corporate+ RI+TPS'!P45</f>
        <v>0</v>
      </c>
      <c r="Q430" s="65">
        <f>'Special Corporate+ RI+TPS'!Q45</f>
        <v>0</v>
      </c>
      <c r="R430" s="65">
        <f>'Special Corporate+ RI+TPS'!R45</f>
        <v>0</v>
      </c>
      <c r="S430" s="65">
        <f>'Special Corporate+ RI+TPS'!S45</f>
        <v>0</v>
      </c>
      <c r="T430" s="65">
        <f>'Special Corporate+ RI+TPS'!T45</f>
        <v>0</v>
      </c>
      <c r="U430" s="65">
        <f>'Special Corporate+ RI+TPS'!U45</f>
        <v>0</v>
      </c>
      <c r="V430" s="65">
        <f>'Special Corporate+ RI+TPS'!V45</f>
        <v>0</v>
      </c>
      <c r="W430" s="65">
        <f>'Special Corporate+ RI+TPS'!W45</f>
        <v>0</v>
      </c>
      <c r="X430" s="65">
        <f>'Special Corporate+ RI+TPS'!X45</f>
        <v>0</v>
      </c>
      <c r="Y430" s="65">
        <f>'Special Corporate+ RI+TPS'!Y45</f>
        <v>0</v>
      </c>
      <c r="Z430" s="65">
        <f>'Special Corporate+ RI+TPS'!Z45</f>
        <v>0</v>
      </c>
      <c r="AA430" s="65">
        <f>'Special Corporate+ RI+TPS'!AA45</f>
        <v>0</v>
      </c>
      <c r="AB430" s="65">
        <f>'Special Corporate+ RI+TPS'!AB45</f>
        <v>0</v>
      </c>
      <c r="AC430" s="65">
        <f>'Special Corporate+ RI+TPS'!AC45</f>
        <v>0</v>
      </c>
      <c r="AD430" s="65">
        <f>'Special Corporate+ RI+TPS'!AD45</f>
        <v>0</v>
      </c>
      <c r="AE430" s="65">
        <f>'Special Corporate+ RI+TPS'!AE45</f>
        <v>0</v>
      </c>
      <c r="AF430" s="65">
        <f>'Special Corporate+ RI+TPS'!AF45</f>
        <v>0</v>
      </c>
      <c r="AG430" s="65">
        <f>'Special Corporate+ RI+TPS'!AG45</f>
        <v>0</v>
      </c>
      <c r="AH430" s="65">
        <f>'Special Corporate+ RI+TPS'!AH45</f>
        <v>0</v>
      </c>
      <c r="AI430" s="65">
        <f>'Special Corporate+ RI+TPS'!AI45</f>
        <v>0</v>
      </c>
      <c r="AJ430" s="65">
        <f>'Special Corporate+ RI+TPS'!AJ45</f>
        <v>0</v>
      </c>
      <c r="AK430" s="65">
        <f>'Special Corporate+ RI+TPS'!AK45</f>
        <v>0</v>
      </c>
      <c r="AL430" s="65">
        <f>'Special Corporate+ RI+TPS'!AL45</f>
        <v>0</v>
      </c>
      <c r="AM430" s="65">
        <f>'Special Corporate+ RI+TPS'!AM45</f>
        <v>0</v>
      </c>
      <c r="AN430" s="65">
        <f>'Special Corporate+ RI+TPS'!AN45</f>
        <v>0</v>
      </c>
      <c r="AO430" s="65">
        <f>'Special Corporate+ RI+TPS'!AO45</f>
        <v>0</v>
      </c>
      <c r="AP430" s="65">
        <f>'Special Corporate+ RI+TPS'!AP45</f>
        <v>0</v>
      </c>
      <c r="AQ430" s="65">
        <f>'Special Corporate+ RI+TPS'!AQ45</f>
        <v>0</v>
      </c>
      <c r="AR430" s="65">
        <f>'Special Corporate+ RI+TPS'!AR45</f>
        <v>0</v>
      </c>
      <c r="AS430" s="65">
        <f>'Special Corporate+ RI+TPS'!AS45</f>
        <v>0</v>
      </c>
      <c r="AT430" s="65">
        <f>'Special Corporate+ RI+TPS'!AT45</f>
        <v>0</v>
      </c>
      <c r="AU430" s="65">
        <f>'Special Corporate+ RI+TPS'!AU45</f>
        <v>0</v>
      </c>
      <c r="AV430" s="65">
        <f>'Special Corporate+ RI+TPS'!AV45</f>
        <v>0</v>
      </c>
      <c r="AW430" s="65">
        <f>'Special Corporate+ RI+TPS'!AW45</f>
        <v>0</v>
      </c>
      <c r="AX430" s="65">
        <f>'Special Corporate+ RI+TPS'!AX45</f>
        <v>0</v>
      </c>
      <c r="AY430" s="65">
        <f>'Special Corporate+ RI+TPS'!AY45</f>
        <v>0</v>
      </c>
      <c r="AZ430" s="65">
        <f>'Special Corporate+ RI+TPS'!AZ45</f>
        <v>0</v>
      </c>
      <c r="BA430" s="65">
        <f>'Special Corporate+ RI+TPS'!BA45</f>
        <v>0</v>
      </c>
      <c r="BB430" s="65">
        <f>'Special Corporate+ RI+TPS'!BB45</f>
        <v>0</v>
      </c>
      <c r="BC430" s="65">
        <f>'Special Corporate+ RI+TPS'!BC45</f>
        <v>0</v>
      </c>
      <c r="BD430" s="65">
        <f>'Special Corporate+ RI+TPS'!BD45</f>
        <v>0</v>
      </c>
      <c r="BE430" s="65">
        <f>'Special Corporate+ RI+TPS'!BE45</f>
        <v>0</v>
      </c>
      <c r="BF430" s="65">
        <f>'Special Corporate+ RI+TPS'!BF45</f>
        <v>0</v>
      </c>
      <c r="BG430" s="65">
        <f>'Special Corporate+ RI+TPS'!BG45</f>
        <v>0</v>
      </c>
      <c r="BH430" s="65">
        <f>'Special Corporate+ RI+TPS'!BH45</f>
        <v>0</v>
      </c>
      <c r="BI430" s="65">
        <f>'Special Corporate+ RI+TPS'!BI45</f>
        <v>0</v>
      </c>
      <c r="BJ430" s="65">
        <f>'Special Corporate+ RI+TPS'!BJ45</f>
        <v>0</v>
      </c>
      <c r="BK430" s="65">
        <f>'Special Corporate+ RI+TPS'!BK45</f>
        <v>0</v>
      </c>
      <c r="BL430" s="65">
        <f>'Special Corporate+ RI+TPS'!BL45</f>
        <v>0</v>
      </c>
      <c r="BM430" s="65">
        <f>'Special Corporate+ RI+TPS'!BM45</f>
        <v>0</v>
      </c>
      <c r="BN430" s="65">
        <f>'Special Corporate+ RI+TPS'!BN45</f>
        <v>0</v>
      </c>
      <c r="BO430" s="65">
        <f>'Special Corporate+ RI+TPS'!BO45</f>
        <v>0</v>
      </c>
      <c r="BP430" s="65">
        <f>'Special Corporate+ RI+TPS'!BP45</f>
        <v>0</v>
      </c>
      <c r="BQ430" s="65">
        <f>'Special Corporate+ RI+TPS'!BQ45</f>
        <v>0</v>
      </c>
      <c r="BR430" s="65">
        <f>'Special Corporate+ RI+TPS'!BR45</f>
        <v>0</v>
      </c>
      <c r="BS430" s="65">
        <f>'Special Corporate+ RI+TPS'!BS45</f>
        <v>0</v>
      </c>
      <c r="BT430" s="65">
        <f>'Special Corporate+ RI+TPS'!BT45</f>
        <v>0</v>
      </c>
      <c r="BU430" s="65">
        <f>'Special Corporate+ RI+TPS'!BU45</f>
        <v>0</v>
      </c>
      <c r="BV430" s="65">
        <f>'Special Corporate+ RI+TPS'!BV45</f>
        <v>0</v>
      </c>
      <c r="BW430" s="65">
        <f>'Special Corporate+ RI+TPS'!BW45</f>
        <v>0</v>
      </c>
      <c r="BX430" s="65">
        <f>'Special Corporate+ RI+TPS'!BX45</f>
        <v>0</v>
      </c>
      <c r="BY430" s="65">
        <f>'Special Corporate+ RI+TPS'!BY45</f>
        <v>0</v>
      </c>
      <c r="BZ430" s="65">
        <f>'Special Corporate+ RI+TPS'!BZ45</f>
        <v>0</v>
      </c>
      <c r="CA430" s="65">
        <f>'Special Corporate+ RI+TPS'!CA45</f>
        <v>0</v>
      </c>
      <c r="CB430" s="65">
        <f>'Special Corporate+ RI+TPS'!CB45</f>
        <v>0</v>
      </c>
      <c r="CC430" s="65">
        <f>'Special Corporate+ RI+TPS'!CC45</f>
        <v>0</v>
      </c>
      <c r="CD430" s="65">
        <f>'Special Corporate+ RI+TPS'!CD45</f>
        <v>0</v>
      </c>
      <c r="CE430" s="65">
        <f>'Special Corporate+ RI+TPS'!CE45</f>
        <v>0</v>
      </c>
      <c r="CF430" s="65">
        <f>'Special Corporate+ RI+TPS'!CF45</f>
        <v>0</v>
      </c>
      <c r="CG430" s="65">
        <f>'Special Corporate+ RI+TPS'!CG45</f>
        <v>0</v>
      </c>
      <c r="CH430" s="65">
        <f>'Special Corporate+ RI+TPS'!CH45</f>
        <v>0</v>
      </c>
      <c r="CI430" s="65">
        <f>'Special Corporate+ RI+TPS'!CI45</f>
        <v>0</v>
      </c>
      <c r="CJ430" s="65">
        <f>'Special Corporate+ RI+TPS'!CJ45</f>
        <v>0</v>
      </c>
      <c r="CK430" s="65">
        <f>'Special Corporate+ RI+TPS'!CK45</f>
        <v>0</v>
      </c>
      <c r="CL430" s="65">
        <f>'Special Corporate+ RI+TPS'!CL45</f>
        <v>0</v>
      </c>
      <c r="CM430" s="65">
        <f>'Special Corporate+ RI+TPS'!CM45</f>
        <v>0</v>
      </c>
      <c r="CN430" s="65">
        <f>'Special Corporate+ RI+TPS'!CN45</f>
        <v>0</v>
      </c>
      <c r="CO430" s="65">
        <f>'Special Corporate+ RI+TPS'!CO45</f>
        <v>0</v>
      </c>
      <c r="CP430" s="65">
        <f>'Special Corporate+ RI+TPS'!CP45</f>
        <v>0</v>
      </c>
      <c r="CQ430" s="65">
        <f>'Special Corporate+ RI+TPS'!CQ45</f>
        <v>0</v>
      </c>
      <c r="CR430" s="65">
        <f>'Special Corporate+ RI+TPS'!CR45</f>
        <v>0</v>
      </c>
      <c r="CS430" s="65">
        <f>'Special Corporate+ RI+TPS'!CS45</f>
        <v>0</v>
      </c>
      <c r="CT430" s="65">
        <f>'Special Corporate+ RI+TPS'!CT45</f>
        <v>0</v>
      </c>
      <c r="CU430" s="65">
        <f>'Special Corporate+ RI+TPS'!CU45</f>
        <v>0</v>
      </c>
      <c r="CV430" s="65">
        <f>'Special Corporate+ RI+TPS'!CV45</f>
        <v>0</v>
      </c>
      <c r="CW430" s="65">
        <f>'Special Corporate+ RI+TPS'!CW45</f>
        <v>0</v>
      </c>
      <c r="CX430" s="65">
        <f>'Special Corporate+ RI+TPS'!CX45</f>
        <v>0</v>
      </c>
      <c r="CY430" s="65">
        <f>'Special Corporate+ RI+TPS'!CY45</f>
        <v>0</v>
      </c>
      <c r="CZ430" s="65">
        <f>'Special Corporate+ RI+TPS'!CZ45</f>
        <v>0</v>
      </c>
      <c r="DA430" s="65">
        <f>'Special Corporate+ RI+TPS'!DA45</f>
        <v>0</v>
      </c>
      <c r="DB430" s="65">
        <f>'Special Corporate+ RI+TPS'!DB45</f>
        <v>0</v>
      </c>
      <c r="DC430" s="65">
        <f>'Special Corporate+ RI+TPS'!DC45</f>
        <v>0</v>
      </c>
      <c r="DD430" s="65">
        <f>'Special Corporate+ RI+TPS'!DD45</f>
        <v>0</v>
      </c>
      <c r="DE430" s="65">
        <f>'Special Corporate+ RI+TPS'!DE45</f>
        <v>0</v>
      </c>
      <c r="DF430" s="65">
        <f>'Special Corporate+ RI+TPS'!DF45</f>
        <v>0</v>
      </c>
      <c r="DG430" s="65">
        <f>'Special Corporate+ RI+TPS'!DG45</f>
        <v>0</v>
      </c>
      <c r="DH430" s="65">
        <f>'Special Corporate+ RI+TPS'!DH45</f>
        <v>0</v>
      </c>
      <c r="DI430" s="65">
        <f>'Special Corporate+ RI+TPS'!DI45</f>
        <v>0</v>
      </c>
      <c r="DJ430" s="65">
        <f>'Special Corporate+ RI+TPS'!DJ45</f>
        <v>0</v>
      </c>
      <c r="DK430" s="65">
        <f>'Special Corporate+ RI+TPS'!DK45</f>
        <v>0</v>
      </c>
      <c r="DL430" s="65">
        <f>'Special Corporate+ RI+TPS'!DL45</f>
        <v>0</v>
      </c>
      <c r="DM430" s="65">
        <f>'Special Corporate+ RI+TPS'!DM45</f>
        <v>0</v>
      </c>
      <c r="DN430" s="65">
        <f>'Special Corporate+ RI+TPS'!DN45</f>
        <v>0</v>
      </c>
      <c r="DO430" s="65">
        <f>'Special Corporate+ RI+TPS'!DO45</f>
        <v>0</v>
      </c>
      <c r="DP430" s="65">
        <f>'Special Corporate+ RI+TPS'!DP45</f>
        <v>0</v>
      </c>
      <c r="DQ430" s="65">
        <f>'Special Corporate+ RI+TPS'!DQ45</f>
        <v>0</v>
      </c>
      <c r="DR430" s="65">
        <f>'Special Corporate+ RI+TPS'!DR45</f>
        <v>0</v>
      </c>
      <c r="DS430" s="65">
        <f>'Special Corporate+ RI+TPS'!DS45</f>
        <v>0</v>
      </c>
      <c r="DT430" s="65">
        <f>'Special Corporate+ RI+TPS'!DT45</f>
        <v>0</v>
      </c>
      <c r="DU430" s="65">
        <f>'Special Corporate+ RI+TPS'!DU45</f>
        <v>0</v>
      </c>
      <c r="DV430" s="65">
        <f>'Special Corporate+ RI+TPS'!DV45</f>
        <v>0</v>
      </c>
      <c r="DW430" s="65">
        <f>'Special Corporate+ RI+TPS'!DW45</f>
        <v>0</v>
      </c>
      <c r="DX430" s="65">
        <f>'Special Corporate+ RI+TPS'!DX45</f>
        <v>0</v>
      </c>
      <c r="DY430" s="65">
        <f>'Special Corporate+ RI+TPS'!DY45</f>
        <v>0</v>
      </c>
      <c r="DZ430" s="65">
        <f>'Special Corporate+ RI+TPS'!DZ45</f>
        <v>0</v>
      </c>
      <c r="EA430" s="65">
        <f>'Special Corporate+ RI+TPS'!EA45</f>
        <v>0</v>
      </c>
      <c r="EB430" s="68"/>
    </row>
    <row r="431" spans="1:132" x14ac:dyDescent="0.2">
      <c r="A431" s="152"/>
      <c r="B431" s="65">
        <f>'Special Corporate+ RI+TPS'!B46</f>
        <v>0</v>
      </c>
      <c r="C431" s="65">
        <f>'Special Corporate+ RI+TPS'!C46</f>
        <v>0</v>
      </c>
      <c r="D431" s="65">
        <f>'Special Corporate+ RI+TPS'!D46</f>
        <v>0</v>
      </c>
      <c r="E431" s="65">
        <f>'Special Corporate+ RI+TPS'!E46</f>
        <v>0</v>
      </c>
      <c r="F431" s="65">
        <f>'Special Corporate+ RI+TPS'!F46</f>
        <v>0</v>
      </c>
      <c r="G431" s="65">
        <f>'Special Corporate+ RI+TPS'!G46</f>
        <v>0</v>
      </c>
      <c r="H431" s="65">
        <f>'Special Corporate+ RI+TPS'!H46</f>
        <v>0</v>
      </c>
      <c r="I431" s="65">
        <f>'Special Corporate+ RI+TPS'!I46</f>
        <v>0</v>
      </c>
      <c r="J431" s="65">
        <f>'Special Corporate+ RI+TPS'!J46</f>
        <v>0</v>
      </c>
      <c r="K431" s="65">
        <f>'Special Corporate+ RI+TPS'!K46</f>
        <v>0</v>
      </c>
      <c r="L431" s="65">
        <f>'Special Corporate+ RI+TPS'!L46</f>
        <v>0</v>
      </c>
      <c r="M431" s="65">
        <f>'Special Corporate+ RI+TPS'!M46</f>
        <v>0</v>
      </c>
      <c r="N431" s="65">
        <f>'Special Corporate+ RI+TPS'!N46</f>
        <v>0</v>
      </c>
      <c r="O431" s="65">
        <f>'Special Corporate+ RI+TPS'!O46</f>
        <v>0</v>
      </c>
      <c r="P431" s="65">
        <f>'Special Corporate+ RI+TPS'!P46</f>
        <v>0</v>
      </c>
      <c r="Q431" s="65">
        <f>'Special Corporate+ RI+TPS'!Q46</f>
        <v>0</v>
      </c>
      <c r="R431" s="65">
        <f>'Special Corporate+ RI+TPS'!R46</f>
        <v>0</v>
      </c>
      <c r="S431" s="65">
        <f>'Special Corporate+ RI+TPS'!S46</f>
        <v>0</v>
      </c>
      <c r="T431" s="65">
        <f>'Special Corporate+ RI+TPS'!T46</f>
        <v>0</v>
      </c>
      <c r="U431" s="65">
        <f>'Special Corporate+ RI+TPS'!U46</f>
        <v>0</v>
      </c>
      <c r="V431" s="65">
        <f>'Special Corporate+ RI+TPS'!V46</f>
        <v>0</v>
      </c>
      <c r="W431" s="65">
        <f>'Special Corporate+ RI+TPS'!W46</f>
        <v>0</v>
      </c>
      <c r="X431" s="65">
        <f>'Special Corporate+ RI+TPS'!X46</f>
        <v>0</v>
      </c>
      <c r="Y431" s="65">
        <f>'Special Corporate+ RI+TPS'!Y46</f>
        <v>0</v>
      </c>
      <c r="Z431" s="65">
        <f>'Special Corporate+ RI+TPS'!Z46</f>
        <v>0</v>
      </c>
      <c r="AA431" s="65">
        <f>'Special Corporate+ RI+TPS'!AA46</f>
        <v>0</v>
      </c>
      <c r="AB431" s="65">
        <f>'Special Corporate+ RI+TPS'!AB46</f>
        <v>0</v>
      </c>
      <c r="AC431" s="65">
        <f>'Special Corporate+ RI+TPS'!AC46</f>
        <v>0</v>
      </c>
      <c r="AD431" s="65">
        <f>'Special Corporate+ RI+TPS'!AD46</f>
        <v>0</v>
      </c>
      <c r="AE431" s="65">
        <f>'Special Corporate+ RI+TPS'!AE46</f>
        <v>0</v>
      </c>
      <c r="AF431" s="65">
        <f>'Special Corporate+ RI+TPS'!AF46</f>
        <v>0</v>
      </c>
      <c r="AG431" s="65">
        <f>'Special Corporate+ RI+TPS'!AG46</f>
        <v>0</v>
      </c>
      <c r="AH431" s="65">
        <f>'Special Corporate+ RI+TPS'!AH46</f>
        <v>0</v>
      </c>
      <c r="AI431" s="65">
        <f>'Special Corporate+ RI+TPS'!AI46</f>
        <v>0</v>
      </c>
      <c r="AJ431" s="65">
        <f>'Special Corporate+ RI+TPS'!AJ46</f>
        <v>0</v>
      </c>
      <c r="AK431" s="65">
        <f>'Special Corporate+ RI+TPS'!AK46</f>
        <v>0</v>
      </c>
      <c r="AL431" s="65">
        <f>'Special Corporate+ RI+TPS'!AL46</f>
        <v>0</v>
      </c>
      <c r="AM431" s="65">
        <f>'Special Corporate+ RI+TPS'!AM46</f>
        <v>0</v>
      </c>
      <c r="AN431" s="65">
        <f>'Special Corporate+ RI+TPS'!AN46</f>
        <v>0</v>
      </c>
      <c r="AO431" s="65">
        <f>'Special Corporate+ RI+TPS'!AO46</f>
        <v>0</v>
      </c>
      <c r="AP431" s="65">
        <f>'Special Corporate+ RI+TPS'!AP46</f>
        <v>0</v>
      </c>
      <c r="AQ431" s="65">
        <f>'Special Corporate+ RI+TPS'!AQ46</f>
        <v>0</v>
      </c>
      <c r="AR431" s="65">
        <f>'Special Corporate+ RI+TPS'!AR46</f>
        <v>0</v>
      </c>
      <c r="AS431" s="65">
        <f>'Special Corporate+ RI+TPS'!AS46</f>
        <v>0</v>
      </c>
      <c r="AT431" s="65">
        <f>'Special Corporate+ RI+TPS'!AT46</f>
        <v>0</v>
      </c>
      <c r="AU431" s="65">
        <f>'Special Corporate+ RI+TPS'!AU46</f>
        <v>0</v>
      </c>
      <c r="AV431" s="65">
        <f>'Special Corporate+ RI+TPS'!AV46</f>
        <v>0</v>
      </c>
      <c r="AW431" s="65">
        <f>'Special Corporate+ RI+TPS'!AW46</f>
        <v>0</v>
      </c>
      <c r="AX431" s="65">
        <f>'Special Corporate+ RI+TPS'!AX46</f>
        <v>0</v>
      </c>
      <c r="AY431" s="65">
        <f>'Special Corporate+ RI+TPS'!AY46</f>
        <v>0</v>
      </c>
      <c r="AZ431" s="65">
        <f>'Special Corporate+ RI+TPS'!AZ46</f>
        <v>0</v>
      </c>
      <c r="BA431" s="65">
        <f>'Special Corporate+ RI+TPS'!BA46</f>
        <v>0</v>
      </c>
      <c r="BB431" s="65">
        <f>'Special Corporate+ RI+TPS'!BB46</f>
        <v>0</v>
      </c>
      <c r="BC431" s="65">
        <f>'Special Corporate+ RI+TPS'!BC46</f>
        <v>0</v>
      </c>
      <c r="BD431" s="65">
        <f>'Special Corporate+ RI+TPS'!BD46</f>
        <v>0</v>
      </c>
      <c r="BE431" s="65">
        <f>'Special Corporate+ RI+TPS'!BE46</f>
        <v>0</v>
      </c>
      <c r="BF431" s="65">
        <f>'Special Corporate+ RI+TPS'!BF46</f>
        <v>0</v>
      </c>
      <c r="BG431" s="65">
        <f>'Special Corporate+ RI+TPS'!BG46</f>
        <v>0</v>
      </c>
      <c r="BH431" s="65">
        <f>'Special Corporate+ RI+TPS'!BH46</f>
        <v>0</v>
      </c>
      <c r="BI431" s="65">
        <f>'Special Corporate+ RI+TPS'!BI46</f>
        <v>0</v>
      </c>
      <c r="BJ431" s="65">
        <f>'Special Corporate+ RI+TPS'!BJ46</f>
        <v>0</v>
      </c>
      <c r="BK431" s="65">
        <f>'Special Corporate+ RI+TPS'!BK46</f>
        <v>0</v>
      </c>
      <c r="BL431" s="65">
        <f>'Special Corporate+ RI+TPS'!BL46</f>
        <v>0</v>
      </c>
      <c r="BM431" s="65">
        <f>'Special Corporate+ RI+TPS'!BM46</f>
        <v>0</v>
      </c>
      <c r="BN431" s="65">
        <f>'Special Corporate+ RI+TPS'!BN46</f>
        <v>0</v>
      </c>
      <c r="BO431" s="65">
        <f>'Special Corporate+ RI+TPS'!BO46</f>
        <v>0</v>
      </c>
      <c r="BP431" s="65">
        <f>'Special Corporate+ RI+TPS'!BP46</f>
        <v>0</v>
      </c>
      <c r="BQ431" s="65">
        <f>'Special Corporate+ RI+TPS'!BQ46</f>
        <v>0</v>
      </c>
      <c r="BR431" s="65">
        <f>'Special Corporate+ RI+TPS'!BR46</f>
        <v>0</v>
      </c>
      <c r="BS431" s="65">
        <f>'Special Corporate+ RI+TPS'!BS46</f>
        <v>0</v>
      </c>
      <c r="BT431" s="65">
        <f>'Special Corporate+ RI+TPS'!BT46</f>
        <v>0</v>
      </c>
      <c r="BU431" s="65">
        <f>'Special Corporate+ RI+TPS'!BU46</f>
        <v>0</v>
      </c>
      <c r="BV431" s="65">
        <f>'Special Corporate+ RI+TPS'!BV46</f>
        <v>0</v>
      </c>
      <c r="BW431" s="65">
        <f>'Special Corporate+ RI+TPS'!BW46</f>
        <v>0</v>
      </c>
      <c r="BX431" s="65">
        <f>'Special Corporate+ RI+TPS'!BX46</f>
        <v>0</v>
      </c>
      <c r="BY431" s="65">
        <f>'Special Corporate+ RI+TPS'!BY46</f>
        <v>0</v>
      </c>
      <c r="BZ431" s="65">
        <f>'Special Corporate+ RI+TPS'!BZ46</f>
        <v>0</v>
      </c>
      <c r="CA431" s="65">
        <f>'Special Corporate+ RI+TPS'!CA46</f>
        <v>0</v>
      </c>
      <c r="CB431" s="65">
        <f>'Special Corporate+ RI+TPS'!CB46</f>
        <v>0</v>
      </c>
      <c r="CC431" s="65">
        <f>'Special Corporate+ RI+TPS'!CC46</f>
        <v>0</v>
      </c>
      <c r="CD431" s="65">
        <f>'Special Corporate+ RI+TPS'!CD46</f>
        <v>0</v>
      </c>
      <c r="CE431" s="65">
        <f>'Special Corporate+ RI+TPS'!CE46</f>
        <v>0</v>
      </c>
      <c r="CF431" s="65">
        <f>'Special Corporate+ RI+TPS'!CF46</f>
        <v>0</v>
      </c>
      <c r="CG431" s="65">
        <f>'Special Corporate+ RI+TPS'!CG46</f>
        <v>0</v>
      </c>
      <c r="CH431" s="65">
        <f>'Special Corporate+ RI+TPS'!CH46</f>
        <v>0</v>
      </c>
      <c r="CI431" s="65">
        <f>'Special Corporate+ RI+TPS'!CI46</f>
        <v>0</v>
      </c>
      <c r="CJ431" s="65">
        <f>'Special Corporate+ RI+TPS'!CJ46</f>
        <v>0</v>
      </c>
      <c r="CK431" s="65">
        <f>'Special Corporate+ RI+TPS'!CK46</f>
        <v>0</v>
      </c>
      <c r="CL431" s="65">
        <f>'Special Corporate+ RI+TPS'!CL46</f>
        <v>0</v>
      </c>
      <c r="CM431" s="65">
        <f>'Special Corporate+ RI+TPS'!CM46</f>
        <v>0</v>
      </c>
      <c r="CN431" s="65">
        <f>'Special Corporate+ RI+TPS'!CN46</f>
        <v>0</v>
      </c>
      <c r="CO431" s="65">
        <f>'Special Corporate+ RI+TPS'!CO46</f>
        <v>0</v>
      </c>
      <c r="CP431" s="65">
        <f>'Special Corporate+ RI+TPS'!CP46</f>
        <v>0</v>
      </c>
      <c r="CQ431" s="65">
        <f>'Special Corporate+ RI+TPS'!CQ46</f>
        <v>0</v>
      </c>
      <c r="CR431" s="65">
        <f>'Special Corporate+ RI+TPS'!CR46</f>
        <v>0</v>
      </c>
      <c r="CS431" s="65">
        <f>'Special Corporate+ RI+TPS'!CS46</f>
        <v>0</v>
      </c>
      <c r="CT431" s="65">
        <f>'Special Corporate+ RI+TPS'!CT46</f>
        <v>0</v>
      </c>
      <c r="CU431" s="65">
        <f>'Special Corporate+ RI+TPS'!CU46</f>
        <v>0</v>
      </c>
      <c r="CV431" s="65">
        <f>'Special Corporate+ RI+TPS'!CV46</f>
        <v>0</v>
      </c>
      <c r="CW431" s="65">
        <f>'Special Corporate+ RI+TPS'!CW46</f>
        <v>0</v>
      </c>
      <c r="CX431" s="65">
        <f>'Special Corporate+ RI+TPS'!CX46</f>
        <v>0</v>
      </c>
      <c r="CY431" s="65">
        <f>'Special Corporate+ RI+TPS'!CY46</f>
        <v>0</v>
      </c>
      <c r="CZ431" s="65">
        <f>'Special Corporate+ RI+TPS'!CZ46</f>
        <v>0</v>
      </c>
      <c r="DA431" s="65">
        <f>'Special Corporate+ RI+TPS'!DA46</f>
        <v>0</v>
      </c>
      <c r="DB431" s="65">
        <f>'Special Corporate+ RI+TPS'!DB46</f>
        <v>0</v>
      </c>
      <c r="DC431" s="65">
        <f>'Special Corporate+ RI+TPS'!DC46</f>
        <v>0</v>
      </c>
      <c r="DD431" s="65">
        <f>'Special Corporate+ RI+TPS'!DD46</f>
        <v>0</v>
      </c>
      <c r="DE431" s="65">
        <f>'Special Corporate+ RI+TPS'!DE46</f>
        <v>0</v>
      </c>
      <c r="DF431" s="65">
        <f>'Special Corporate+ RI+TPS'!DF46</f>
        <v>0</v>
      </c>
      <c r="DG431" s="65">
        <f>'Special Corporate+ RI+TPS'!DG46</f>
        <v>0</v>
      </c>
      <c r="DH431" s="65">
        <f>'Special Corporate+ RI+TPS'!DH46</f>
        <v>0</v>
      </c>
      <c r="DI431" s="65">
        <f>'Special Corporate+ RI+TPS'!DI46</f>
        <v>0</v>
      </c>
      <c r="DJ431" s="65">
        <f>'Special Corporate+ RI+TPS'!DJ46</f>
        <v>0</v>
      </c>
      <c r="DK431" s="65">
        <f>'Special Corporate+ RI+TPS'!DK46</f>
        <v>0</v>
      </c>
      <c r="DL431" s="65">
        <f>'Special Corporate+ RI+TPS'!DL46</f>
        <v>0</v>
      </c>
      <c r="DM431" s="65">
        <f>'Special Corporate+ RI+TPS'!DM46</f>
        <v>0</v>
      </c>
      <c r="DN431" s="65">
        <f>'Special Corporate+ RI+TPS'!DN46</f>
        <v>0</v>
      </c>
      <c r="DO431" s="65">
        <f>'Special Corporate+ RI+TPS'!DO46</f>
        <v>0</v>
      </c>
      <c r="DP431" s="65">
        <f>'Special Corporate+ RI+TPS'!DP46</f>
        <v>0</v>
      </c>
      <c r="DQ431" s="65">
        <f>'Special Corporate+ RI+TPS'!DQ46</f>
        <v>0</v>
      </c>
      <c r="DR431" s="65">
        <f>'Special Corporate+ RI+TPS'!DR46</f>
        <v>0</v>
      </c>
      <c r="DS431" s="65">
        <f>'Special Corporate+ RI+TPS'!DS46</f>
        <v>0</v>
      </c>
      <c r="DT431" s="65">
        <f>'Special Corporate+ RI+TPS'!DT46</f>
        <v>0</v>
      </c>
      <c r="DU431" s="65">
        <f>'Special Corporate+ RI+TPS'!DU46</f>
        <v>0</v>
      </c>
      <c r="DV431" s="65">
        <f>'Special Corporate+ RI+TPS'!DV46</f>
        <v>0</v>
      </c>
      <c r="DW431" s="65">
        <f>'Special Corporate+ RI+TPS'!DW46</f>
        <v>0</v>
      </c>
      <c r="DX431" s="65">
        <f>'Special Corporate+ RI+TPS'!DX46</f>
        <v>0</v>
      </c>
      <c r="DY431" s="65">
        <f>'Special Corporate+ RI+TPS'!DY46</f>
        <v>0</v>
      </c>
      <c r="DZ431" s="65">
        <f>'Special Corporate+ RI+TPS'!DZ46</f>
        <v>0</v>
      </c>
      <c r="EA431" s="65">
        <f>'Special Corporate+ RI+TPS'!EA46</f>
        <v>0</v>
      </c>
      <c r="EB431" s="68"/>
    </row>
    <row r="432" spans="1:132" x14ac:dyDescent="0.2">
      <c r="A432" s="152"/>
      <c r="B432" s="65">
        <f>'Special Corporate+ RI+TPS'!B47</f>
        <v>0</v>
      </c>
      <c r="C432" s="65">
        <f>'Special Corporate+ RI+TPS'!C47</f>
        <v>0</v>
      </c>
      <c r="D432" s="65">
        <f>'Special Corporate+ RI+TPS'!D47</f>
        <v>0</v>
      </c>
      <c r="E432" s="65">
        <f>'Special Corporate+ RI+TPS'!E47</f>
        <v>0</v>
      </c>
      <c r="F432" s="65">
        <f>'Special Corporate+ RI+TPS'!F47</f>
        <v>0</v>
      </c>
      <c r="G432" s="65">
        <f>'Special Corporate+ RI+TPS'!G47</f>
        <v>0</v>
      </c>
      <c r="H432" s="65">
        <f>'Special Corporate+ RI+TPS'!H47</f>
        <v>0</v>
      </c>
      <c r="I432" s="65">
        <f>'Special Corporate+ RI+TPS'!I47</f>
        <v>0</v>
      </c>
      <c r="J432" s="65">
        <f>'Special Corporate+ RI+TPS'!J47</f>
        <v>0</v>
      </c>
      <c r="K432" s="65">
        <f>'Special Corporate+ RI+TPS'!K47</f>
        <v>0</v>
      </c>
      <c r="L432" s="65">
        <f>'Special Corporate+ RI+TPS'!L47</f>
        <v>0</v>
      </c>
      <c r="M432" s="65">
        <f>'Special Corporate+ RI+TPS'!M47</f>
        <v>0</v>
      </c>
      <c r="N432" s="65">
        <f>'Special Corporate+ RI+TPS'!N47</f>
        <v>0</v>
      </c>
      <c r="O432" s="65">
        <f>'Special Corporate+ RI+TPS'!O47</f>
        <v>0</v>
      </c>
      <c r="P432" s="65">
        <f>'Special Corporate+ RI+TPS'!P47</f>
        <v>0</v>
      </c>
      <c r="Q432" s="65">
        <f>'Special Corporate+ RI+TPS'!Q47</f>
        <v>0</v>
      </c>
      <c r="R432" s="65">
        <f>'Special Corporate+ RI+TPS'!R47</f>
        <v>0</v>
      </c>
      <c r="S432" s="65">
        <f>'Special Corporate+ RI+TPS'!S47</f>
        <v>0</v>
      </c>
      <c r="T432" s="65">
        <f>'Special Corporate+ RI+TPS'!T47</f>
        <v>0</v>
      </c>
      <c r="U432" s="65">
        <f>'Special Corporate+ RI+TPS'!U47</f>
        <v>0</v>
      </c>
      <c r="V432" s="65">
        <f>'Special Corporate+ RI+TPS'!V47</f>
        <v>0</v>
      </c>
      <c r="W432" s="65">
        <f>'Special Corporate+ RI+TPS'!W47</f>
        <v>0</v>
      </c>
      <c r="X432" s="65">
        <f>'Special Corporate+ RI+TPS'!X47</f>
        <v>0</v>
      </c>
      <c r="Y432" s="65">
        <f>'Special Corporate+ RI+TPS'!Y47</f>
        <v>0</v>
      </c>
      <c r="Z432" s="65">
        <f>'Special Corporate+ RI+TPS'!Z47</f>
        <v>0</v>
      </c>
      <c r="AA432" s="65">
        <f>'Special Corporate+ RI+TPS'!AA47</f>
        <v>0</v>
      </c>
      <c r="AB432" s="65">
        <f>'Special Corporate+ RI+TPS'!AB47</f>
        <v>0</v>
      </c>
      <c r="AC432" s="65">
        <f>'Special Corporate+ RI+TPS'!AC47</f>
        <v>0</v>
      </c>
      <c r="AD432" s="65">
        <f>'Special Corporate+ RI+TPS'!AD47</f>
        <v>0</v>
      </c>
      <c r="AE432" s="65">
        <f>'Special Corporate+ RI+TPS'!AE47</f>
        <v>0</v>
      </c>
      <c r="AF432" s="65">
        <f>'Special Corporate+ RI+TPS'!AF47</f>
        <v>0</v>
      </c>
      <c r="AG432" s="65">
        <f>'Special Corporate+ RI+TPS'!AG47</f>
        <v>0</v>
      </c>
      <c r="AH432" s="65">
        <f>'Special Corporate+ RI+TPS'!AH47</f>
        <v>0</v>
      </c>
      <c r="AI432" s="65">
        <f>'Special Corporate+ RI+TPS'!AI47</f>
        <v>0</v>
      </c>
      <c r="AJ432" s="65">
        <f>'Special Corporate+ RI+TPS'!AJ47</f>
        <v>0</v>
      </c>
      <c r="AK432" s="65">
        <f>'Special Corporate+ RI+TPS'!AK47</f>
        <v>0</v>
      </c>
      <c r="AL432" s="65">
        <f>'Special Corporate+ RI+TPS'!AL47</f>
        <v>0</v>
      </c>
      <c r="AM432" s="65">
        <f>'Special Corporate+ RI+TPS'!AM47</f>
        <v>0</v>
      </c>
      <c r="AN432" s="65">
        <f>'Special Corporate+ RI+TPS'!AN47</f>
        <v>0</v>
      </c>
      <c r="AO432" s="65">
        <f>'Special Corporate+ RI+TPS'!AO47</f>
        <v>0</v>
      </c>
      <c r="AP432" s="65">
        <f>'Special Corporate+ RI+TPS'!AP47</f>
        <v>0</v>
      </c>
      <c r="AQ432" s="65">
        <f>'Special Corporate+ RI+TPS'!AQ47</f>
        <v>0</v>
      </c>
      <c r="AR432" s="65">
        <f>'Special Corporate+ RI+TPS'!AR47</f>
        <v>0</v>
      </c>
      <c r="AS432" s="65">
        <f>'Special Corporate+ RI+TPS'!AS47</f>
        <v>0</v>
      </c>
      <c r="AT432" s="65">
        <f>'Special Corporate+ RI+TPS'!AT47</f>
        <v>0</v>
      </c>
      <c r="AU432" s="65">
        <f>'Special Corporate+ RI+TPS'!AU47</f>
        <v>0</v>
      </c>
      <c r="AV432" s="65">
        <f>'Special Corporate+ RI+TPS'!AV47</f>
        <v>0</v>
      </c>
      <c r="AW432" s="65">
        <f>'Special Corporate+ RI+TPS'!AW47</f>
        <v>0</v>
      </c>
      <c r="AX432" s="65">
        <f>'Special Corporate+ RI+TPS'!AX47</f>
        <v>0</v>
      </c>
      <c r="AY432" s="65">
        <f>'Special Corporate+ RI+TPS'!AY47</f>
        <v>0</v>
      </c>
      <c r="AZ432" s="65">
        <f>'Special Corporate+ RI+TPS'!AZ47</f>
        <v>0</v>
      </c>
      <c r="BA432" s="65">
        <f>'Special Corporate+ RI+TPS'!BA47</f>
        <v>0</v>
      </c>
      <c r="BB432" s="65">
        <f>'Special Corporate+ RI+TPS'!BB47</f>
        <v>0</v>
      </c>
      <c r="BC432" s="65">
        <f>'Special Corporate+ RI+TPS'!BC47</f>
        <v>0</v>
      </c>
      <c r="BD432" s="65">
        <f>'Special Corporate+ RI+TPS'!BD47</f>
        <v>0</v>
      </c>
      <c r="BE432" s="65">
        <f>'Special Corporate+ RI+TPS'!BE47</f>
        <v>0</v>
      </c>
      <c r="BF432" s="65">
        <f>'Special Corporate+ RI+TPS'!BF47</f>
        <v>0</v>
      </c>
      <c r="BG432" s="65">
        <f>'Special Corporate+ RI+TPS'!BG47</f>
        <v>0</v>
      </c>
      <c r="BH432" s="65">
        <f>'Special Corporate+ RI+TPS'!BH47</f>
        <v>0</v>
      </c>
      <c r="BI432" s="65">
        <f>'Special Corporate+ RI+TPS'!BI47</f>
        <v>0</v>
      </c>
      <c r="BJ432" s="65">
        <f>'Special Corporate+ RI+TPS'!BJ47</f>
        <v>0</v>
      </c>
      <c r="BK432" s="65">
        <f>'Special Corporate+ RI+TPS'!BK47</f>
        <v>0</v>
      </c>
      <c r="BL432" s="65">
        <f>'Special Corporate+ RI+TPS'!BL47</f>
        <v>0</v>
      </c>
      <c r="BM432" s="65">
        <f>'Special Corporate+ RI+TPS'!BM47</f>
        <v>0</v>
      </c>
      <c r="BN432" s="65">
        <f>'Special Corporate+ RI+TPS'!BN47</f>
        <v>0</v>
      </c>
      <c r="BO432" s="65">
        <f>'Special Corporate+ RI+TPS'!BO47</f>
        <v>0</v>
      </c>
      <c r="BP432" s="65">
        <f>'Special Corporate+ RI+TPS'!BP47</f>
        <v>0</v>
      </c>
      <c r="BQ432" s="65">
        <f>'Special Corporate+ RI+TPS'!BQ47</f>
        <v>0</v>
      </c>
      <c r="BR432" s="65">
        <f>'Special Corporate+ RI+TPS'!BR47</f>
        <v>0</v>
      </c>
      <c r="BS432" s="65">
        <f>'Special Corporate+ RI+TPS'!BS47</f>
        <v>0</v>
      </c>
      <c r="BT432" s="65">
        <f>'Special Corporate+ RI+TPS'!BT47</f>
        <v>0</v>
      </c>
      <c r="BU432" s="65">
        <f>'Special Corporate+ RI+TPS'!BU47</f>
        <v>0</v>
      </c>
      <c r="BV432" s="65">
        <f>'Special Corporate+ RI+TPS'!BV47</f>
        <v>0</v>
      </c>
      <c r="BW432" s="65">
        <f>'Special Corporate+ RI+TPS'!BW47</f>
        <v>0</v>
      </c>
      <c r="BX432" s="65">
        <f>'Special Corporate+ RI+TPS'!BX47</f>
        <v>0</v>
      </c>
      <c r="BY432" s="65">
        <f>'Special Corporate+ RI+TPS'!BY47</f>
        <v>0</v>
      </c>
      <c r="BZ432" s="65">
        <f>'Special Corporate+ RI+TPS'!BZ47</f>
        <v>0</v>
      </c>
      <c r="CA432" s="65">
        <f>'Special Corporate+ RI+TPS'!CA47</f>
        <v>0</v>
      </c>
      <c r="CB432" s="65">
        <f>'Special Corporate+ RI+TPS'!CB47</f>
        <v>0</v>
      </c>
      <c r="CC432" s="65">
        <f>'Special Corporate+ RI+TPS'!CC47</f>
        <v>0</v>
      </c>
      <c r="CD432" s="65">
        <f>'Special Corporate+ RI+TPS'!CD47</f>
        <v>0</v>
      </c>
      <c r="CE432" s="65">
        <f>'Special Corporate+ RI+TPS'!CE47</f>
        <v>0</v>
      </c>
      <c r="CF432" s="65">
        <f>'Special Corporate+ RI+TPS'!CF47</f>
        <v>0</v>
      </c>
      <c r="CG432" s="65">
        <f>'Special Corporate+ RI+TPS'!CG47</f>
        <v>0</v>
      </c>
      <c r="CH432" s="65">
        <f>'Special Corporate+ RI+TPS'!CH47</f>
        <v>0</v>
      </c>
      <c r="CI432" s="65">
        <f>'Special Corporate+ RI+TPS'!CI47</f>
        <v>0</v>
      </c>
      <c r="CJ432" s="65">
        <f>'Special Corporate+ RI+TPS'!CJ47</f>
        <v>0</v>
      </c>
      <c r="CK432" s="65">
        <f>'Special Corporate+ RI+TPS'!CK47</f>
        <v>0</v>
      </c>
      <c r="CL432" s="65">
        <f>'Special Corporate+ RI+TPS'!CL47</f>
        <v>0</v>
      </c>
      <c r="CM432" s="65">
        <f>'Special Corporate+ RI+TPS'!CM47</f>
        <v>0</v>
      </c>
      <c r="CN432" s="65">
        <f>'Special Corporate+ RI+TPS'!CN47</f>
        <v>0</v>
      </c>
      <c r="CO432" s="65">
        <f>'Special Corporate+ RI+TPS'!CO47</f>
        <v>0</v>
      </c>
      <c r="CP432" s="65">
        <f>'Special Corporate+ RI+TPS'!CP47</f>
        <v>0</v>
      </c>
      <c r="CQ432" s="65">
        <f>'Special Corporate+ RI+TPS'!CQ47</f>
        <v>0</v>
      </c>
      <c r="CR432" s="65">
        <f>'Special Corporate+ RI+TPS'!CR47</f>
        <v>0</v>
      </c>
      <c r="CS432" s="65">
        <f>'Special Corporate+ RI+TPS'!CS47</f>
        <v>0</v>
      </c>
      <c r="CT432" s="65">
        <f>'Special Corporate+ RI+TPS'!CT47</f>
        <v>0</v>
      </c>
      <c r="CU432" s="65">
        <f>'Special Corporate+ RI+TPS'!CU47</f>
        <v>0</v>
      </c>
      <c r="CV432" s="65">
        <f>'Special Corporate+ RI+TPS'!CV47</f>
        <v>0</v>
      </c>
      <c r="CW432" s="65">
        <f>'Special Corporate+ RI+TPS'!CW47</f>
        <v>0</v>
      </c>
      <c r="CX432" s="65">
        <f>'Special Corporate+ RI+TPS'!CX47</f>
        <v>0</v>
      </c>
      <c r="CY432" s="65">
        <f>'Special Corporate+ RI+TPS'!CY47</f>
        <v>0</v>
      </c>
      <c r="CZ432" s="65">
        <f>'Special Corporate+ RI+TPS'!CZ47</f>
        <v>0</v>
      </c>
      <c r="DA432" s="65">
        <f>'Special Corporate+ RI+TPS'!DA47</f>
        <v>0</v>
      </c>
      <c r="DB432" s="65">
        <f>'Special Corporate+ RI+TPS'!DB47</f>
        <v>0</v>
      </c>
      <c r="DC432" s="65">
        <f>'Special Corporate+ RI+TPS'!DC47</f>
        <v>0</v>
      </c>
      <c r="DD432" s="65">
        <f>'Special Corporate+ RI+TPS'!DD47</f>
        <v>0</v>
      </c>
      <c r="DE432" s="65">
        <f>'Special Corporate+ RI+TPS'!DE47</f>
        <v>0</v>
      </c>
      <c r="DF432" s="65">
        <f>'Special Corporate+ RI+TPS'!DF47</f>
        <v>0</v>
      </c>
      <c r="DG432" s="65">
        <f>'Special Corporate+ RI+TPS'!DG47</f>
        <v>0</v>
      </c>
      <c r="DH432" s="65">
        <f>'Special Corporate+ RI+TPS'!DH47</f>
        <v>0</v>
      </c>
      <c r="DI432" s="65">
        <f>'Special Corporate+ RI+TPS'!DI47</f>
        <v>0</v>
      </c>
      <c r="DJ432" s="65">
        <f>'Special Corporate+ RI+TPS'!DJ47</f>
        <v>0</v>
      </c>
      <c r="DK432" s="65">
        <f>'Special Corporate+ RI+TPS'!DK47</f>
        <v>0</v>
      </c>
      <c r="DL432" s="65">
        <f>'Special Corporate+ RI+TPS'!DL47</f>
        <v>0</v>
      </c>
      <c r="DM432" s="65">
        <f>'Special Corporate+ RI+TPS'!DM47</f>
        <v>0</v>
      </c>
      <c r="DN432" s="65">
        <f>'Special Corporate+ RI+TPS'!DN47</f>
        <v>0</v>
      </c>
      <c r="DO432" s="65">
        <f>'Special Corporate+ RI+TPS'!DO47</f>
        <v>0</v>
      </c>
      <c r="DP432" s="65">
        <f>'Special Corporate+ RI+TPS'!DP47</f>
        <v>0</v>
      </c>
      <c r="DQ432" s="65">
        <f>'Special Corporate+ RI+TPS'!DQ47</f>
        <v>0</v>
      </c>
      <c r="DR432" s="65">
        <f>'Special Corporate+ RI+TPS'!DR47</f>
        <v>0</v>
      </c>
      <c r="DS432" s="65">
        <f>'Special Corporate+ RI+TPS'!DS47</f>
        <v>0</v>
      </c>
      <c r="DT432" s="65">
        <f>'Special Corporate+ RI+TPS'!DT47</f>
        <v>0</v>
      </c>
      <c r="DU432" s="65">
        <f>'Special Corporate+ RI+TPS'!DU47</f>
        <v>0</v>
      </c>
      <c r="DV432" s="65">
        <f>'Special Corporate+ RI+TPS'!DV47</f>
        <v>0</v>
      </c>
      <c r="DW432" s="65">
        <f>'Special Corporate+ RI+TPS'!DW47</f>
        <v>0</v>
      </c>
      <c r="DX432" s="65">
        <f>'Special Corporate+ RI+TPS'!DX47</f>
        <v>0</v>
      </c>
      <c r="DY432" s="65">
        <f>'Special Corporate+ RI+TPS'!DY47</f>
        <v>0</v>
      </c>
      <c r="DZ432" s="65">
        <f>'Special Corporate+ RI+TPS'!DZ47</f>
        <v>0</v>
      </c>
      <c r="EA432" s="65">
        <f>'Special Corporate+ RI+TPS'!EA47</f>
        <v>0</v>
      </c>
      <c r="EB432" s="68"/>
    </row>
    <row r="433" spans="1:132" x14ac:dyDescent="0.2">
      <c r="A433" s="152"/>
      <c r="B433" s="65">
        <f>'Special Corporate+ RI+TPS'!B48</f>
        <v>0</v>
      </c>
      <c r="C433" s="65">
        <f>'Special Corporate+ RI+TPS'!C48</f>
        <v>0</v>
      </c>
      <c r="D433" s="65">
        <f>'Special Corporate+ RI+TPS'!D48</f>
        <v>0</v>
      </c>
      <c r="E433" s="65">
        <f>'Special Corporate+ RI+TPS'!E48</f>
        <v>0</v>
      </c>
      <c r="F433" s="65">
        <f>'Special Corporate+ RI+TPS'!F48</f>
        <v>0</v>
      </c>
      <c r="G433" s="65">
        <f>'Special Corporate+ RI+TPS'!G48</f>
        <v>0</v>
      </c>
      <c r="H433" s="65">
        <f>'Special Corporate+ RI+TPS'!H48</f>
        <v>0</v>
      </c>
      <c r="I433" s="65">
        <f>'Special Corporate+ RI+TPS'!I48</f>
        <v>0</v>
      </c>
      <c r="J433" s="65">
        <f>'Special Corporate+ RI+TPS'!J48</f>
        <v>0</v>
      </c>
      <c r="K433" s="65">
        <f>'Special Corporate+ RI+TPS'!K48</f>
        <v>0</v>
      </c>
      <c r="L433" s="65">
        <f>'Special Corporate+ RI+TPS'!L48</f>
        <v>0</v>
      </c>
      <c r="M433" s="65">
        <f>'Special Corporate+ RI+TPS'!M48</f>
        <v>0</v>
      </c>
      <c r="N433" s="65">
        <f>'Special Corporate+ RI+TPS'!N48</f>
        <v>0</v>
      </c>
      <c r="O433" s="65">
        <f>'Special Corporate+ RI+TPS'!O48</f>
        <v>0</v>
      </c>
      <c r="P433" s="65">
        <f>'Special Corporate+ RI+TPS'!P48</f>
        <v>0</v>
      </c>
      <c r="Q433" s="65">
        <f>'Special Corporate+ RI+TPS'!Q48</f>
        <v>0</v>
      </c>
      <c r="R433" s="65">
        <f>'Special Corporate+ RI+TPS'!R48</f>
        <v>0</v>
      </c>
      <c r="S433" s="65">
        <f>'Special Corporate+ RI+TPS'!S48</f>
        <v>0</v>
      </c>
      <c r="T433" s="65">
        <f>'Special Corporate+ RI+TPS'!T48</f>
        <v>0</v>
      </c>
      <c r="U433" s="65">
        <f>'Special Corporate+ RI+TPS'!U48</f>
        <v>0</v>
      </c>
      <c r="V433" s="65">
        <f>'Special Corporate+ RI+TPS'!V48</f>
        <v>0</v>
      </c>
      <c r="W433" s="65">
        <f>'Special Corporate+ RI+TPS'!W48</f>
        <v>0</v>
      </c>
      <c r="X433" s="65">
        <f>'Special Corporate+ RI+TPS'!X48</f>
        <v>0</v>
      </c>
      <c r="Y433" s="65">
        <f>'Special Corporate+ RI+TPS'!Y48</f>
        <v>0</v>
      </c>
      <c r="Z433" s="65">
        <f>'Special Corporate+ RI+TPS'!Z48</f>
        <v>0</v>
      </c>
      <c r="AA433" s="65">
        <f>'Special Corporate+ RI+TPS'!AA48</f>
        <v>0</v>
      </c>
      <c r="AB433" s="65">
        <f>'Special Corporate+ RI+TPS'!AB48</f>
        <v>0</v>
      </c>
      <c r="AC433" s="65">
        <f>'Special Corporate+ RI+TPS'!AC48</f>
        <v>0</v>
      </c>
      <c r="AD433" s="65">
        <f>'Special Corporate+ RI+TPS'!AD48</f>
        <v>0</v>
      </c>
      <c r="AE433" s="65">
        <f>'Special Corporate+ RI+TPS'!AE48</f>
        <v>0</v>
      </c>
      <c r="AF433" s="65">
        <f>'Special Corporate+ RI+TPS'!AF48</f>
        <v>0</v>
      </c>
      <c r="AG433" s="65">
        <f>'Special Corporate+ RI+TPS'!AG48</f>
        <v>0</v>
      </c>
      <c r="AH433" s="65">
        <f>'Special Corporate+ RI+TPS'!AH48</f>
        <v>0</v>
      </c>
      <c r="AI433" s="65">
        <f>'Special Corporate+ RI+TPS'!AI48</f>
        <v>0</v>
      </c>
      <c r="AJ433" s="65">
        <f>'Special Corporate+ RI+TPS'!AJ48</f>
        <v>0</v>
      </c>
      <c r="AK433" s="65">
        <f>'Special Corporate+ RI+TPS'!AK48</f>
        <v>0</v>
      </c>
      <c r="AL433" s="65">
        <f>'Special Corporate+ RI+TPS'!AL48</f>
        <v>0</v>
      </c>
      <c r="AM433" s="65">
        <f>'Special Corporate+ RI+TPS'!AM48</f>
        <v>0</v>
      </c>
      <c r="AN433" s="65">
        <f>'Special Corporate+ RI+TPS'!AN48</f>
        <v>0</v>
      </c>
      <c r="AO433" s="65">
        <f>'Special Corporate+ RI+TPS'!AO48</f>
        <v>0</v>
      </c>
      <c r="AP433" s="65">
        <f>'Special Corporate+ RI+TPS'!AP48</f>
        <v>0</v>
      </c>
      <c r="AQ433" s="65">
        <f>'Special Corporate+ RI+TPS'!AQ48</f>
        <v>0</v>
      </c>
      <c r="AR433" s="65">
        <f>'Special Corporate+ RI+TPS'!AR48</f>
        <v>0</v>
      </c>
      <c r="AS433" s="65">
        <f>'Special Corporate+ RI+TPS'!AS48</f>
        <v>0</v>
      </c>
      <c r="AT433" s="65">
        <f>'Special Corporate+ RI+TPS'!AT48</f>
        <v>0</v>
      </c>
      <c r="AU433" s="65">
        <f>'Special Corporate+ RI+TPS'!AU48</f>
        <v>0</v>
      </c>
      <c r="AV433" s="65">
        <f>'Special Corporate+ RI+TPS'!AV48</f>
        <v>0</v>
      </c>
      <c r="AW433" s="65">
        <f>'Special Corporate+ RI+TPS'!AW48</f>
        <v>0</v>
      </c>
      <c r="AX433" s="65">
        <f>'Special Corporate+ RI+TPS'!AX48</f>
        <v>0</v>
      </c>
      <c r="AY433" s="65">
        <f>'Special Corporate+ RI+TPS'!AY48</f>
        <v>0</v>
      </c>
      <c r="AZ433" s="65">
        <f>'Special Corporate+ RI+TPS'!AZ48</f>
        <v>0</v>
      </c>
      <c r="BA433" s="65">
        <f>'Special Corporate+ RI+TPS'!BA48</f>
        <v>0</v>
      </c>
      <c r="BB433" s="65">
        <f>'Special Corporate+ RI+TPS'!BB48</f>
        <v>0</v>
      </c>
      <c r="BC433" s="65">
        <f>'Special Corporate+ RI+TPS'!BC48</f>
        <v>0</v>
      </c>
      <c r="BD433" s="65">
        <f>'Special Corporate+ RI+TPS'!BD48</f>
        <v>0</v>
      </c>
      <c r="BE433" s="65">
        <f>'Special Corporate+ RI+TPS'!BE48</f>
        <v>0</v>
      </c>
      <c r="BF433" s="65">
        <f>'Special Corporate+ RI+TPS'!BF48</f>
        <v>0</v>
      </c>
      <c r="BG433" s="65">
        <f>'Special Corporate+ RI+TPS'!BG48</f>
        <v>0</v>
      </c>
      <c r="BH433" s="65">
        <f>'Special Corporate+ RI+TPS'!BH48</f>
        <v>0</v>
      </c>
      <c r="BI433" s="65">
        <f>'Special Corporate+ RI+TPS'!BI48</f>
        <v>0</v>
      </c>
      <c r="BJ433" s="65">
        <f>'Special Corporate+ RI+TPS'!BJ48</f>
        <v>0</v>
      </c>
      <c r="BK433" s="65">
        <f>'Special Corporate+ RI+TPS'!BK48</f>
        <v>0</v>
      </c>
      <c r="BL433" s="65">
        <f>'Special Corporate+ RI+TPS'!BL48</f>
        <v>0</v>
      </c>
      <c r="BM433" s="65">
        <f>'Special Corporate+ RI+TPS'!BM48</f>
        <v>0</v>
      </c>
      <c r="BN433" s="65">
        <f>'Special Corporate+ RI+TPS'!BN48</f>
        <v>0</v>
      </c>
      <c r="BO433" s="65">
        <f>'Special Corporate+ RI+TPS'!BO48</f>
        <v>0</v>
      </c>
      <c r="BP433" s="65">
        <f>'Special Corporate+ RI+TPS'!BP48</f>
        <v>0</v>
      </c>
      <c r="BQ433" s="65">
        <f>'Special Corporate+ RI+TPS'!BQ48</f>
        <v>0</v>
      </c>
      <c r="BR433" s="65">
        <f>'Special Corporate+ RI+TPS'!BR48</f>
        <v>0</v>
      </c>
      <c r="BS433" s="65">
        <f>'Special Corporate+ RI+TPS'!BS48</f>
        <v>0</v>
      </c>
      <c r="BT433" s="65">
        <f>'Special Corporate+ RI+TPS'!BT48</f>
        <v>0</v>
      </c>
      <c r="BU433" s="65">
        <f>'Special Corporate+ RI+TPS'!BU48</f>
        <v>0</v>
      </c>
      <c r="BV433" s="65">
        <f>'Special Corporate+ RI+TPS'!BV48</f>
        <v>0</v>
      </c>
      <c r="BW433" s="65">
        <f>'Special Corporate+ RI+TPS'!BW48</f>
        <v>0</v>
      </c>
      <c r="BX433" s="65">
        <f>'Special Corporate+ RI+TPS'!BX48</f>
        <v>0</v>
      </c>
      <c r="BY433" s="65">
        <f>'Special Corporate+ RI+TPS'!BY48</f>
        <v>0</v>
      </c>
      <c r="BZ433" s="65">
        <f>'Special Corporate+ RI+TPS'!BZ48</f>
        <v>0</v>
      </c>
      <c r="CA433" s="65">
        <f>'Special Corporate+ RI+TPS'!CA48</f>
        <v>0</v>
      </c>
      <c r="CB433" s="65">
        <f>'Special Corporate+ RI+TPS'!CB48</f>
        <v>0</v>
      </c>
      <c r="CC433" s="65">
        <f>'Special Corporate+ RI+TPS'!CC48</f>
        <v>0</v>
      </c>
      <c r="CD433" s="65">
        <f>'Special Corporate+ RI+TPS'!CD48</f>
        <v>0</v>
      </c>
      <c r="CE433" s="65">
        <f>'Special Corporate+ RI+TPS'!CE48</f>
        <v>0</v>
      </c>
      <c r="CF433" s="65">
        <f>'Special Corporate+ RI+TPS'!CF48</f>
        <v>0</v>
      </c>
      <c r="CG433" s="65">
        <f>'Special Corporate+ RI+TPS'!CG48</f>
        <v>0</v>
      </c>
      <c r="CH433" s="65">
        <f>'Special Corporate+ RI+TPS'!CH48</f>
        <v>0</v>
      </c>
      <c r="CI433" s="65">
        <f>'Special Corporate+ RI+TPS'!CI48</f>
        <v>0</v>
      </c>
      <c r="CJ433" s="65">
        <f>'Special Corporate+ RI+TPS'!CJ48</f>
        <v>0</v>
      </c>
      <c r="CK433" s="65">
        <f>'Special Corporate+ RI+TPS'!CK48</f>
        <v>0</v>
      </c>
      <c r="CL433" s="65">
        <f>'Special Corporate+ RI+TPS'!CL48</f>
        <v>0</v>
      </c>
      <c r="CM433" s="65">
        <f>'Special Corporate+ RI+TPS'!CM48</f>
        <v>0</v>
      </c>
      <c r="CN433" s="65">
        <f>'Special Corporate+ RI+TPS'!CN48</f>
        <v>0</v>
      </c>
      <c r="CO433" s="65">
        <f>'Special Corporate+ RI+TPS'!CO48</f>
        <v>0</v>
      </c>
      <c r="CP433" s="65">
        <f>'Special Corporate+ RI+TPS'!CP48</f>
        <v>0</v>
      </c>
      <c r="CQ433" s="65">
        <f>'Special Corporate+ RI+TPS'!CQ48</f>
        <v>0</v>
      </c>
      <c r="CR433" s="65">
        <f>'Special Corporate+ RI+TPS'!CR48</f>
        <v>0</v>
      </c>
      <c r="CS433" s="65">
        <f>'Special Corporate+ RI+TPS'!CS48</f>
        <v>0</v>
      </c>
      <c r="CT433" s="65">
        <f>'Special Corporate+ RI+TPS'!CT48</f>
        <v>0</v>
      </c>
      <c r="CU433" s="65">
        <f>'Special Corporate+ RI+TPS'!CU48</f>
        <v>0</v>
      </c>
      <c r="CV433" s="65">
        <f>'Special Corporate+ RI+TPS'!CV48</f>
        <v>0</v>
      </c>
      <c r="CW433" s="65">
        <f>'Special Corporate+ RI+TPS'!CW48</f>
        <v>0</v>
      </c>
      <c r="CX433" s="65">
        <f>'Special Corporate+ RI+TPS'!CX48</f>
        <v>0</v>
      </c>
      <c r="CY433" s="65">
        <f>'Special Corporate+ RI+TPS'!CY48</f>
        <v>0</v>
      </c>
      <c r="CZ433" s="65">
        <f>'Special Corporate+ RI+TPS'!CZ48</f>
        <v>0</v>
      </c>
      <c r="DA433" s="65">
        <f>'Special Corporate+ RI+TPS'!DA48</f>
        <v>0</v>
      </c>
      <c r="DB433" s="65">
        <f>'Special Corporate+ RI+TPS'!DB48</f>
        <v>0</v>
      </c>
      <c r="DC433" s="65">
        <f>'Special Corporate+ RI+TPS'!DC48</f>
        <v>0</v>
      </c>
      <c r="DD433" s="65">
        <f>'Special Corporate+ RI+TPS'!DD48</f>
        <v>0</v>
      </c>
      <c r="DE433" s="65">
        <f>'Special Corporate+ RI+TPS'!DE48</f>
        <v>0</v>
      </c>
      <c r="DF433" s="65">
        <f>'Special Corporate+ RI+TPS'!DF48</f>
        <v>0</v>
      </c>
      <c r="DG433" s="65">
        <f>'Special Corporate+ RI+TPS'!DG48</f>
        <v>0</v>
      </c>
      <c r="DH433" s="65">
        <f>'Special Corporate+ RI+TPS'!DH48</f>
        <v>0</v>
      </c>
      <c r="DI433" s="65">
        <f>'Special Corporate+ RI+TPS'!DI48</f>
        <v>0</v>
      </c>
      <c r="DJ433" s="65">
        <f>'Special Corporate+ RI+TPS'!DJ48</f>
        <v>0</v>
      </c>
      <c r="DK433" s="65">
        <f>'Special Corporate+ RI+TPS'!DK48</f>
        <v>0</v>
      </c>
      <c r="DL433" s="65">
        <f>'Special Corporate+ RI+TPS'!DL48</f>
        <v>0</v>
      </c>
      <c r="DM433" s="65">
        <f>'Special Corporate+ RI+TPS'!DM48</f>
        <v>0</v>
      </c>
      <c r="DN433" s="65">
        <f>'Special Corporate+ RI+TPS'!DN48</f>
        <v>0</v>
      </c>
      <c r="DO433" s="65">
        <f>'Special Corporate+ RI+TPS'!DO48</f>
        <v>0</v>
      </c>
      <c r="DP433" s="65">
        <f>'Special Corporate+ RI+TPS'!DP48</f>
        <v>0</v>
      </c>
      <c r="DQ433" s="65">
        <f>'Special Corporate+ RI+TPS'!DQ48</f>
        <v>0</v>
      </c>
      <c r="DR433" s="65">
        <f>'Special Corporate+ RI+TPS'!DR48</f>
        <v>0</v>
      </c>
      <c r="DS433" s="65">
        <f>'Special Corporate+ RI+TPS'!DS48</f>
        <v>0</v>
      </c>
      <c r="DT433" s="65">
        <f>'Special Corporate+ RI+TPS'!DT48</f>
        <v>0</v>
      </c>
      <c r="DU433" s="65">
        <f>'Special Corporate+ RI+TPS'!DU48</f>
        <v>0</v>
      </c>
      <c r="DV433" s="65">
        <f>'Special Corporate+ RI+TPS'!DV48</f>
        <v>0</v>
      </c>
      <c r="DW433" s="65">
        <f>'Special Corporate+ RI+TPS'!DW48</f>
        <v>0</v>
      </c>
      <c r="DX433" s="65">
        <f>'Special Corporate+ RI+TPS'!DX48</f>
        <v>0</v>
      </c>
      <c r="DY433" s="65">
        <f>'Special Corporate+ RI+TPS'!DY48</f>
        <v>0</v>
      </c>
      <c r="DZ433" s="65">
        <f>'Special Corporate+ RI+TPS'!DZ48</f>
        <v>0</v>
      </c>
      <c r="EA433" s="65">
        <f>'Special Corporate+ RI+TPS'!EA48</f>
        <v>0</v>
      </c>
      <c r="EB433" s="68"/>
    </row>
    <row r="434" spans="1:132" x14ac:dyDescent="0.2">
      <c r="A434" s="152"/>
      <c r="B434" s="65">
        <f>'Special Corporate+ RI+TPS'!B49</f>
        <v>0</v>
      </c>
      <c r="C434" s="65">
        <f>'Special Corporate+ RI+TPS'!C49</f>
        <v>0</v>
      </c>
      <c r="D434" s="65">
        <f>'Special Corporate+ RI+TPS'!D49</f>
        <v>0</v>
      </c>
      <c r="E434" s="65">
        <f>'Special Corporate+ RI+TPS'!E49</f>
        <v>0</v>
      </c>
      <c r="F434" s="65">
        <f>'Special Corporate+ RI+TPS'!F49</f>
        <v>0</v>
      </c>
      <c r="G434" s="65">
        <f>'Special Corporate+ RI+TPS'!G49</f>
        <v>0</v>
      </c>
      <c r="H434" s="65">
        <f>'Special Corporate+ RI+TPS'!H49</f>
        <v>0</v>
      </c>
      <c r="I434" s="65">
        <f>'Special Corporate+ RI+TPS'!I49</f>
        <v>0</v>
      </c>
      <c r="J434" s="65">
        <f>'Special Corporate+ RI+TPS'!J49</f>
        <v>0</v>
      </c>
      <c r="K434" s="65">
        <f>'Special Corporate+ RI+TPS'!K49</f>
        <v>0</v>
      </c>
      <c r="L434" s="65">
        <f>'Special Corporate+ RI+TPS'!L49</f>
        <v>0</v>
      </c>
      <c r="M434" s="65">
        <f>'Special Corporate+ RI+TPS'!M49</f>
        <v>0</v>
      </c>
      <c r="N434" s="65">
        <f>'Special Corporate+ RI+TPS'!N49</f>
        <v>0</v>
      </c>
      <c r="O434" s="65">
        <f>'Special Corporate+ RI+TPS'!O49</f>
        <v>0</v>
      </c>
      <c r="P434" s="65">
        <f>'Special Corporate+ RI+TPS'!P49</f>
        <v>0</v>
      </c>
      <c r="Q434" s="65">
        <f>'Special Corporate+ RI+TPS'!Q49</f>
        <v>0</v>
      </c>
      <c r="R434" s="65">
        <f>'Special Corporate+ RI+TPS'!R49</f>
        <v>0</v>
      </c>
      <c r="S434" s="65">
        <f>'Special Corporate+ RI+TPS'!S49</f>
        <v>0</v>
      </c>
      <c r="T434" s="65">
        <f>'Special Corporate+ RI+TPS'!T49</f>
        <v>0</v>
      </c>
      <c r="U434" s="65">
        <f>'Special Corporate+ RI+TPS'!U49</f>
        <v>0</v>
      </c>
      <c r="V434" s="65">
        <f>'Special Corporate+ RI+TPS'!V49</f>
        <v>0</v>
      </c>
      <c r="W434" s="65">
        <f>'Special Corporate+ RI+TPS'!W49</f>
        <v>0</v>
      </c>
      <c r="X434" s="65">
        <f>'Special Corporate+ RI+TPS'!X49</f>
        <v>0</v>
      </c>
      <c r="Y434" s="65">
        <f>'Special Corporate+ RI+TPS'!Y49</f>
        <v>0</v>
      </c>
      <c r="Z434" s="65">
        <f>'Special Corporate+ RI+TPS'!Z49</f>
        <v>0</v>
      </c>
      <c r="AA434" s="65">
        <f>'Special Corporate+ RI+TPS'!AA49</f>
        <v>0</v>
      </c>
      <c r="AB434" s="65">
        <f>'Special Corporate+ RI+TPS'!AB49</f>
        <v>0</v>
      </c>
      <c r="AC434" s="65">
        <f>'Special Corporate+ RI+TPS'!AC49</f>
        <v>0</v>
      </c>
      <c r="AD434" s="65">
        <f>'Special Corporate+ RI+TPS'!AD49</f>
        <v>0</v>
      </c>
      <c r="AE434" s="65">
        <f>'Special Corporate+ RI+TPS'!AE49</f>
        <v>0</v>
      </c>
      <c r="AF434" s="65">
        <f>'Special Corporate+ RI+TPS'!AF49</f>
        <v>0</v>
      </c>
      <c r="AG434" s="65">
        <f>'Special Corporate+ RI+TPS'!AG49</f>
        <v>0</v>
      </c>
      <c r="AH434" s="65">
        <f>'Special Corporate+ RI+TPS'!AH49</f>
        <v>0</v>
      </c>
      <c r="AI434" s="65">
        <f>'Special Corporate+ RI+TPS'!AI49</f>
        <v>0</v>
      </c>
      <c r="AJ434" s="65">
        <f>'Special Corporate+ RI+TPS'!AJ49</f>
        <v>0</v>
      </c>
      <c r="AK434" s="65">
        <f>'Special Corporate+ RI+TPS'!AK49</f>
        <v>0</v>
      </c>
      <c r="AL434" s="65">
        <f>'Special Corporate+ RI+TPS'!AL49</f>
        <v>0</v>
      </c>
      <c r="AM434" s="65">
        <f>'Special Corporate+ RI+TPS'!AM49</f>
        <v>0</v>
      </c>
      <c r="AN434" s="65">
        <f>'Special Corporate+ RI+TPS'!AN49</f>
        <v>0</v>
      </c>
      <c r="AO434" s="65">
        <f>'Special Corporate+ RI+TPS'!AO49</f>
        <v>0</v>
      </c>
      <c r="AP434" s="65">
        <f>'Special Corporate+ RI+TPS'!AP49</f>
        <v>0</v>
      </c>
      <c r="AQ434" s="65">
        <f>'Special Corporate+ RI+TPS'!AQ49</f>
        <v>0</v>
      </c>
      <c r="AR434" s="65">
        <f>'Special Corporate+ RI+TPS'!AR49</f>
        <v>0</v>
      </c>
      <c r="AS434" s="65">
        <f>'Special Corporate+ RI+TPS'!AS49</f>
        <v>0</v>
      </c>
      <c r="AT434" s="65">
        <f>'Special Corporate+ RI+TPS'!AT49</f>
        <v>0</v>
      </c>
      <c r="AU434" s="65">
        <f>'Special Corporate+ RI+TPS'!AU49</f>
        <v>0</v>
      </c>
      <c r="AV434" s="65">
        <f>'Special Corporate+ RI+TPS'!AV49</f>
        <v>0</v>
      </c>
      <c r="AW434" s="65">
        <f>'Special Corporate+ RI+TPS'!AW49</f>
        <v>0</v>
      </c>
      <c r="AX434" s="65">
        <f>'Special Corporate+ RI+TPS'!AX49</f>
        <v>0</v>
      </c>
      <c r="AY434" s="65">
        <f>'Special Corporate+ RI+TPS'!AY49</f>
        <v>0</v>
      </c>
      <c r="AZ434" s="65">
        <f>'Special Corporate+ RI+TPS'!AZ49</f>
        <v>0</v>
      </c>
      <c r="BA434" s="65">
        <f>'Special Corporate+ RI+TPS'!BA49</f>
        <v>0</v>
      </c>
      <c r="BB434" s="65">
        <f>'Special Corporate+ RI+TPS'!BB49</f>
        <v>0</v>
      </c>
      <c r="BC434" s="65">
        <f>'Special Corporate+ RI+TPS'!BC49</f>
        <v>0</v>
      </c>
      <c r="BD434" s="65">
        <f>'Special Corporate+ RI+TPS'!BD49</f>
        <v>0</v>
      </c>
      <c r="BE434" s="65">
        <f>'Special Corporate+ RI+TPS'!BE49</f>
        <v>0</v>
      </c>
      <c r="BF434" s="65">
        <f>'Special Corporate+ RI+TPS'!BF49</f>
        <v>0</v>
      </c>
      <c r="BG434" s="65">
        <f>'Special Corporate+ RI+TPS'!BG49</f>
        <v>0</v>
      </c>
      <c r="BH434" s="65">
        <f>'Special Corporate+ RI+TPS'!BH49</f>
        <v>0</v>
      </c>
      <c r="BI434" s="65">
        <f>'Special Corporate+ RI+TPS'!BI49</f>
        <v>0</v>
      </c>
      <c r="BJ434" s="65">
        <f>'Special Corporate+ RI+TPS'!BJ49</f>
        <v>0</v>
      </c>
      <c r="BK434" s="65">
        <f>'Special Corporate+ RI+TPS'!BK49</f>
        <v>0</v>
      </c>
      <c r="BL434" s="65">
        <f>'Special Corporate+ RI+TPS'!BL49</f>
        <v>0</v>
      </c>
      <c r="BM434" s="65">
        <f>'Special Corporate+ RI+TPS'!BM49</f>
        <v>0</v>
      </c>
      <c r="BN434" s="65">
        <f>'Special Corporate+ RI+TPS'!BN49</f>
        <v>0</v>
      </c>
      <c r="BO434" s="65">
        <f>'Special Corporate+ RI+TPS'!BO49</f>
        <v>0</v>
      </c>
      <c r="BP434" s="65">
        <f>'Special Corporate+ RI+TPS'!BP49</f>
        <v>0</v>
      </c>
      <c r="BQ434" s="65">
        <f>'Special Corporate+ RI+TPS'!BQ49</f>
        <v>0</v>
      </c>
      <c r="BR434" s="65">
        <f>'Special Corporate+ RI+TPS'!BR49</f>
        <v>0</v>
      </c>
      <c r="BS434" s="65">
        <f>'Special Corporate+ RI+TPS'!BS49</f>
        <v>0</v>
      </c>
      <c r="BT434" s="65">
        <f>'Special Corporate+ RI+TPS'!BT49</f>
        <v>0</v>
      </c>
      <c r="BU434" s="65">
        <f>'Special Corporate+ RI+TPS'!BU49</f>
        <v>0</v>
      </c>
      <c r="BV434" s="65">
        <f>'Special Corporate+ RI+TPS'!BV49</f>
        <v>0</v>
      </c>
      <c r="BW434" s="65">
        <f>'Special Corporate+ RI+TPS'!BW49</f>
        <v>0</v>
      </c>
      <c r="BX434" s="65">
        <f>'Special Corporate+ RI+TPS'!BX49</f>
        <v>0</v>
      </c>
      <c r="BY434" s="65">
        <f>'Special Corporate+ RI+TPS'!BY49</f>
        <v>0</v>
      </c>
      <c r="BZ434" s="65">
        <f>'Special Corporate+ RI+TPS'!BZ49</f>
        <v>0</v>
      </c>
      <c r="CA434" s="65">
        <f>'Special Corporate+ RI+TPS'!CA49</f>
        <v>0</v>
      </c>
      <c r="CB434" s="65">
        <f>'Special Corporate+ RI+TPS'!CB49</f>
        <v>0</v>
      </c>
      <c r="CC434" s="65">
        <f>'Special Corporate+ RI+TPS'!CC49</f>
        <v>0</v>
      </c>
      <c r="CD434" s="65">
        <f>'Special Corporate+ RI+TPS'!CD49</f>
        <v>0</v>
      </c>
      <c r="CE434" s="65">
        <f>'Special Corporate+ RI+TPS'!CE49</f>
        <v>0</v>
      </c>
      <c r="CF434" s="65">
        <f>'Special Corporate+ RI+TPS'!CF49</f>
        <v>0</v>
      </c>
      <c r="CG434" s="65">
        <f>'Special Corporate+ RI+TPS'!CG49</f>
        <v>0</v>
      </c>
      <c r="CH434" s="65">
        <f>'Special Corporate+ RI+TPS'!CH49</f>
        <v>0</v>
      </c>
      <c r="CI434" s="65">
        <f>'Special Corporate+ RI+TPS'!CI49</f>
        <v>0</v>
      </c>
      <c r="CJ434" s="65">
        <f>'Special Corporate+ RI+TPS'!CJ49</f>
        <v>0</v>
      </c>
      <c r="CK434" s="65">
        <f>'Special Corporate+ RI+TPS'!CK49</f>
        <v>0</v>
      </c>
      <c r="CL434" s="65">
        <f>'Special Corporate+ RI+TPS'!CL49</f>
        <v>0</v>
      </c>
      <c r="CM434" s="65">
        <f>'Special Corporate+ RI+TPS'!CM49</f>
        <v>0</v>
      </c>
      <c r="CN434" s="65">
        <f>'Special Corporate+ RI+TPS'!CN49</f>
        <v>0</v>
      </c>
      <c r="CO434" s="65">
        <f>'Special Corporate+ RI+TPS'!CO49</f>
        <v>0</v>
      </c>
      <c r="CP434" s="65">
        <f>'Special Corporate+ RI+TPS'!CP49</f>
        <v>0</v>
      </c>
      <c r="CQ434" s="65">
        <f>'Special Corporate+ RI+TPS'!CQ49</f>
        <v>0</v>
      </c>
      <c r="CR434" s="65">
        <f>'Special Corporate+ RI+TPS'!CR49</f>
        <v>0</v>
      </c>
      <c r="CS434" s="65">
        <f>'Special Corporate+ RI+TPS'!CS49</f>
        <v>0</v>
      </c>
      <c r="CT434" s="65">
        <f>'Special Corporate+ RI+TPS'!CT49</f>
        <v>0</v>
      </c>
      <c r="CU434" s="65">
        <f>'Special Corporate+ RI+TPS'!CU49</f>
        <v>0</v>
      </c>
      <c r="CV434" s="65">
        <f>'Special Corporate+ RI+TPS'!CV49</f>
        <v>0</v>
      </c>
      <c r="CW434" s="65">
        <f>'Special Corporate+ RI+TPS'!CW49</f>
        <v>0</v>
      </c>
      <c r="CX434" s="65">
        <f>'Special Corporate+ RI+TPS'!CX49</f>
        <v>0</v>
      </c>
      <c r="CY434" s="65">
        <f>'Special Corporate+ RI+TPS'!CY49</f>
        <v>0</v>
      </c>
      <c r="CZ434" s="65">
        <f>'Special Corporate+ RI+TPS'!CZ49</f>
        <v>0</v>
      </c>
      <c r="DA434" s="65">
        <f>'Special Corporate+ RI+TPS'!DA49</f>
        <v>0</v>
      </c>
      <c r="DB434" s="65">
        <f>'Special Corporate+ RI+TPS'!DB49</f>
        <v>0</v>
      </c>
      <c r="DC434" s="65">
        <f>'Special Corporate+ RI+TPS'!DC49</f>
        <v>0</v>
      </c>
      <c r="DD434" s="65">
        <f>'Special Corporate+ RI+TPS'!DD49</f>
        <v>0</v>
      </c>
      <c r="DE434" s="65">
        <f>'Special Corporate+ RI+TPS'!DE49</f>
        <v>0</v>
      </c>
      <c r="DF434" s="65">
        <f>'Special Corporate+ RI+TPS'!DF49</f>
        <v>0</v>
      </c>
      <c r="DG434" s="65">
        <f>'Special Corporate+ RI+TPS'!DG49</f>
        <v>0</v>
      </c>
      <c r="DH434" s="65">
        <f>'Special Corporate+ RI+TPS'!DH49</f>
        <v>0</v>
      </c>
      <c r="DI434" s="65">
        <f>'Special Corporate+ RI+TPS'!DI49</f>
        <v>0</v>
      </c>
      <c r="DJ434" s="65">
        <f>'Special Corporate+ RI+TPS'!DJ49</f>
        <v>0</v>
      </c>
      <c r="DK434" s="65">
        <f>'Special Corporate+ RI+TPS'!DK49</f>
        <v>0</v>
      </c>
      <c r="DL434" s="65">
        <f>'Special Corporate+ RI+TPS'!DL49</f>
        <v>0</v>
      </c>
      <c r="DM434" s="65">
        <f>'Special Corporate+ RI+TPS'!DM49</f>
        <v>0</v>
      </c>
      <c r="DN434" s="65">
        <f>'Special Corporate+ RI+TPS'!DN49</f>
        <v>0</v>
      </c>
      <c r="DO434" s="65">
        <f>'Special Corporate+ RI+TPS'!DO49</f>
        <v>0</v>
      </c>
      <c r="DP434" s="65">
        <f>'Special Corporate+ RI+TPS'!DP49</f>
        <v>0</v>
      </c>
      <c r="DQ434" s="65">
        <f>'Special Corporate+ RI+TPS'!DQ49</f>
        <v>0</v>
      </c>
      <c r="DR434" s="65">
        <f>'Special Corporate+ RI+TPS'!DR49</f>
        <v>0</v>
      </c>
      <c r="DS434" s="65">
        <f>'Special Corporate+ RI+TPS'!DS49</f>
        <v>0</v>
      </c>
      <c r="DT434" s="65">
        <f>'Special Corporate+ RI+TPS'!DT49</f>
        <v>0</v>
      </c>
      <c r="DU434" s="65">
        <f>'Special Corporate+ RI+TPS'!DU49</f>
        <v>0</v>
      </c>
      <c r="DV434" s="65">
        <f>'Special Corporate+ RI+TPS'!DV49</f>
        <v>0</v>
      </c>
      <c r="DW434" s="65">
        <f>'Special Corporate+ RI+TPS'!DW49</f>
        <v>0</v>
      </c>
      <c r="DX434" s="65">
        <f>'Special Corporate+ RI+TPS'!DX49</f>
        <v>0</v>
      </c>
      <c r="DY434" s="65">
        <f>'Special Corporate+ RI+TPS'!DY49</f>
        <v>0</v>
      </c>
      <c r="DZ434" s="65">
        <f>'Special Corporate+ RI+TPS'!DZ49</f>
        <v>0</v>
      </c>
      <c r="EA434" s="65">
        <f>'Special Corporate+ RI+TPS'!EA49</f>
        <v>0</v>
      </c>
      <c r="EB434" s="68"/>
    </row>
    <row r="435" spans="1:132" x14ac:dyDescent="0.2">
      <c r="A435" s="152"/>
      <c r="B435" s="65">
        <f>'Special Corporate+ RI+TPS'!B50</f>
        <v>0</v>
      </c>
      <c r="C435" s="65">
        <f>'Special Corporate+ RI+TPS'!C50</f>
        <v>0</v>
      </c>
      <c r="D435" s="65">
        <f>'Special Corporate+ RI+TPS'!D50</f>
        <v>0</v>
      </c>
      <c r="E435" s="65">
        <f>'Special Corporate+ RI+TPS'!E50</f>
        <v>0</v>
      </c>
      <c r="F435" s="65">
        <f>'Special Corporate+ RI+TPS'!F50</f>
        <v>0</v>
      </c>
      <c r="G435" s="65">
        <f>'Special Corporate+ RI+TPS'!G50</f>
        <v>0</v>
      </c>
      <c r="H435" s="65">
        <f>'Special Corporate+ RI+TPS'!H50</f>
        <v>0</v>
      </c>
      <c r="I435" s="65">
        <f>'Special Corporate+ RI+TPS'!I50</f>
        <v>0</v>
      </c>
      <c r="J435" s="65">
        <f>'Special Corporate+ RI+TPS'!J50</f>
        <v>0</v>
      </c>
      <c r="K435" s="65">
        <f>'Special Corporate+ RI+TPS'!K50</f>
        <v>0</v>
      </c>
      <c r="L435" s="65">
        <f>'Special Corporate+ RI+TPS'!L50</f>
        <v>0</v>
      </c>
      <c r="M435" s="65">
        <f>'Special Corporate+ RI+TPS'!M50</f>
        <v>0</v>
      </c>
      <c r="N435" s="65">
        <f>'Special Corporate+ RI+TPS'!N50</f>
        <v>0</v>
      </c>
      <c r="O435" s="65">
        <f>'Special Corporate+ RI+TPS'!O50</f>
        <v>0</v>
      </c>
      <c r="P435" s="65">
        <f>'Special Corporate+ RI+TPS'!P50</f>
        <v>0</v>
      </c>
      <c r="Q435" s="65">
        <f>'Special Corporate+ RI+TPS'!Q50</f>
        <v>0</v>
      </c>
      <c r="R435" s="65">
        <f>'Special Corporate+ RI+TPS'!R50</f>
        <v>0</v>
      </c>
      <c r="S435" s="65">
        <f>'Special Corporate+ RI+TPS'!S50</f>
        <v>0</v>
      </c>
      <c r="T435" s="65">
        <f>'Special Corporate+ RI+TPS'!T50</f>
        <v>0</v>
      </c>
      <c r="U435" s="65">
        <f>'Special Corporate+ RI+TPS'!U50</f>
        <v>0</v>
      </c>
      <c r="V435" s="65">
        <f>'Special Corporate+ RI+TPS'!V50</f>
        <v>0</v>
      </c>
      <c r="W435" s="65">
        <f>'Special Corporate+ RI+TPS'!W50</f>
        <v>0</v>
      </c>
      <c r="X435" s="65">
        <f>'Special Corporate+ RI+TPS'!X50</f>
        <v>0</v>
      </c>
      <c r="Y435" s="65">
        <f>'Special Corporate+ RI+TPS'!Y50</f>
        <v>0</v>
      </c>
      <c r="Z435" s="65">
        <f>'Special Corporate+ RI+TPS'!Z50</f>
        <v>0</v>
      </c>
      <c r="AA435" s="65">
        <f>'Special Corporate+ RI+TPS'!AA50</f>
        <v>0</v>
      </c>
      <c r="AB435" s="65">
        <f>'Special Corporate+ RI+TPS'!AB50</f>
        <v>0</v>
      </c>
      <c r="AC435" s="65">
        <f>'Special Corporate+ RI+TPS'!AC50</f>
        <v>0</v>
      </c>
      <c r="AD435" s="65">
        <f>'Special Corporate+ RI+TPS'!AD50</f>
        <v>0</v>
      </c>
      <c r="AE435" s="65">
        <f>'Special Corporate+ RI+TPS'!AE50</f>
        <v>0</v>
      </c>
      <c r="AF435" s="65">
        <f>'Special Corporate+ RI+TPS'!AF50</f>
        <v>0</v>
      </c>
      <c r="AG435" s="65">
        <f>'Special Corporate+ RI+TPS'!AG50</f>
        <v>0</v>
      </c>
      <c r="AH435" s="65">
        <f>'Special Corporate+ RI+TPS'!AH50</f>
        <v>0</v>
      </c>
      <c r="AI435" s="65">
        <f>'Special Corporate+ RI+TPS'!AI50</f>
        <v>0</v>
      </c>
      <c r="AJ435" s="65">
        <f>'Special Corporate+ RI+TPS'!AJ50</f>
        <v>0</v>
      </c>
      <c r="AK435" s="65">
        <f>'Special Corporate+ RI+TPS'!AK50</f>
        <v>0</v>
      </c>
      <c r="AL435" s="65">
        <f>'Special Corporate+ RI+TPS'!AL50</f>
        <v>0</v>
      </c>
      <c r="AM435" s="65">
        <f>'Special Corporate+ RI+TPS'!AM50</f>
        <v>0</v>
      </c>
      <c r="AN435" s="65">
        <f>'Special Corporate+ RI+TPS'!AN50</f>
        <v>0</v>
      </c>
      <c r="AO435" s="65">
        <f>'Special Corporate+ RI+TPS'!AO50</f>
        <v>0</v>
      </c>
      <c r="AP435" s="65">
        <f>'Special Corporate+ RI+TPS'!AP50</f>
        <v>0</v>
      </c>
      <c r="AQ435" s="65">
        <f>'Special Corporate+ RI+TPS'!AQ50</f>
        <v>0</v>
      </c>
      <c r="AR435" s="65">
        <f>'Special Corporate+ RI+TPS'!AR50</f>
        <v>0</v>
      </c>
      <c r="AS435" s="65">
        <f>'Special Corporate+ RI+TPS'!AS50</f>
        <v>0</v>
      </c>
      <c r="AT435" s="65">
        <f>'Special Corporate+ RI+TPS'!AT50</f>
        <v>0</v>
      </c>
      <c r="AU435" s="65">
        <f>'Special Corporate+ RI+TPS'!AU50</f>
        <v>0</v>
      </c>
      <c r="AV435" s="65">
        <f>'Special Corporate+ RI+TPS'!AV50</f>
        <v>0</v>
      </c>
      <c r="AW435" s="65">
        <f>'Special Corporate+ RI+TPS'!AW50</f>
        <v>0</v>
      </c>
      <c r="AX435" s="65">
        <f>'Special Corporate+ RI+TPS'!AX50</f>
        <v>0</v>
      </c>
      <c r="AY435" s="65">
        <f>'Special Corporate+ RI+TPS'!AY50</f>
        <v>0</v>
      </c>
      <c r="AZ435" s="65">
        <f>'Special Corporate+ RI+TPS'!AZ50</f>
        <v>0</v>
      </c>
      <c r="BA435" s="65">
        <f>'Special Corporate+ RI+TPS'!BA50</f>
        <v>0</v>
      </c>
      <c r="BB435" s="65">
        <f>'Special Corporate+ RI+TPS'!BB50</f>
        <v>0</v>
      </c>
      <c r="BC435" s="65">
        <f>'Special Corporate+ RI+TPS'!BC50</f>
        <v>0</v>
      </c>
      <c r="BD435" s="65">
        <f>'Special Corporate+ RI+TPS'!BD50</f>
        <v>0</v>
      </c>
      <c r="BE435" s="65">
        <f>'Special Corporate+ RI+TPS'!BE50</f>
        <v>0</v>
      </c>
      <c r="BF435" s="65">
        <f>'Special Corporate+ RI+TPS'!BF50</f>
        <v>0</v>
      </c>
      <c r="BG435" s="65">
        <f>'Special Corporate+ RI+TPS'!BG50</f>
        <v>0</v>
      </c>
      <c r="BH435" s="65">
        <f>'Special Corporate+ RI+TPS'!BH50</f>
        <v>0</v>
      </c>
      <c r="BI435" s="65">
        <f>'Special Corporate+ RI+TPS'!BI50</f>
        <v>0</v>
      </c>
      <c r="BJ435" s="65">
        <f>'Special Corporate+ RI+TPS'!BJ50</f>
        <v>0</v>
      </c>
      <c r="BK435" s="65">
        <f>'Special Corporate+ RI+TPS'!BK50</f>
        <v>0</v>
      </c>
      <c r="BL435" s="65">
        <f>'Special Corporate+ RI+TPS'!BL50</f>
        <v>0</v>
      </c>
      <c r="BM435" s="65">
        <f>'Special Corporate+ RI+TPS'!BM50</f>
        <v>0</v>
      </c>
      <c r="BN435" s="65">
        <f>'Special Corporate+ RI+TPS'!BN50</f>
        <v>0</v>
      </c>
      <c r="BO435" s="65">
        <f>'Special Corporate+ RI+TPS'!BO50</f>
        <v>0</v>
      </c>
      <c r="BP435" s="65">
        <f>'Special Corporate+ RI+TPS'!BP50</f>
        <v>0</v>
      </c>
      <c r="BQ435" s="65">
        <f>'Special Corporate+ RI+TPS'!BQ50</f>
        <v>0</v>
      </c>
      <c r="BR435" s="65">
        <f>'Special Corporate+ RI+TPS'!BR50</f>
        <v>0</v>
      </c>
      <c r="BS435" s="65">
        <f>'Special Corporate+ RI+TPS'!BS50</f>
        <v>0</v>
      </c>
      <c r="BT435" s="65">
        <f>'Special Corporate+ RI+TPS'!BT50</f>
        <v>0</v>
      </c>
      <c r="BU435" s="65">
        <f>'Special Corporate+ RI+TPS'!BU50</f>
        <v>0</v>
      </c>
      <c r="BV435" s="65">
        <f>'Special Corporate+ RI+TPS'!BV50</f>
        <v>0</v>
      </c>
      <c r="BW435" s="65">
        <f>'Special Corporate+ RI+TPS'!BW50</f>
        <v>0</v>
      </c>
      <c r="BX435" s="65">
        <f>'Special Corporate+ RI+TPS'!BX50</f>
        <v>0</v>
      </c>
      <c r="BY435" s="65">
        <f>'Special Corporate+ RI+TPS'!BY50</f>
        <v>0</v>
      </c>
      <c r="BZ435" s="65">
        <f>'Special Corporate+ RI+TPS'!BZ50</f>
        <v>0</v>
      </c>
      <c r="CA435" s="65">
        <f>'Special Corporate+ RI+TPS'!CA50</f>
        <v>0</v>
      </c>
      <c r="CB435" s="65">
        <f>'Special Corporate+ RI+TPS'!CB50</f>
        <v>0</v>
      </c>
      <c r="CC435" s="65">
        <f>'Special Corporate+ RI+TPS'!CC50</f>
        <v>0</v>
      </c>
      <c r="CD435" s="65">
        <f>'Special Corporate+ RI+TPS'!CD50</f>
        <v>0</v>
      </c>
      <c r="CE435" s="65">
        <f>'Special Corporate+ RI+TPS'!CE50</f>
        <v>0</v>
      </c>
      <c r="CF435" s="65">
        <f>'Special Corporate+ RI+TPS'!CF50</f>
        <v>0</v>
      </c>
      <c r="CG435" s="65">
        <f>'Special Corporate+ RI+TPS'!CG50</f>
        <v>0</v>
      </c>
      <c r="CH435" s="65">
        <f>'Special Corporate+ RI+TPS'!CH50</f>
        <v>0</v>
      </c>
      <c r="CI435" s="65">
        <f>'Special Corporate+ RI+TPS'!CI50</f>
        <v>0</v>
      </c>
      <c r="CJ435" s="65">
        <f>'Special Corporate+ RI+TPS'!CJ50</f>
        <v>0</v>
      </c>
      <c r="CK435" s="65">
        <f>'Special Corporate+ RI+TPS'!CK50</f>
        <v>0</v>
      </c>
      <c r="CL435" s="65">
        <f>'Special Corporate+ RI+TPS'!CL50</f>
        <v>0</v>
      </c>
      <c r="CM435" s="65">
        <f>'Special Corporate+ RI+TPS'!CM50</f>
        <v>0</v>
      </c>
      <c r="CN435" s="65">
        <f>'Special Corporate+ RI+TPS'!CN50</f>
        <v>0</v>
      </c>
      <c r="CO435" s="65">
        <f>'Special Corporate+ RI+TPS'!CO50</f>
        <v>0</v>
      </c>
      <c r="CP435" s="65">
        <f>'Special Corporate+ RI+TPS'!CP50</f>
        <v>0</v>
      </c>
      <c r="CQ435" s="65">
        <f>'Special Corporate+ RI+TPS'!CQ50</f>
        <v>0</v>
      </c>
      <c r="CR435" s="65">
        <f>'Special Corporate+ RI+TPS'!CR50</f>
        <v>0</v>
      </c>
      <c r="CS435" s="65">
        <f>'Special Corporate+ RI+TPS'!CS50</f>
        <v>0</v>
      </c>
      <c r="CT435" s="65">
        <f>'Special Corporate+ RI+TPS'!CT50</f>
        <v>0</v>
      </c>
      <c r="CU435" s="65">
        <f>'Special Corporate+ RI+TPS'!CU50</f>
        <v>0</v>
      </c>
      <c r="CV435" s="65">
        <f>'Special Corporate+ RI+TPS'!CV50</f>
        <v>0</v>
      </c>
      <c r="CW435" s="65">
        <f>'Special Corporate+ RI+TPS'!CW50</f>
        <v>0</v>
      </c>
      <c r="CX435" s="65">
        <f>'Special Corporate+ RI+TPS'!CX50</f>
        <v>0</v>
      </c>
      <c r="CY435" s="65">
        <f>'Special Corporate+ RI+TPS'!CY50</f>
        <v>0</v>
      </c>
      <c r="CZ435" s="65">
        <f>'Special Corporate+ RI+TPS'!CZ50</f>
        <v>0</v>
      </c>
      <c r="DA435" s="65">
        <f>'Special Corporate+ RI+TPS'!DA50</f>
        <v>0</v>
      </c>
      <c r="DB435" s="65">
        <f>'Special Corporate+ RI+TPS'!DB50</f>
        <v>0</v>
      </c>
      <c r="DC435" s="65">
        <f>'Special Corporate+ RI+TPS'!DC50</f>
        <v>0</v>
      </c>
      <c r="DD435" s="65">
        <f>'Special Corporate+ RI+TPS'!DD50</f>
        <v>0</v>
      </c>
      <c r="DE435" s="65">
        <f>'Special Corporate+ RI+TPS'!DE50</f>
        <v>0</v>
      </c>
      <c r="DF435" s="65">
        <f>'Special Corporate+ RI+TPS'!DF50</f>
        <v>0</v>
      </c>
      <c r="DG435" s="65">
        <f>'Special Corporate+ RI+TPS'!DG50</f>
        <v>0</v>
      </c>
      <c r="DH435" s="65">
        <f>'Special Corporate+ RI+TPS'!DH50</f>
        <v>0</v>
      </c>
      <c r="DI435" s="65">
        <f>'Special Corporate+ RI+TPS'!DI50</f>
        <v>0</v>
      </c>
      <c r="DJ435" s="65">
        <f>'Special Corporate+ RI+TPS'!DJ50</f>
        <v>0</v>
      </c>
      <c r="DK435" s="65">
        <f>'Special Corporate+ RI+TPS'!DK50</f>
        <v>0</v>
      </c>
      <c r="DL435" s="65">
        <f>'Special Corporate+ RI+TPS'!DL50</f>
        <v>0</v>
      </c>
      <c r="DM435" s="65">
        <f>'Special Corporate+ RI+TPS'!DM50</f>
        <v>0</v>
      </c>
      <c r="DN435" s="65">
        <f>'Special Corporate+ RI+TPS'!DN50</f>
        <v>0</v>
      </c>
      <c r="DO435" s="65">
        <f>'Special Corporate+ RI+TPS'!DO50</f>
        <v>0</v>
      </c>
      <c r="DP435" s="65">
        <f>'Special Corporate+ RI+TPS'!DP50</f>
        <v>0</v>
      </c>
      <c r="DQ435" s="65">
        <f>'Special Corporate+ RI+TPS'!DQ50</f>
        <v>0</v>
      </c>
      <c r="DR435" s="65">
        <f>'Special Corporate+ RI+TPS'!DR50</f>
        <v>0</v>
      </c>
      <c r="DS435" s="65">
        <f>'Special Corporate+ RI+TPS'!DS50</f>
        <v>0</v>
      </c>
      <c r="DT435" s="65">
        <f>'Special Corporate+ RI+TPS'!DT50</f>
        <v>0</v>
      </c>
      <c r="DU435" s="65">
        <f>'Special Corporate+ RI+TPS'!DU50</f>
        <v>0</v>
      </c>
      <c r="DV435" s="65">
        <f>'Special Corporate+ RI+TPS'!DV50</f>
        <v>0</v>
      </c>
      <c r="DW435" s="65">
        <f>'Special Corporate+ RI+TPS'!DW50</f>
        <v>0</v>
      </c>
      <c r="DX435" s="65">
        <f>'Special Corporate+ RI+TPS'!DX50</f>
        <v>0</v>
      </c>
      <c r="DY435" s="65">
        <f>'Special Corporate+ RI+TPS'!DY50</f>
        <v>0</v>
      </c>
      <c r="DZ435" s="65">
        <f>'Special Corporate+ RI+TPS'!DZ50</f>
        <v>0</v>
      </c>
      <c r="EA435" s="65">
        <f>'Special Corporate+ RI+TPS'!EA50</f>
        <v>0</v>
      </c>
      <c r="EB435" s="68"/>
    </row>
    <row r="436" spans="1:132" x14ac:dyDescent="0.2">
      <c r="A436" s="152"/>
      <c r="B436" s="65">
        <f>'Special Corporate+ RI+TPS'!B51</f>
        <v>0</v>
      </c>
      <c r="C436" s="65">
        <f>'Special Corporate+ RI+TPS'!C51</f>
        <v>0</v>
      </c>
      <c r="D436" s="65">
        <f>'Special Corporate+ RI+TPS'!D51</f>
        <v>0</v>
      </c>
      <c r="E436" s="65">
        <f>'Special Corporate+ RI+TPS'!E51</f>
        <v>0</v>
      </c>
      <c r="F436" s="65">
        <f>'Special Corporate+ RI+TPS'!F51</f>
        <v>0</v>
      </c>
      <c r="G436" s="65">
        <f>'Special Corporate+ RI+TPS'!G51</f>
        <v>0</v>
      </c>
      <c r="H436" s="65">
        <f>'Special Corporate+ RI+TPS'!H51</f>
        <v>0</v>
      </c>
      <c r="I436" s="65">
        <f>'Special Corporate+ RI+TPS'!I51</f>
        <v>0</v>
      </c>
      <c r="J436" s="65">
        <f>'Special Corporate+ RI+TPS'!J51</f>
        <v>0</v>
      </c>
      <c r="K436" s="65">
        <f>'Special Corporate+ RI+TPS'!K51</f>
        <v>0</v>
      </c>
      <c r="L436" s="65">
        <f>'Special Corporate+ RI+TPS'!L51</f>
        <v>0</v>
      </c>
      <c r="M436" s="65">
        <f>'Special Corporate+ RI+TPS'!M51</f>
        <v>0</v>
      </c>
      <c r="N436" s="65">
        <f>'Special Corporate+ RI+TPS'!N51</f>
        <v>0</v>
      </c>
      <c r="O436" s="65">
        <f>'Special Corporate+ RI+TPS'!O51</f>
        <v>0</v>
      </c>
      <c r="P436" s="65">
        <f>'Special Corporate+ RI+TPS'!P51</f>
        <v>0</v>
      </c>
      <c r="Q436" s="65">
        <f>'Special Corporate+ RI+TPS'!Q51</f>
        <v>0</v>
      </c>
      <c r="R436" s="65">
        <f>'Special Corporate+ RI+TPS'!R51</f>
        <v>0</v>
      </c>
      <c r="S436" s="65">
        <f>'Special Corporate+ RI+TPS'!S51</f>
        <v>0</v>
      </c>
      <c r="T436" s="65">
        <f>'Special Corporate+ RI+TPS'!T51</f>
        <v>0</v>
      </c>
      <c r="U436" s="65">
        <f>'Special Corporate+ RI+TPS'!U51</f>
        <v>0</v>
      </c>
      <c r="V436" s="65">
        <f>'Special Corporate+ RI+TPS'!V51</f>
        <v>0</v>
      </c>
      <c r="W436" s="65">
        <f>'Special Corporate+ RI+TPS'!W51</f>
        <v>0</v>
      </c>
      <c r="X436" s="65">
        <f>'Special Corporate+ RI+TPS'!X51</f>
        <v>0</v>
      </c>
      <c r="Y436" s="65">
        <f>'Special Corporate+ RI+TPS'!Y51</f>
        <v>0</v>
      </c>
      <c r="Z436" s="65">
        <f>'Special Corporate+ RI+TPS'!Z51</f>
        <v>0</v>
      </c>
      <c r="AA436" s="65">
        <f>'Special Corporate+ RI+TPS'!AA51</f>
        <v>0</v>
      </c>
      <c r="AB436" s="65">
        <f>'Special Corporate+ RI+TPS'!AB51</f>
        <v>0</v>
      </c>
      <c r="AC436" s="65">
        <f>'Special Corporate+ RI+TPS'!AC51</f>
        <v>0</v>
      </c>
      <c r="AD436" s="65">
        <f>'Special Corporate+ RI+TPS'!AD51</f>
        <v>0</v>
      </c>
      <c r="AE436" s="65">
        <f>'Special Corporate+ RI+TPS'!AE51</f>
        <v>0</v>
      </c>
      <c r="AF436" s="65">
        <f>'Special Corporate+ RI+TPS'!AF51</f>
        <v>0</v>
      </c>
      <c r="AG436" s="65">
        <f>'Special Corporate+ RI+TPS'!AG51</f>
        <v>0</v>
      </c>
      <c r="AH436" s="65">
        <f>'Special Corporate+ RI+TPS'!AH51</f>
        <v>0</v>
      </c>
      <c r="AI436" s="65">
        <f>'Special Corporate+ RI+TPS'!AI51</f>
        <v>0</v>
      </c>
      <c r="AJ436" s="65">
        <f>'Special Corporate+ RI+TPS'!AJ51</f>
        <v>0</v>
      </c>
      <c r="AK436" s="65">
        <f>'Special Corporate+ RI+TPS'!AK51</f>
        <v>0</v>
      </c>
      <c r="AL436" s="65">
        <f>'Special Corporate+ RI+TPS'!AL51</f>
        <v>0</v>
      </c>
      <c r="AM436" s="65">
        <f>'Special Corporate+ RI+TPS'!AM51</f>
        <v>0</v>
      </c>
      <c r="AN436" s="65">
        <f>'Special Corporate+ RI+TPS'!AN51</f>
        <v>0</v>
      </c>
      <c r="AO436" s="65">
        <f>'Special Corporate+ RI+TPS'!AO51</f>
        <v>0</v>
      </c>
      <c r="AP436" s="65">
        <f>'Special Corporate+ RI+TPS'!AP51</f>
        <v>0</v>
      </c>
      <c r="AQ436" s="65">
        <f>'Special Corporate+ RI+TPS'!AQ51</f>
        <v>0</v>
      </c>
      <c r="AR436" s="65">
        <f>'Special Corporate+ RI+TPS'!AR51</f>
        <v>0</v>
      </c>
      <c r="AS436" s="65">
        <f>'Special Corporate+ RI+TPS'!AS51</f>
        <v>0</v>
      </c>
      <c r="AT436" s="65">
        <f>'Special Corporate+ RI+TPS'!AT51</f>
        <v>0</v>
      </c>
      <c r="AU436" s="65">
        <f>'Special Corporate+ RI+TPS'!AU51</f>
        <v>0</v>
      </c>
      <c r="AV436" s="65">
        <f>'Special Corporate+ RI+TPS'!AV51</f>
        <v>0</v>
      </c>
      <c r="AW436" s="65">
        <f>'Special Corporate+ RI+TPS'!AW51</f>
        <v>0</v>
      </c>
      <c r="AX436" s="65">
        <f>'Special Corporate+ RI+TPS'!AX51</f>
        <v>0</v>
      </c>
      <c r="AY436" s="65">
        <f>'Special Corporate+ RI+TPS'!AY51</f>
        <v>0</v>
      </c>
      <c r="AZ436" s="65">
        <f>'Special Corporate+ RI+TPS'!AZ51</f>
        <v>0</v>
      </c>
      <c r="BA436" s="65">
        <f>'Special Corporate+ RI+TPS'!BA51</f>
        <v>0</v>
      </c>
      <c r="BB436" s="65">
        <f>'Special Corporate+ RI+TPS'!BB51</f>
        <v>0</v>
      </c>
      <c r="BC436" s="65">
        <f>'Special Corporate+ RI+TPS'!BC51</f>
        <v>0</v>
      </c>
      <c r="BD436" s="65">
        <f>'Special Corporate+ RI+TPS'!BD51</f>
        <v>0</v>
      </c>
      <c r="BE436" s="65">
        <f>'Special Corporate+ RI+TPS'!BE51</f>
        <v>0</v>
      </c>
      <c r="BF436" s="65">
        <f>'Special Corporate+ RI+TPS'!BF51</f>
        <v>0</v>
      </c>
      <c r="BG436" s="65">
        <f>'Special Corporate+ RI+TPS'!BG51</f>
        <v>0</v>
      </c>
      <c r="BH436" s="65">
        <f>'Special Corporate+ RI+TPS'!BH51</f>
        <v>0</v>
      </c>
      <c r="BI436" s="65">
        <f>'Special Corporate+ RI+TPS'!BI51</f>
        <v>0</v>
      </c>
      <c r="BJ436" s="65">
        <f>'Special Corporate+ RI+TPS'!BJ51</f>
        <v>0</v>
      </c>
      <c r="BK436" s="65">
        <f>'Special Corporate+ RI+TPS'!BK51</f>
        <v>0</v>
      </c>
      <c r="BL436" s="65">
        <f>'Special Corporate+ RI+TPS'!BL51</f>
        <v>0</v>
      </c>
      <c r="BM436" s="65">
        <f>'Special Corporate+ RI+TPS'!BM51</f>
        <v>0</v>
      </c>
      <c r="BN436" s="65">
        <f>'Special Corporate+ RI+TPS'!BN51</f>
        <v>0</v>
      </c>
      <c r="BO436" s="65">
        <f>'Special Corporate+ RI+TPS'!BO51</f>
        <v>0</v>
      </c>
      <c r="BP436" s="65">
        <f>'Special Corporate+ RI+TPS'!BP51</f>
        <v>0</v>
      </c>
      <c r="BQ436" s="65">
        <f>'Special Corporate+ RI+TPS'!BQ51</f>
        <v>0</v>
      </c>
      <c r="BR436" s="65">
        <f>'Special Corporate+ RI+TPS'!BR51</f>
        <v>0</v>
      </c>
      <c r="BS436" s="65">
        <f>'Special Corporate+ RI+TPS'!BS51</f>
        <v>0</v>
      </c>
      <c r="BT436" s="65">
        <f>'Special Corporate+ RI+TPS'!BT51</f>
        <v>0</v>
      </c>
      <c r="BU436" s="65">
        <f>'Special Corporate+ RI+TPS'!BU51</f>
        <v>0</v>
      </c>
      <c r="BV436" s="65">
        <f>'Special Corporate+ RI+TPS'!BV51</f>
        <v>0</v>
      </c>
      <c r="BW436" s="65">
        <f>'Special Corporate+ RI+TPS'!BW51</f>
        <v>0</v>
      </c>
      <c r="BX436" s="65">
        <f>'Special Corporate+ RI+TPS'!BX51</f>
        <v>0</v>
      </c>
      <c r="BY436" s="65">
        <f>'Special Corporate+ RI+TPS'!BY51</f>
        <v>0</v>
      </c>
      <c r="BZ436" s="65">
        <f>'Special Corporate+ RI+TPS'!BZ51</f>
        <v>0</v>
      </c>
      <c r="CA436" s="65">
        <f>'Special Corporate+ RI+TPS'!CA51</f>
        <v>0</v>
      </c>
      <c r="CB436" s="65">
        <f>'Special Corporate+ RI+TPS'!CB51</f>
        <v>0</v>
      </c>
      <c r="CC436" s="65">
        <f>'Special Corporate+ RI+TPS'!CC51</f>
        <v>0</v>
      </c>
      <c r="CD436" s="65">
        <f>'Special Corporate+ RI+TPS'!CD51</f>
        <v>0</v>
      </c>
      <c r="CE436" s="65">
        <f>'Special Corporate+ RI+TPS'!CE51</f>
        <v>0</v>
      </c>
      <c r="CF436" s="65">
        <f>'Special Corporate+ RI+TPS'!CF51</f>
        <v>0</v>
      </c>
      <c r="CG436" s="65">
        <f>'Special Corporate+ RI+TPS'!CG51</f>
        <v>0</v>
      </c>
      <c r="CH436" s="65">
        <f>'Special Corporate+ RI+TPS'!CH51</f>
        <v>0</v>
      </c>
      <c r="CI436" s="65">
        <f>'Special Corporate+ RI+TPS'!CI51</f>
        <v>0</v>
      </c>
      <c r="CJ436" s="65">
        <f>'Special Corporate+ RI+TPS'!CJ51</f>
        <v>0</v>
      </c>
      <c r="CK436" s="65">
        <f>'Special Corporate+ RI+TPS'!CK51</f>
        <v>0</v>
      </c>
      <c r="CL436" s="65">
        <f>'Special Corporate+ RI+TPS'!CL51</f>
        <v>0</v>
      </c>
      <c r="CM436" s="65">
        <f>'Special Corporate+ RI+TPS'!CM51</f>
        <v>0</v>
      </c>
      <c r="CN436" s="65">
        <f>'Special Corporate+ RI+TPS'!CN51</f>
        <v>0</v>
      </c>
      <c r="CO436" s="65">
        <f>'Special Corporate+ RI+TPS'!CO51</f>
        <v>0</v>
      </c>
      <c r="CP436" s="65">
        <f>'Special Corporate+ RI+TPS'!CP51</f>
        <v>0</v>
      </c>
      <c r="CQ436" s="65">
        <f>'Special Corporate+ RI+TPS'!CQ51</f>
        <v>0</v>
      </c>
      <c r="CR436" s="65">
        <f>'Special Corporate+ RI+TPS'!CR51</f>
        <v>0</v>
      </c>
      <c r="CS436" s="65">
        <f>'Special Corporate+ RI+TPS'!CS51</f>
        <v>0</v>
      </c>
      <c r="CT436" s="65">
        <f>'Special Corporate+ RI+TPS'!CT51</f>
        <v>0</v>
      </c>
      <c r="CU436" s="65">
        <f>'Special Corporate+ RI+TPS'!CU51</f>
        <v>0</v>
      </c>
      <c r="CV436" s="65">
        <f>'Special Corporate+ RI+TPS'!CV51</f>
        <v>0</v>
      </c>
      <c r="CW436" s="65">
        <f>'Special Corporate+ RI+TPS'!CW51</f>
        <v>0</v>
      </c>
      <c r="CX436" s="65">
        <f>'Special Corporate+ RI+TPS'!CX51</f>
        <v>0</v>
      </c>
      <c r="CY436" s="65">
        <f>'Special Corporate+ RI+TPS'!CY51</f>
        <v>0</v>
      </c>
      <c r="CZ436" s="65">
        <f>'Special Corporate+ RI+TPS'!CZ51</f>
        <v>0</v>
      </c>
      <c r="DA436" s="65">
        <f>'Special Corporate+ RI+TPS'!DA51</f>
        <v>0</v>
      </c>
      <c r="DB436" s="65">
        <f>'Special Corporate+ RI+TPS'!DB51</f>
        <v>0</v>
      </c>
      <c r="DC436" s="65">
        <f>'Special Corporate+ RI+TPS'!DC51</f>
        <v>0</v>
      </c>
      <c r="DD436" s="65">
        <f>'Special Corporate+ RI+TPS'!DD51</f>
        <v>0</v>
      </c>
      <c r="DE436" s="65">
        <f>'Special Corporate+ RI+TPS'!DE51</f>
        <v>0</v>
      </c>
      <c r="DF436" s="65">
        <f>'Special Corporate+ RI+TPS'!DF51</f>
        <v>0</v>
      </c>
      <c r="DG436" s="65">
        <f>'Special Corporate+ RI+TPS'!DG51</f>
        <v>0</v>
      </c>
      <c r="DH436" s="65">
        <f>'Special Corporate+ RI+TPS'!DH51</f>
        <v>0</v>
      </c>
      <c r="DI436" s="65">
        <f>'Special Corporate+ RI+TPS'!DI51</f>
        <v>0</v>
      </c>
      <c r="DJ436" s="65">
        <f>'Special Corporate+ RI+TPS'!DJ51</f>
        <v>0</v>
      </c>
      <c r="DK436" s="65">
        <f>'Special Corporate+ RI+TPS'!DK51</f>
        <v>0</v>
      </c>
      <c r="DL436" s="65">
        <f>'Special Corporate+ RI+TPS'!DL51</f>
        <v>0</v>
      </c>
      <c r="DM436" s="65">
        <f>'Special Corporate+ RI+TPS'!DM51</f>
        <v>0</v>
      </c>
      <c r="DN436" s="65">
        <f>'Special Corporate+ RI+TPS'!DN51</f>
        <v>0</v>
      </c>
      <c r="DO436" s="65">
        <f>'Special Corporate+ RI+TPS'!DO51</f>
        <v>0</v>
      </c>
      <c r="DP436" s="65">
        <f>'Special Corporate+ RI+TPS'!DP51</f>
        <v>0</v>
      </c>
      <c r="DQ436" s="65">
        <f>'Special Corporate+ RI+TPS'!DQ51</f>
        <v>0</v>
      </c>
      <c r="DR436" s="65">
        <f>'Special Corporate+ RI+TPS'!DR51</f>
        <v>0</v>
      </c>
      <c r="DS436" s="65">
        <f>'Special Corporate+ RI+TPS'!DS51</f>
        <v>0</v>
      </c>
      <c r="DT436" s="65">
        <f>'Special Corporate+ RI+TPS'!DT51</f>
        <v>0</v>
      </c>
      <c r="DU436" s="65">
        <f>'Special Corporate+ RI+TPS'!DU51</f>
        <v>0</v>
      </c>
      <c r="DV436" s="65">
        <f>'Special Corporate+ RI+TPS'!DV51</f>
        <v>0</v>
      </c>
      <c r="DW436" s="65">
        <f>'Special Corporate+ RI+TPS'!DW51</f>
        <v>0</v>
      </c>
      <c r="DX436" s="65">
        <f>'Special Corporate+ RI+TPS'!DX51</f>
        <v>0</v>
      </c>
      <c r="DY436" s="65">
        <f>'Special Corporate+ RI+TPS'!DY51</f>
        <v>0</v>
      </c>
      <c r="DZ436" s="65">
        <f>'Special Corporate+ RI+TPS'!DZ51</f>
        <v>0</v>
      </c>
      <c r="EA436" s="65">
        <f>'Special Corporate+ RI+TPS'!EA51</f>
        <v>0</v>
      </c>
      <c r="EB436" s="68"/>
    </row>
    <row r="437" spans="1:132" x14ac:dyDescent="0.2">
      <c r="A437" s="152"/>
      <c r="B437" s="65">
        <f>'Special Corporate+ RI+TPS'!B52</f>
        <v>0</v>
      </c>
      <c r="C437" s="65">
        <f>'Special Corporate+ RI+TPS'!C52</f>
        <v>0</v>
      </c>
      <c r="D437" s="65">
        <f>'Special Corporate+ RI+TPS'!D52</f>
        <v>0</v>
      </c>
      <c r="E437" s="65">
        <f>'Special Corporate+ RI+TPS'!E52</f>
        <v>0</v>
      </c>
      <c r="F437" s="65">
        <f>'Special Corporate+ RI+TPS'!F52</f>
        <v>0</v>
      </c>
      <c r="G437" s="65">
        <f>'Special Corporate+ RI+TPS'!G52</f>
        <v>0</v>
      </c>
      <c r="H437" s="65">
        <f>'Special Corporate+ RI+TPS'!H52</f>
        <v>0</v>
      </c>
      <c r="I437" s="65">
        <f>'Special Corporate+ RI+TPS'!I52</f>
        <v>0</v>
      </c>
      <c r="J437" s="65">
        <f>'Special Corporate+ RI+TPS'!J52</f>
        <v>0</v>
      </c>
      <c r="K437" s="65">
        <f>'Special Corporate+ RI+TPS'!K52</f>
        <v>0</v>
      </c>
      <c r="L437" s="65">
        <f>'Special Corporate+ RI+TPS'!L52</f>
        <v>0</v>
      </c>
      <c r="M437" s="65">
        <f>'Special Corporate+ RI+TPS'!M52</f>
        <v>0</v>
      </c>
      <c r="N437" s="65">
        <f>'Special Corporate+ RI+TPS'!N52</f>
        <v>0</v>
      </c>
      <c r="O437" s="65">
        <f>'Special Corporate+ RI+TPS'!O52</f>
        <v>0</v>
      </c>
      <c r="P437" s="65">
        <f>'Special Corporate+ RI+TPS'!P52</f>
        <v>0</v>
      </c>
      <c r="Q437" s="65">
        <f>'Special Corporate+ RI+TPS'!Q52</f>
        <v>0</v>
      </c>
      <c r="R437" s="65">
        <f>'Special Corporate+ RI+TPS'!R52</f>
        <v>0</v>
      </c>
      <c r="S437" s="65">
        <f>'Special Corporate+ RI+TPS'!S52</f>
        <v>0</v>
      </c>
      <c r="T437" s="65">
        <f>'Special Corporate+ RI+TPS'!T52</f>
        <v>0</v>
      </c>
      <c r="U437" s="65">
        <f>'Special Corporate+ RI+TPS'!U52</f>
        <v>0</v>
      </c>
      <c r="V437" s="65">
        <f>'Special Corporate+ RI+TPS'!V52</f>
        <v>0</v>
      </c>
      <c r="W437" s="65">
        <f>'Special Corporate+ RI+TPS'!W52</f>
        <v>0</v>
      </c>
      <c r="X437" s="65">
        <f>'Special Corporate+ RI+TPS'!X52</f>
        <v>0</v>
      </c>
      <c r="Y437" s="65">
        <f>'Special Corporate+ RI+TPS'!Y52</f>
        <v>0</v>
      </c>
      <c r="Z437" s="65">
        <f>'Special Corporate+ RI+TPS'!Z52</f>
        <v>0</v>
      </c>
      <c r="AA437" s="65">
        <f>'Special Corporate+ RI+TPS'!AA52</f>
        <v>0</v>
      </c>
      <c r="AB437" s="65">
        <f>'Special Corporate+ RI+TPS'!AB52</f>
        <v>0</v>
      </c>
      <c r="AC437" s="65">
        <f>'Special Corporate+ RI+TPS'!AC52</f>
        <v>0</v>
      </c>
      <c r="AD437" s="65">
        <f>'Special Corporate+ RI+TPS'!AD52</f>
        <v>0</v>
      </c>
      <c r="AE437" s="65">
        <f>'Special Corporate+ RI+TPS'!AE52</f>
        <v>0</v>
      </c>
      <c r="AF437" s="65">
        <f>'Special Corporate+ RI+TPS'!AF52</f>
        <v>0</v>
      </c>
      <c r="AG437" s="65">
        <f>'Special Corporate+ RI+TPS'!AG52</f>
        <v>0</v>
      </c>
      <c r="AH437" s="65">
        <f>'Special Corporate+ RI+TPS'!AH52</f>
        <v>0</v>
      </c>
      <c r="AI437" s="65">
        <f>'Special Corporate+ RI+TPS'!AI52</f>
        <v>0</v>
      </c>
      <c r="AJ437" s="65">
        <f>'Special Corporate+ RI+TPS'!AJ52</f>
        <v>0</v>
      </c>
      <c r="AK437" s="65">
        <f>'Special Corporate+ RI+TPS'!AK52</f>
        <v>0</v>
      </c>
      <c r="AL437" s="65">
        <f>'Special Corporate+ RI+TPS'!AL52</f>
        <v>0</v>
      </c>
      <c r="AM437" s="65">
        <f>'Special Corporate+ RI+TPS'!AM52</f>
        <v>0</v>
      </c>
      <c r="AN437" s="65">
        <f>'Special Corporate+ RI+TPS'!AN52</f>
        <v>0</v>
      </c>
      <c r="AO437" s="65">
        <f>'Special Corporate+ RI+TPS'!AO52</f>
        <v>0</v>
      </c>
      <c r="AP437" s="65">
        <f>'Special Corporate+ RI+TPS'!AP52</f>
        <v>0</v>
      </c>
      <c r="AQ437" s="65">
        <f>'Special Corporate+ RI+TPS'!AQ52</f>
        <v>0</v>
      </c>
      <c r="AR437" s="65">
        <f>'Special Corporate+ RI+TPS'!AR52</f>
        <v>0</v>
      </c>
      <c r="AS437" s="65">
        <f>'Special Corporate+ RI+TPS'!AS52</f>
        <v>0</v>
      </c>
      <c r="AT437" s="65">
        <f>'Special Corporate+ RI+TPS'!AT52</f>
        <v>0</v>
      </c>
      <c r="AU437" s="65">
        <f>'Special Corporate+ RI+TPS'!AU52</f>
        <v>0</v>
      </c>
      <c r="AV437" s="65">
        <f>'Special Corporate+ RI+TPS'!AV52</f>
        <v>0</v>
      </c>
      <c r="AW437" s="65">
        <f>'Special Corporate+ RI+TPS'!AW52</f>
        <v>0</v>
      </c>
      <c r="AX437" s="65">
        <f>'Special Corporate+ RI+TPS'!AX52</f>
        <v>0</v>
      </c>
      <c r="AY437" s="65">
        <f>'Special Corporate+ RI+TPS'!AY52</f>
        <v>0</v>
      </c>
      <c r="AZ437" s="65">
        <f>'Special Corporate+ RI+TPS'!AZ52</f>
        <v>0</v>
      </c>
      <c r="BA437" s="65">
        <f>'Special Corporate+ RI+TPS'!BA52</f>
        <v>0</v>
      </c>
      <c r="BB437" s="65">
        <f>'Special Corporate+ RI+TPS'!BB52</f>
        <v>0</v>
      </c>
      <c r="BC437" s="65">
        <f>'Special Corporate+ RI+TPS'!BC52</f>
        <v>0</v>
      </c>
      <c r="BD437" s="65">
        <f>'Special Corporate+ RI+TPS'!BD52</f>
        <v>0</v>
      </c>
      <c r="BE437" s="65">
        <f>'Special Corporate+ RI+TPS'!BE52</f>
        <v>0</v>
      </c>
      <c r="BF437" s="65">
        <f>'Special Corporate+ RI+TPS'!BF52</f>
        <v>0</v>
      </c>
      <c r="BG437" s="65">
        <f>'Special Corporate+ RI+TPS'!BG52</f>
        <v>0</v>
      </c>
      <c r="BH437" s="65">
        <f>'Special Corporate+ RI+TPS'!BH52</f>
        <v>0</v>
      </c>
      <c r="BI437" s="65">
        <f>'Special Corporate+ RI+TPS'!BI52</f>
        <v>0</v>
      </c>
      <c r="BJ437" s="65">
        <f>'Special Corporate+ RI+TPS'!BJ52</f>
        <v>0</v>
      </c>
      <c r="BK437" s="65">
        <f>'Special Corporate+ RI+TPS'!BK52</f>
        <v>0</v>
      </c>
      <c r="BL437" s="65">
        <f>'Special Corporate+ RI+TPS'!BL52</f>
        <v>0</v>
      </c>
      <c r="BM437" s="65">
        <f>'Special Corporate+ RI+TPS'!BM52</f>
        <v>0</v>
      </c>
      <c r="BN437" s="65">
        <f>'Special Corporate+ RI+TPS'!BN52</f>
        <v>0</v>
      </c>
      <c r="BO437" s="65">
        <f>'Special Corporate+ RI+TPS'!BO52</f>
        <v>0</v>
      </c>
      <c r="BP437" s="65">
        <f>'Special Corporate+ RI+TPS'!BP52</f>
        <v>0</v>
      </c>
      <c r="BQ437" s="65">
        <f>'Special Corporate+ RI+TPS'!BQ52</f>
        <v>0</v>
      </c>
      <c r="BR437" s="65">
        <f>'Special Corporate+ RI+TPS'!BR52</f>
        <v>0</v>
      </c>
      <c r="BS437" s="65">
        <f>'Special Corporate+ RI+TPS'!BS52</f>
        <v>0</v>
      </c>
      <c r="BT437" s="65">
        <f>'Special Corporate+ RI+TPS'!BT52</f>
        <v>0</v>
      </c>
      <c r="BU437" s="65">
        <f>'Special Corporate+ RI+TPS'!BU52</f>
        <v>0</v>
      </c>
      <c r="BV437" s="65">
        <f>'Special Corporate+ RI+TPS'!BV52</f>
        <v>0</v>
      </c>
      <c r="BW437" s="65">
        <f>'Special Corporate+ RI+TPS'!BW52</f>
        <v>0</v>
      </c>
      <c r="BX437" s="65">
        <f>'Special Corporate+ RI+TPS'!BX52</f>
        <v>0</v>
      </c>
      <c r="BY437" s="65">
        <f>'Special Corporate+ RI+TPS'!BY52</f>
        <v>0</v>
      </c>
      <c r="BZ437" s="65">
        <f>'Special Corporate+ RI+TPS'!BZ52</f>
        <v>0</v>
      </c>
      <c r="CA437" s="65">
        <f>'Special Corporate+ RI+TPS'!CA52</f>
        <v>0</v>
      </c>
      <c r="CB437" s="65">
        <f>'Special Corporate+ RI+TPS'!CB52</f>
        <v>0</v>
      </c>
      <c r="CC437" s="65">
        <f>'Special Corporate+ RI+TPS'!CC52</f>
        <v>0</v>
      </c>
      <c r="CD437" s="65">
        <f>'Special Corporate+ RI+TPS'!CD52</f>
        <v>0</v>
      </c>
      <c r="CE437" s="65">
        <f>'Special Corporate+ RI+TPS'!CE52</f>
        <v>0</v>
      </c>
      <c r="CF437" s="65">
        <f>'Special Corporate+ RI+TPS'!CF52</f>
        <v>0</v>
      </c>
      <c r="CG437" s="65">
        <f>'Special Corporate+ RI+TPS'!CG52</f>
        <v>0</v>
      </c>
      <c r="CH437" s="65">
        <f>'Special Corporate+ RI+TPS'!CH52</f>
        <v>0</v>
      </c>
      <c r="CI437" s="65">
        <f>'Special Corporate+ RI+TPS'!CI52</f>
        <v>0</v>
      </c>
      <c r="CJ437" s="65">
        <f>'Special Corporate+ RI+TPS'!CJ52</f>
        <v>0</v>
      </c>
      <c r="CK437" s="65">
        <f>'Special Corporate+ RI+TPS'!CK52</f>
        <v>0</v>
      </c>
      <c r="CL437" s="65">
        <f>'Special Corporate+ RI+TPS'!CL52</f>
        <v>0</v>
      </c>
      <c r="CM437" s="65">
        <f>'Special Corporate+ RI+TPS'!CM52</f>
        <v>0</v>
      </c>
      <c r="CN437" s="65">
        <f>'Special Corporate+ RI+TPS'!CN52</f>
        <v>0</v>
      </c>
      <c r="CO437" s="65">
        <f>'Special Corporate+ RI+TPS'!CO52</f>
        <v>0</v>
      </c>
      <c r="CP437" s="65">
        <f>'Special Corporate+ RI+TPS'!CP52</f>
        <v>0</v>
      </c>
      <c r="CQ437" s="65">
        <f>'Special Corporate+ RI+TPS'!CQ52</f>
        <v>0</v>
      </c>
      <c r="CR437" s="65">
        <f>'Special Corporate+ RI+TPS'!CR52</f>
        <v>0</v>
      </c>
      <c r="CS437" s="65">
        <f>'Special Corporate+ RI+TPS'!CS52</f>
        <v>0</v>
      </c>
      <c r="CT437" s="65">
        <f>'Special Corporate+ RI+TPS'!CT52</f>
        <v>0</v>
      </c>
      <c r="CU437" s="65">
        <f>'Special Corporate+ RI+TPS'!CU52</f>
        <v>0</v>
      </c>
      <c r="CV437" s="65">
        <f>'Special Corporate+ RI+TPS'!CV52</f>
        <v>0</v>
      </c>
      <c r="CW437" s="65">
        <f>'Special Corporate+ RI+TPS'!CW52</f>
        <v>0</v>
      </c>
      <c r="CX437" s="65">
        <f>'Special Corporate+ RI+TPS'!CX52</f>
        <v>0</v>
      </c>
      <c r="CY437" s="65">
        <f>'Special Corporate+ RI+TPS'!CY52</f>
        <v>0</v>
      </c>
      <c r="CZ437" s="65">
        <f>'Special Corporate+ RI+TPS'!CZ52</f>
        <v>0</v>
      </c>
      <c r="DA437" s="65">
        <f>'Special Corporate+ RI+TPS'!DA52</f>
        <v>0</v>
      </c>
      <c r="DB437" s="65">
        <f>'Special Corporate+ RI+TPS'!DB52</f>
        <v>0</v>
      </c>
      <c r="DC437" s="65">
        <f>'Special Corporate+ RI+TPS'!DC52</f>
        <v>0</v>
      </c>
      <c r="DD437" s="65">
        <f>'Special Corporate+ RI+TPS'!DD52</f>
        <v>0</v>
      </c>
      <c r="DE437" s="65">
        <f>'Special Corporate+ RI+TPS'!DE52</f>
        <v>0</v>
      </c>
      <c r="DF437" s="65">
        <f>'Special Corporate+ RI+TPS'!DF52</f>
        <v>0</v>
      </c>
      <c r="DG437" s="65">
        <f>'Special Corporate+ RI+TPS'!DG52</f>
        <v>0</v>
      </c>
      <c r="DH437" s="65">
        <f>'Special Corporate+ RI+TPS'!DH52</f>
        <v>0</v>
      </c>
      <c r="DI437" s="65">
        <f>'Special Corporate+ RI+TPS'!DI52</f>
        <v>0</v>
      </c>
      <c r="DJ437" s="65">
        <f>'Special Corporate+ RI+TPS'!DJ52</f>
        <v>0</v>
      </c>
      <c r="DK437" s="65">
        <f>'Special Corporate+ RI+TPS'!DK52</f>
        <v>0</v>
      </c>
      <c r="DL437" s="65">
        <f>'Special Corporate+ RI+TPS'!DL52</f>
        <v>0</v>
      </c>
      <c r="DM437" s="65">
        <f>'Special Corporate+ RI+TPS'!DM52</f>
        <v>0</v>
      </c>
      <c r="DN437" s="65">
        <f>'Special Corporate+ RI+TPS'!DN52</f>
        <v>0</v>
      </c>
      <c r="DO437" s="65">
        <f>'Special Corporate+ RI+TPS'!DO52</f>
        <v>0</v>
      </c>
      <c r="DP437" s="65">
        <f>'Special Corporate+ RI+TPS'!DP52</f>
        <v>0</v>
      </c>
      <c r="DQ437" s="65">
        <f>'Special Corporate+ RI+TPS'!DQ52</f>
        <v>0</v>
      </c>
      <c r="DR437" s="65">
        <f>'Special Corporate+ RI+TPS'!DR52</f>
        <v>0</v>
      </c>
      <c r="DS437" s="65">
        <f>'Special Corporate+ RI+TPS'!DS52</f>
        <v>0</v>
      </c>
      <c r="DT437" s="65">
        <f>'Special Corporate+ RI+TPS'!DT52</f>
        <v>0</v>
      </c>
      <c r="DU437" s="65">
        <f>'Special Corporate+ RI+TPS'!DU52</f>
        <v>0</v>
      </c>
      <c r="DV437" s="65">
        <f>'Special Corporate+ RI+TPS'!DV52</f>
        <v>0</v>
      </c>
      <c r="DW437" s="65">
        <f>'Special Corporate+ RI+TPS'!DW52</f>
        <v>0</v>
      </c>
      <c r="DX437" s="65">
        <f>'Special Corporate+ RI+TPS'!DX52</f>
        <v>0</v>
      </c>
      <c r="DY437" s="65">
        <f>'Special Corporate+ RI+TPS'!DY52</f>
        <v>0</v>
      </c>
      <c r="DZ437" s="65">
        <f>'Special Corporate+ RI+TPS'!DZ52</f>
        <v>0</v>
      </c>
      <c r="EA437" s="65">
        <f>'Special Corporate+ RI+TPS'!EA52</f>
        <v>0</v>
      </c>
      <c r="EB437" s="68"/>
    </row>
    <row r="438" spans="1:132" x14ac:dyDescent="0.2">
      <c r="A438" s="152"/>
      <c r="B438" s="65" t="str">
        <f>'Special Corporate+ RI+TPS'!B53</f>
        <v>GDS Requests / Additional Comments</v>
      </c>
      <c r="C438" s="65">
        <f>'Special Corporate+ RI+TPS'!C53</f>
        <v>0</v>
      </c>
      <c r="D438" s="65">
        <f>'Special Corporate+ RI+TPS'!D53</f>
        <v>0</v>
      </c>
      <c r="E438" s="65">
        <f>'Special Corporate+ RI+TPS'!E53</f>
        <v>0</v>
      </c>
      <c r="F438" s="65">
        <f>'Special Corporate+ RI+TPS'!F53</f>
        <v>0</v>
      </c>
      <c r="G438" s="65">
        <f>'Special Corporate+ RI+TPS'!G53</f>
        <v>0</v>
      </c>
      <c r="H438" s="65">
        <f>'Special Corporate+ RI+TPS'!H53</f>
        <v>0</v>
      </c>
      <c r="I438" s="65">
        <f>'Special Corporate+ RI+TPS'!I53</f>
        <v>0</v>
      </c>
      <c r="J438" s="65">
        <f>'Special Corporate+ RI+TPS'!J53</f>
        <v>0</v>
      </c>
      <c r="K438" s="65">
        <f>'Special Corporate+ RI+TPS'!K53</f>
        <v>0</v>
      </c>
      <c r="L438" s="65">
        <f>'Special Corporate+ RI+TPS'!L53</f>
        <v>0</v>
      </c>
      <c r="M438" s="65">
        <f>'Special Corporate+ RI+TPS'!M53</f>
        <v>0</v>
      </c>
      <c r="N438" s="65">
        <f>'Special Corporate+ RI+TPS'!N53</f>
        <v>0</v>
      </c>
      <c r="O438" s="65">
        <f>'Special Corporate+ RI+TPS'!O53</f>
        <v>0</v>
      </c>
      <c r="P438" s="65">
        <f>'Special Corporate+ RI+TPS'!P53</f>
        <v>0</v>
      </c>
      <c r="Q438" s="65">
        <f>'Special Corporate+ RI+TPS'!Q53</f>
        <v>0</v>
      </c>
      <c r="R438" s="65">
        <f>'Special Corporate+ RI+TPS'!R53</f>
        <v>0</v>
      </c>
      <c r="S438" s="65">
        <f>'Special Corporate+ RI+TPS'!S53</f>
        <v>0</v>
      </c>
      <c r="T438" s="65">
        <f>'Special Corporate+ RI+TPS'!T53</f>
        <v>0</v>
      </c>
      <c r="U438" s="65">
        <f>'Special Corporate+ RI+TPS'!U53</f>
        <v>0</v>
      </c>
      <c r="V438" s="65">
        <f>'Special Corporate+ RI+TPS'!V53</f>
        <v>0</v>
      </c>
      <c r="W438" s="65">
        <f>'Special Corporate+ RI+TPS'!W53</f>
        <v>0</v>
      </c>
      <c r="X438" s="65">
        <f>'Special Corporate+ RI+TPS'!X53</f>
        <v>0</v>
      </c>
      <c r="Y438" s="65">
        <f>'Special Corporate+ RI+TPS'!Y53</f>
        <v>0</v>
      </c>
      <c r="Z438" s="65">
        <f>'Special Corporate+ RI+TPS'!Z53</f>
        <v>0</v>
      </c>
      <c r="AA438" s="65">
        <f>'Special Corporate+ RI+TPS'!AA53</f>
        <v>0</v>
      </c>
      <c r="AB438" s="65">
        <f>'Special Corporate+ RI+TPS'!AB53</f>
        <v>0</v>
      </c>
      <c r="AC438" s="65">
        <f>'Special Corporate+ RI+TPS'!AC53</f>
        <v>0</v>
      </c>
      <c r="AD438" s="65">
        <f>'Special Corporate+ RI+TPS'!AD53</f>
        <v>0</v>
      </c>
      <c r="AE438" s="65">
        <f>'Special Corporate+ RI+TPS'!AE53</f>
        <v>0</v>
      </c>
      <c r="AF438" s="65">
        <f>'Special Corporate+ RI+TPS'!AF53</f>
        <v>0</v>
      </c>
      <c r="AG438" s="65">
        <f>'Special Corporate+ RI+TPS'!AG53</f>
        <v>0</v>
      </c>
      <c r="AH438" s="65">
        <f>'Special Corporate+ RI+TPS'!AH53</f>
        <v>0</v>
      </c>
      <c r="AI438" s="65">
        <f>'Special Corporate+ RI+TPS'!AI53</f>
        <v>0</v>
      </c>
      <c r="AJ438" s="65">
        <f>'Special Corporate+ RI+TPS'!AJ53</f>
        <v>0</v>
      </c>
      <c r="AK438" s="65">
        <f>'Special Corporate+ RI+TPS'!AK53</f>
        <v>0</v>
      </c>
      <c r="AL438" s="65">
        <f>'Special Corporate+ RI+TPS'!AL53</f>
        <v>0</v>
      </c>
      <c r="AM438" s="65">
        <f>'Special Corporate+ RI+TPS'!AM53</f>
        <v>0</v>
      </c>
      <c r="AN438" s="65">
        <f>'Special Corporate+ RI+TPS'!AN53</f>
        <v>0</v>
      </c>
      <c r="AO438" s="65">
        <f>'Special Corporate+ RI+TPS'!AO53</f>
        <v>0</v>
      </c>
      <c r="AP438" s="65">
        <f>'Special Corporate+ RI+TPS'!AP53</f>
        <v>0</v>
      </c>
      <c r="AQ438" s="65">
        <f>'Special Corporate+ RI+TPS'!AQ53</f>
        <v>0</v>
      </c>
      <c r="AR438" s="65">
        <f>'Special Corporate+ RI+TPS'!AR53</f>
        <v>0</v>
      </c>
      <c r="AS438" s="65">
        <f>'Special Corporate+ RI+TPS'!AS53</f>
        <v>0</v>
      </c>
      <c r="AT438" s="65">
        <f>'Special Corporate+ RI+TPS'!AT53</f>
        <v>0</v>
      </c>
      <c r="AU438" s="65">
        <f>'Special Corporate+ RI+TPS'!AU53</f>
        <v>0</v>
      </c>
      <c r="AV438" s="65">
        <f>'Special Corporate+ RI+TPS'!AV53</f>
        <v>0</v>
      </c>
      <c r="AW438" s="65">
        <f>'Special Corporate+ RI+TPS'!AW53</f>
        <v>0</v>
      </c>
      <c r="AX438" s="65">
        <f>'Special Corporate+ RI+TPS'!AX53</f>
        <v>0</v>
      </c>
      <c r="AY438" s="65">
        <f>'Special Corporate+ RI+TPS'!AY53</f>
        <v>0</v>
      </c>
      <c r="AZ438" s="65">
        <f>'Special Corporate+ RI+TPS'!AZ53</f>
        <v>0</v>
      </c>
      <c r="BA438" s="65">
        <f>'Special Corporate+ RI+TPS'!BA53</f>
        <v>0</v>
      </c>
      <c r="BB438" s="65">
        <f>'Special Corporate+ RI+TPS'!BB53</f>
        <v>0</v>
      </c>
      <c r="BC438" s="65">
        <f>'Special Corporate+ RI+TPS'!BC53</f>
        <v>0</v>
      </c>
      <c r="BD438" s="65">
        <f>'Special Corporate+ RI+TPS'!BD53</f>
        <v>0</v>
      </c>
      <c r="BE438" s="65">
        <f>'Special Corporate+ RI+TPS'!BE53</f>
        <v>0</v>
      </c>
      <c r="BF438" s="65">
        <f>'Special Corporate+ RI+TPS'!BF53</f>
        <v>0</v>
      </c>
      <c r="BG438" s="65">
        <f>'Special Corporate+ RI+TPS'!BG53</f>
        <v>0</v>
      </c>
      <c r="BH438" s="65">
        <f>'Special Corporate+ RI+TPS'!BH53</f>
        <v>0</v>
      </c>
      <c r="BI438" s="65">
        <f>'Special Corporate+ RI+TPS'!BI53</f>
        <v>0</v>
      </c>
      <c r="BJ438" s="65">
        <f>'Special Corporate+ RI+TPS'!BJ53</f>
        <v>0</v>
      </c>
      <c r="BK438" s="65">
        <f>'Special Corporate+ RI+TPS'!BK53</f>
        <v>0</v>
      </c>
      <c r="BL438" s="65">
        <f>'Special Corporate+ RI+TPS'!BL53</f>
        <v>0</v>
      </c>
      <c r="BM438" s="65">
        <f>'Special Corporate+ RI+TPS'!BM53</f>
        <v>0</v>
      </c>
      <c r="BN438" s="65">
        <f>'Special Corporate+ RI+TPS'!BN53</f>
        <v>0</v>
      </c>
      <c r="BO438" s="65">
        <f>'Special Corporate+ RI+TPS'!BO53</f>
        <v>0</v>
      </c>
      <c r="BP438" s="65">
        <f>'Special Corporate+ RI+TPS'!BP53</f>
        <v>0</v>
      </c>
      <c r="BQ438" s="65">
        <f>'Special Corporate+ RI+TPS'!BQ53</f>
        <v>0</v>
      </c>
      <c r="BR438" s="65">
        <f>'Special Corporate+ RI+TPS'!BR53</f>
        <v>0</v>
      </c>
      <c r="BS438" s="65">
        <f>'Special Corporate+ RI+TPS'!BS53</f>
        <v>0</v>
      </c>
      <c r="BT438" s="65">
        <f>'Special Corporate+ RI+TPS'!BT53</f>
        <v>0</v>
      </c>
      <c r="BU438" s="65">
        <f>'Special Corporate+ RI+TPS'!BU53</f>
        <v>0</v>
      </c>
      <c r="BV438" s="65">
        <f>'Special Corporate+ RI+TPS'!BV53</f>
        <v>0</v>
      </c>
      <c r="BW438" s="65">
        <f>'Special Corporate+ RI+TPS'!BW53</f>
        <v>0</v>
      </c>
      <c r="BX438" s="65">
        <f>'Special Corporate+ RI+TPS'!BX53</f>
        <v>0</v>
      </c>
      <c r="BY438" s="65">
        <f>'Special Corporate+ RI+TPS'!BY53</f>
        <v>0</v>
      </c>
      <c r="BZ438" s="65">
        <f>'Special Corporate+ RI+TPS'!BZ53</f>
        <v>0</v>
      </c>
      <c r="CA438" s="65">
        <f>'Special Corporate+ RI+TPS'!CA53</f>
        <v>0</v>
      </c>
      <c r="CB438" s="65">
        <f>'Special Corporate+ RI+TPS'!CB53</f>
        <v>0</v>
      </c>
      <c r="CC438" s="65">
        <f>'Special Corporate+ RI+TPS'!CC53</f>
        <v>0</v>
      </c>
      <c r="CD438" s="65">
        <f>'Special Corporate+ RI+TPS'!CD53</f>
        <v>0</v>
      </c>
      <c r="CE438" s="65">
        <f>'Special Corporate+ RI+TPS'!CE53</f>
        <v>0</v>
      </c>
      <c r="CF438" s="65">
        <f>'Special Corporate+ RI+TPS'!CF53</f>
        <v>0</v>
      </c>
      <c r="CG438" s="65">
        <f>'Special Corporate+ RI+TPS'!CG53</f>
        <v>0</v>
      </c>
      <c r="CH438" s="65">
        <f>'Special Corporate+ RI+TPS'!CH53</f>
        <v>0</v>
      </c>
      <c r="CI438" s="65">
        <f>'Special Corporate+ RI+TPS'!CI53</f>
        <v>0</v>
      </c>
      <c r="CJ438" s="65">
        <f>'Special Corporate+ RI+TPS'!CJ53</f>
        <v>0</v>
      </c>
      <c r="CK438" s="65">
        <f>'Special Corporate+ RI+TPS'!CK53</f>
        <v>0</v>
      </c>
      <c r="CL438" s="65">
        <f>'Special Corporate+ RI+TPS'!CL53</f>
        <v>0</v>
      </c>
      <c r="CM438" s="65">
        <f>'Special Corporate+ RI+TPS'!CM53</f>
        <v>0</v>
      </c>
      <c r="CN438" s="65">
        <f>'Special Corporate+ RI+TPS'!CN53</f>
        <v>0</v>
      </c>
      <c r="CO438" s="65">
        <f>'Special Corporate+ RI+TPS'!CO53</f>
        <v>0</v>
      </c>
      <c r="CP438" s="65">
        <f>'Special Corporate+ RI+TPS'!CP53</f>
        <v>0</v>
      </c>
      <c r="CQ438" s="65">
        <f>'Special Corporate+ RI+TPS'!CQ53</f>
        <v>0</v>
      </c>
      <c r="CR438" s="65">
        <f>'Special Corporate+ RI+TPS'!CR53</f>
        <v>0</v>
      </c>
      <c r="CS438" s="65">
        <f>'Special Corporate+ RI+TPS'!CS53</f>
        <v>0</v>
      </c>
      <c r="CT438" s="65">
        <f>'Special Corporate+ RI+TPS'!CT53</f>
        <v>0</v>
      </c>
      <c r="CU438" s="65">
        <f>'Special Corporate+ RI+TPS'!CU53</f>
        <v>0</v>
      </c>
      <c r="CV438" s="65">
        <f>'Special Corporate+ RI+TPS'!CV53</f>
        <v>0</v>
      </c>
      <c r="CW438" s="65">
        <f>'Special Corporate+ RI+TPS'!CW53</f>
        <v>0</v>
      </c>
      <c r="CX438" s="65">
        <f>'Special Corporate+ RI+TPS'!CX53</f>
        <v>0</v>
      </c>
      <c r="CY438" s="65">
        <f>'Special Corporate+ RI+TPS'!CY53</f>
        <v>0</v>
      </c>
      <c r="CZ438" s="65">
        <f>'Special Corporate+ RI+TPS'!CZ53</f>
        <v>0</v>
      </c>
      <c r="DA438" s="65">
        <f>'Special Corporate+ RI+TPS'!DA53</f>
        <v>0</v>
      </c>
      <c r="DB438" s="65">
        <f>'Special Corporate+ RI+TPS'!DB53</f>
        <v>0</v>
      </c>
      <c r="DC438" s="65">
        <f>'Special Corporate+ RI+TPS'!DC53</f>
        <v>0</v>
      </c>
      <c r="DD438" s="65">
        <f>'Special Corporate+ RI+TPS'!DD53</f>
        <v>0</v>
      </c>
      <c r="DE438" s="65">
        <f>'Special Corporate+ RI+TPS'!DE53</f>
        <v>0</v>
      </c>
      <c r="DF438" s="65">
        <f>'Special Corporate+ RI+TPS'!DF53</f>
        <v>0</v>
      </c>
      <c r="DG438" s="65">
        <f>'Special Corporate+ RI+TPS'!DG53</f>
        <v>0</v>
      </c>
      <c r="DH438" s="65">
        <f>'Special Corporate+ RI+TPS'!DH53</f>
        <v>0</v>
      </c>
      <c r="DI438" s="65">
        <f>'Special Corporate+ RI+TPS'!DI53</f>
        <v>0</v>
      </c>
      <c r="DJ438" s="65">
        <f>'Special Corporate+ RI+TPS'!DJ53</f>
        <v>0</v>
      </c>
      <c r="DK438" s="65">
        <f>'Special Corporate+ RI+TPS'!DK53</f>
        <v>0</v>
      </c>
      <c r="DL438" s="65">
        <f>'Special Corporate+ RI+TPS'!DL53</f>
        <v>0</v>
      </c>
      <c r="DM438" s="65">
        <f>'Special Corporate+ RI+TPS'!DM53</f>
        <v>0</v>
      </c>
      <c r="DN438" s="65">
        <f>'Special Corporate+ RI+TPS'!DN53</f>
        <v>0</v>
      </c>
      <c r="DO438" s="65">
        <f>'Special Corporate+ RI+TPS'!DO53</f>
        <v>0</v>
      </c>
      <c r="DP438" s="65">
        <f>'Special Corporate+ RI+TPS'!DP53</f>
        <v>0</v>
      </c>
      <c r="DQ438" s="65">
        <f>'Special Corporate+ RI+TPS'!DQ53</f>
        <v>0</v>
      </c>
      <c r="DR438" s="65">
        <f>'Special Corporate+ RI+TPS'!DR53</f>
        <v>0</v>
      </c>
      <c r="DS438" s="65">
        <f>'Special Corporate+ RI+TPS'!DS53</f>
        <v>0</v>
      </c>
      <c r="DT438" s="65">
        <f>'Special Corporate+ RI+TPS'!DT53</f>
        <v>0</v>
      </c>
      <c r="DU438" s="65">
        <f>'Special Corporate+ RI+TPS'!DU53</f>
        <v>0</v>
      </c>
      <c r="DV438" s="65">
        <f>'Special Corporate+ RI+TPS'!DV53</f>
        <v>0</v>
      </c>
      <c r="DW438" s="65">
        <f>'Special Corporate+ RI+TPS'!DW53</f>
        <v>0</v>
      </c>
      <c r="DX438" s="65">
        <f>'Special Corporate+ RI+TPS'!DX53</f>
        <v>0</v>
      </c>
      <c r="DY438" s="65">
        <f>'Special Corporate+ RI+TPS'!DY53</f>
        <v>0</v>
      </c>
      <c r="DZ438" s="65">
        <f>'Special Corporate+ RI+TPS'!DZ53</f>
        <v>0</v>
      </c>
      <c r="EA438" s="65">
        <f>'Special Corporate+ RI+TPS'!EA53</f>
        <v>0</v>
      </c>
      <c r="EB438" s="68"/>
    </row>
    <row r="439" spans="1:132" x14ac:dyDescent="0.2">
      <c r="A439" s="153"/>
      <c r="B439" s="154"/>
      <c r="C439" s="154"/>
      <c r="D439" s="154"/>
      <c r="E439" s="154"/>
      <c r="F439" s="154"/>
      <c r="G439" s="154"/>
      <c r="H439" s="154"/>
      <c r="I439" s="154"/>
      <c r="J439" s="154"/>
      <c r="K439" s="154"/>
      <c r="L439" s="154"/>
      <c r="M439" s="154"/>
      <c r="N439" s="154"/>
      <c r="O439" s="154"/>
      <c r="P439" s="154"/>
      <c r="Q439" s="154"/>
      <c r="R439" s="154"/>
      <c r="S439" s="154"/>
      <c r="T439" s="154"/>
      <c r="U439" s="154"/>
      <c r="V439" s="154"/>
      <c r="W439" s="154"/>
      <c r="X439" s="154"/>
      <c r="Y439" s="154"/>
      <c r="Z439" s="154"/>
      <c r="AA439" s="154"/>
      <c r="AB439" s="154"/>
      <c r="AC439" s="154"/>
      <c r="AD439" s="154"/>
      <c r="AE439" s="154"/>
      <c r="AF439" s="154"/>
      <c r="AG439" s="154"/>
      <c r="AH439" s="154"/>
      <c r="AI439" s="154"/>
      <c r="AJ439" s="154"/>
      <c r="AK439" s="154"/>
      <c r="AL439" s="154"/>
      <c r="AM439" s="154"/>
      <c r="AN439" s="154"/>
      <c r="AO439" s="154"/>
      <c r="AP439" s="154"/>
      <c r="AQ439" s="154"/>
      <c r="AR439" s="154"/>
      <c r="AS439" s="154"/>
      <c r="AT439" s="154"/>
      <c r="AU439" s="154"/>
      <c r="AV439" s="154"/>
      <c r="AW439" s="154"/>
      <c r="AX439" s="154"/>
      <c r="AY439" s="154"/>
      <c r="AZ439" s="154"/>
      <c r="BA439" s="154"/>
      <c r="BB439" s="154"/>
      <c r="BC439" s="154"/>
      <c r="BD439" s="154"/>
      <c r="BE439" s="154"/>
      <c r="BF439" s="154"/>
      <c r="BG439" s="154"/>
      <c r="BH439" s="154"/>
      <c r="BI439" s="154"/>
      <c r="BJ439" s="154"/>
      <c r="BK439" s="154"/>
      <c r="BL439" s="154"/>
      <c r="BM439" s="154"/>
      <c r="BN439" s="154"/>
      <c r="BO439" s="154"/>
      <c r="BP439" s="154"/>
      <c r="BQ439" s="154"/>
      <c r="BR439" s="154"/>
      <c r="BS439" s="154"/>
      <c r="BT439" s="154"/>
      <c r="BU439" s="154"/>
      <c r="BV439" s="154"/>
      <c r="BW439" s="154"/>
      <c r="BX439" s="154"/>
      <c r="BY439" s="154"/>
      <c r="BZ439" s="154"/>
      <c r="CA439" s="154"/>
      <c r="CB439" s="154"/>
      <c r="CC439" s="154"/>
      <c r="CD439" s="154"/>
      <c r="CE439" s="154"/>
      <c r="CF439" s="154"/>
      <c r="CG439" s="154"/>
      <c r="CH439" s="154"/>
      <c r="CI439" s="154"/>
      <c r="CJ439" s="154"/>
      <c r="CK439" s="154"/>
      <c r="CL439" s="154"/>
      <c r="CM439" s="154"/>
      <c r="CN439" s="154"/>
      <c r="CO439" s="154"/>
      <c r="CP439" s="154"/>
      <c r="CQ439" s="154"/>
      <c r="CR439" s="154"/>
      <c r="CS439" s="154"/>
      <c r="CT439" s="154"/>
      <c r="CU439" s="154"/>
      <c r="CV439" s="154"/>
      <c r="CW439" s="154"/>
      <c r="CX439" s="154"/>
      <c r="CY439" s="154"/>
      <c r="CZ439" s="154"/>
      <c r="DA439" s="154"/>
      <c r="DB439" s="154"/>
      <c r="DC439" s="154"/>
      <c r="DD439" s="154"/>
      <c r="DE439" s="154"/>
      <c r="DF439" s="154"/>
      <c r="DG439" s="154"/>
      <c r="DH439" s="154"/>
      <c r="DI439" s="154"/>
      <c r="DJ439" s="154"/>
      <c r="DK439" s="154"/>
      <c r="DL439" s="154"/>
      <c r="DM439" s="154"/>
      <c r="DN439" s="154"/>
      <c r="DO439" s="154"/>
      <c r="DP439" s="154"/>
      <c r="DQ439" s="154"/>
      <c r="DR439" s="154"/>
      <c r="DS439" s="154"/>
      <c r="DT439" s="154"/>
      <c r="DU439" s="154"/>
      <c r="DV439" s="154"/>
      <c r="DW439" s="154"/>
      <c r="DX439" s="154"/>
      <c r="DY439" s="154"/>
      <c r="DZ439" s="154"/>
      <c r="EA439" s="154"/>
      <c r="EB439" s="155"/>
    </row>
    <row r="441" spans="1:132" x14ac:dyDescent="0.2">
      <c r="A441" s="156" t="s">
        <v>348</v>
      </c>
      <c r="B441" s="67"/>
      <c r="C441" s="67"/>
      <c r="D441" s="67"/>
      <c r="E441" s="67"/>
      <c r="F441" s="67"/>
      <c r="G441" s="67"/>
      <c r="H441" s="67"/>
      <c r="I441" s="67"/>
      <c r="J441" s="67"/>
      <c r="K441" s="67"/>
      <c r="L441" s="67"/>
      <c r="M441" s="67"/>
      <c r="N441" s="67"/>
      <c r="O441" s="67"/>
      <c r="P441" s="67"/>
      <c r="Q441" s="67"/>
      <c r="R441" s="67"/>
      <c r="S441" s="67"/>
      <c r="T441" s="67"/>
      <c r="U441" s="67"/>
      <c r="V441" s="67"/>
      <c r="W441" s="67"/>
      <c r="X441" s="67"/>
      <c r="Y441" s="67"/>
      <c r="Z441" s="67"/>
      <c r="AA441" s="67"/>
      <c r="AB441" s="67"/>
      <c r="AC441" s="67"/>
      <c r="AD441" s="67"/>
      <c r="AE441" s="67"/>
      <c r="AF441" s="67"/>
      <c r="AG441" s="67"/>
      <c r="AH441" s="67"/>
      <c r="AI441" s="67"/>
      <c r="AJ441" s="67"/>
      <c r="AK441" s="67"/>
      <c r="AL441" s="67"/>
      <c r="AM441" s="67"/>
      <c r="AN441" s="67"/>
      <c r="AO441" s="67"/>
      <c r="AP441" s="67"/>
      <c r="AQ441" s="64"/>
    </row>
    <row r="442" spans="1:132" x14ac:dyDescent="0.2">
      <c r="A442" s="152"/>
      <c r="B442" s="65"/>
      <c r="C442" s="65"/>
      <c r="D442" s="65"/>
      <c r="E442" s="65"/>
      <c r="F442" s="65"/>
      <c r="G442" s="65"/>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c r="AQ442" s="68"/>
    </row>
    <row r="443" spans="1:132" x14ac:dyDescent="0.2">
      <c r="A443" s="152" t="str">
        <f>Packages!B1</f>
        <v>Packages</v>
      </c>
      <c r="B443" s="65"/>
      <c r="C443" s="65"/>
      <c r="D443" s="65"/>
      <c r="E443" s="65"/>
      <c r="F443" s="65"/>
      <c r="G443" s="65"/>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c r="AQ443" s="68"/>
    </row>
    <row r="444" spans="1:132" x14ac:dyDescent="0.2">
      <c r="A444" s="152">
        <f>Packages!B5</f>
        <v>0</v>
      </c>
      <c r="B444" s="65">
        <f>Packages!C5</f>
        <v>0</v>
      </c>
      <c r="C444" s="65">
        <f>Packages!D5</f>
        <v>0</v>
      </c>
      <c r="D444" s="65">
        <f>Packages!E5</f>
        <v>0</v>
      </c>
      <c r="E444" s="65">
        <f>Packages!F5</f>
        <v>0</v>
      </c>
      <c r="F444" s="65">
        <f>Packages!G5</f>
        <v>0</v>
      </c>
      <c r="G444" s="65">
        <f>Packages!H5</f>
        <v>0</v>
      </c>
      <c r="H444" s="65">
        <f>Packages!I5</f>
        <v>0</v>
      </c>
      <c r="I444" s="65">
        <f>Packages!J5</f>
        <v>0</v>
      </c>
      <c r="J444" s="65">
        <f>Packages!K5</f>
        <v>0</v>
      </c>
      <c r="K444" s="65">
        <f>Packages!L5</f>
        <v>0</v>
      </c>
      <c r="L444" s="65">
        <f>Packages!M5</f>
        <v>0</v>
      </c>
      <c r="M444" s="65">
        <f>Packages!N5</f>
        <v>0</v>
      </c>
      <c r="N444" s="65">
        <f>Packages!O5</f>
        <v>0</v>
      </c>
      <c r="O444" s="65">
        <f>Packages!P5</f>
        <v>0</v>
      </c>
      <c r="P444" s="65">
        <f>Packages!Q5</f>
        <v>0</v>
      </c>
      <c r="Q444" s="65">
        <f>Packages!R5</f>
        <v>0</v>
      </c>
      <c r="R444" s="65">
        <f>Packages!S5</f>
        <v>0</v>
      </c>
      <c r="S444" s="65">
        <f>Packages!T5</f>
        <v>0</v>
      </c>
      <c r="T444" s="65">
        <f>Packages!U5</f>
        <v>0</v>
      </c>
      <c r="U444" s="65">
        <f>Packages!V5</f>
        <v>0</v>
      </c>
      <c r="V444" s="65">
        <f>Packages!W5</f>
        <v>0</v>
      </c>
      <c r="W444" s="65">
        <f>Packages!X5</f>
        <v>0</v>
      </c>
      <c r="X444" s="65">
        <f>Packages!Y5</f>
        <v>0</v>
      </c>
      <c r="Y444" s="65">
        <f>Packages!Z5</f>
        <v>0</v>
      </c>
      <c r="Z444" s="65">
        <f>Packages!AA5</f>
        <v>0</v>
      </c>
      <c r="AA444" s="65">
        <f>Packages!AB5</f>
        <v>0</v>
      </c>
      <c r="AB444" s="65">
        <f>Packages!AC5</f>
        <v>0</v>
      </c>
      <c r="AC444" s="65">
        <f>Packages!AD5</f>
        <v>0</v>
      </c>
      <c r="AD444" s="65">
        <f>Packages!AE5</f>
        <v>0</v>
      </c>
      <c r="AE444" s="65">
        <f>Packages!AF5</f>
        <v>0</v>
      </c>
      <c r="AF444" s="65">
        <f>Packages!AG5</f>
        <v>0</v>
      </c>
      <c r="AG444" s="65">
        <f>Packages!AH5</f>
        <v>0</v>
      </c>
      <c r="AH444" s="65">
        <f>Packages!AI5</f>
        <v>0</v>
      </c>
      <c r="AI444" s="65">
        <f>Packages!AJ5</f>
        <v>0</v>
      </c>
      <c r="AJ444" s="65">
        <f>Packages!AK5</f>
        <v>0</v>
      </c>
      <c r="AK444" s="65">
        <f>Packages!AL5</f>
        <v>0</v>
      </c>
      <c r="AL444" s="65">
        <f>Packages!AM5</f>
        <v>0</v>
      </c>
      <c r="AM444" s="65">
        <f>Packages!AN5</f>
        <v>0</v>
      </c>
      <c r="AN444" s="65">
        <f>Packages!AO5</f>
        <v>0</v>
      </c>
      <c r="AO444" s="65">
        <f>Packages!AP5</f>
        <v>0</v>
      </c>
      <c r="AP444" s="65">
        <f>Packages!AQ5</f>
        <v>0</v>
      </c>
      <c r="AQ444" s="68"/>
    </row>
    <row r="445" spans="1:132" x14ac:dyDescent="0.2">
      <c r="A445" s="152" t="str">
        <f>Packages!B6</f>
        <v>Name</v>
      </c>
      <c r="B445" s="65">
        <f>Packages!C6</f>
        <v>0</v>
      </c>
      <c r="C445" s="65" t="str">
        <f>Packages!D6</f>
        <v>Enter package name here</v>
      </c>
      <c r="D445" s="65">
        <f>Packages!E6</f>
        <v>0</v>
      </c>
      <c r="E445" s="65">
        <f>Packages!F6</f>
        <v>0</v>
      </c>
      <c r="F445" s="65">
        <f>Packages!G6</f>
        <v>0</v>
      </c>
      <c r="G445" s="65" t="str">
        <f>Packages!H6</f>
        <v>Enter package name here</v>
      </c>
      <c r="H445" s="65">
        <f>Packages!I6</f>
        <v>0</v>
      </c>
      <c r="I445" s="65">
        <f>Packages!J6</f>
        <v>0</v>
      </c>
      <c r="J445" s="65">
        <f>Packages!K6</f>
        <v>0</v>
      </c>
      <c r="K445" s="65" t="str">
        <f>Packages!L6</f>
        <v>Enter package name here</v>
      </c>
      <c r="L445" s="65">
        <f>Packages!M6</f>
        <v>0</v>
      </c>
      <c r="M445" s="65">
        <f>Packages!N6</f>
        <v>0</v>
      </c>
      <c r="N445" s="65">
        <f>Packages!O6</f>
        <v>0</v>
      </c>
      <c r="O445" s="65" t="str">
        <f>Packages!P6</f>
        <v>Enter package name here</v>
      </c>
      <c r="P445" s="65">
        <f>Packages!Q6</f>
        <v>0</v>
      </c>
      <c r="Q445" s="65">
        <f>Packages!R6</f>
        <v>0</v>
      </c>
      <c r="R445" s="65">
        <f>Packages!S6</f>
        <v>0</v>
      </c>
      <c r="S445" s="65" t="str">
        <f>Packages!T6</f>
        <v>Enter package name here</v>
      </c>
      <c r="T445" s="65">
        <f>Packages!U6</f>
        <v>0</v>
      </c>
      <c r="U445" s="65">
        <f>Packages!V6</f>
        <v>0</v>
      </c>
      <c r="V445" s="65">
        <f>Packages!W6</f>
        <v>0</v>
      </c>
      <c r="W445" s="65" t="str">
        <f>Packages!X6</f>
        <v>Enter package name here</v>
      </c>
      <c r="X445" s="65">
        <f>Packages!Y6</f>
        <v>0</v>
      </c>
      <c r="Y445" s="65">
        <f>Packages!Z6</f>
        <v>0</v>
      </c>
      <c r="Z445" s="65">
        <f>Packages!AA6</f>
        <v>0</v>
      </c>
      <c r="AA445" s="65" t="str">
        <f>Packages!AB6</f>
        <v>Enter package name here</v>
      </c>
      <c r="AB445" s="65">
        <f>Packages!AC6</f>
        <v>0</v>
      </c>
      <c r="AC445" s="65">
        <f>Packages!AD6</f>
        <v>0</v>
      </c>
      <c r="AD445" s="65">
        <f>Packages!AE6</f>
        <v>0</v>
      </c>
      <c r="AE445" s="65" t="str">
        <f>Packages!AF6</f>
        <v>Enter package name here</v>
      </c>
      <c r="AF445" s="65">
        <f>Packages!AG6</f>
        <v>0</v>
      </c>
      <c r="AG445" s="65">
        <f>Packages!AH6</f>
        <v>0</v>
      </c>
      <c r="AH445" s="65">
        <f>Packages!AI6</f>
        <v>0</v>
      </c>
      <c r="AI445" s="65" t="str">
        <f>Packages!AJ6</f>
        <v>Enter package name here</v>
      </c>
      <c r="AJ445" s="65">
        <f>Packages!AK6</f>
        <v>0</v>
      </c>
      <c r="AK445" s="65">
        <f>Packages!AL6</f>
        <v>0</v>
      </c>
      <c r="AL445" s="65">
        <f>Packages!AM6</f>
        <v>0</v>
      </c>
      <c r="AM445" s="65" t="str">
        <f>Packages!AN6</f>
        <v>Enter package name here</v>
      </c>
      <c r="AN445" s="65">
        <f>Packages!AO6</f>
        <v>0</v>
      </c>
      <c r="AO445" s="65">
        <f>Packages!AP6</f>
        <v>0</v>
      </c>
      <c r="AP445" s="65">
        <f>Packages!AQ6</f>
        <v>0</v>
      </c>
      <c r="AQ445" s="68"/>
    </row>
    <row r="446" spans="1:132" x14ac:dyDescent="0.2">
      <c r="A446" s="152" t="str">
        <f>Packages!B7</f>
        <v>Availability</v>
      </c>
      <c r="B446" s="65">
        <f>Packages!C7</f>
        <v>0</v>
      </c>
      <c r="C446" s="65">
        <f>Packages!D7</f>
        <v>0</v>
      </c>
      <c r="D446" s="65">
        <f>Packages!E7</f>
        <v>0</v>
      </c>
      <c r="E446" s="65">
        <f>Packages!F7</f>
        <v>0</v>
      </c>
      <c r="F446" s="65">
        <f>Packages!G7</f>
        <v>0</v>
      </c>
      <c r="G446" s="65">
        <f>Packages!H7</f>
        <v>0</v>
      </c>
      <c r="H446" s="65">
        <f>Packages!I7</f>
        <v>0</v>
      </c>
      <c r="I446" s="65">
        <f>Packages!J7</f>
        <v>0</v>
      </c>
      <c r="J446" s="65">
        <f>Packages!K7</f>
        <v>0</v>
      </c>
      <c r="K446" s="65">
        <f>Packages!L7</f>
        <v>0</v>
      </c>
      <c r="L446" s="65">
        <f>Packages!M7</f>
        <v>0</v>
      </c>
      <c r="M446" s="65">
        <f>Packages!N7</f>
        <v>0</v>
      </c>
      <c r="N446" s="65">
        <f>Packages!O7</f>
        <v>0</v>
      </c>
      <c r="O446" s="65">
        <f>Packages!P7</f>
        <v>0</v>
      </c>
      <c r="P446" s="65">
        <f>Packages!Q7</f>
        <v>0</v>
      </c>
      <c r="Q446" s="65">
        <f>Packages!R7</f>
        <v>0</v>
      </c>
      <c r="R446" s="65">
        <f>Packages!S7</f>
        <v>0</v>
      </c>
      <c r="S446" s="65">
        <f>Packages!T7</f>
        <v>0</v>
      </c>
      <c r="T446" s="65">
        <f>Packages!U7</f>
        <v>0</v>
      </c>
      <c r="U446" s="65">
        <f>Packages!V7</f>
        <v>0</v>
      </c>
      <c r="V446" s="65">
        <f>Packages!W7</f>
        <v>0</v>
      </c>
      <c r="W446" s="65">
        <f>Packages!X7</f>
        <v>0</v>
      </c>
      <c r="X446" s="65">
        <f>Packages!Y7</f>
        <v>0</v>
      </c>
      <c r="Y446" s="65">
        <f>Packages!Z7</f>
        <v>0</v>
      </c>
      <c r="Z446" s="65">
        <f>Packages!AA7</f>
        <v>0</v>
      </c>
      <c r="AA446" s="65">
        <f>Packages!AB7</f>
        <v>0</v>
      </c>
      <c r="AB446" s="65">
        <f>Packages!AC7</f>
        <v>0</v>
      </c>
      <c r="AC446" s="65">
        <f>Packages!AD7</f>
        <v>0</v>
      </c>
      <c r="AD446" s="65">
        <f>Packages!AE7</f>
        <v>0</v>
      </c>
      <c r="AE446" s="65">
        <f>Packages!AF7</f>
        <v>0</v>
      </c>
      <c r="AF446" s="65">
        <f>Packages!AG7</f>
        <v>0</v>
      </c>
      <c r="AG446" s="65">
        <f>Packages!AH7</f>
        <v>0</v>
      </c>
      <c r="AH446" s="65">
        <f>Packages!AI7</f>
        <v>0</v>
      </c>
      <c r="AI446" s="65">
        <f>Packages!AJ7</f>
        <v>0</v>
      </c>
      <c r="AJ446" s="65">
        <f>Packages!AK7</f>
        <v>0</v>
      </c>
      <c r="AK446" s="65">
        <f>Packages!AL7</f>
        <v>0</v>
      </c>
      <c r="AL446" s="65">
        <f>Packages!AM7</f>
        <v>0</v>
      </c>
      <c r="AM446" s="65">
        <f>Packages!AN7</f>
        <v>0</v>
      </c>
      <c r="AN446" s="65">
        <f>Packages!AO7</f>
        <v>0</v>
      </c>
      <c r="AO446" s="65">
        <f>Packages!AP7</f>
        <v>0</v>
      </c>
      <c r="AP446" s="65">
        <f>Packages!AQ7</f>
        <v>0</v>
      </c>
      <c r="AQ446" s="68"/>
    </row>
    <row r="447" spans="1:132" x14ac:dyDescent="0.2">
      <c r="A447" s="152" t="str">
        <f>Packages!B8</f>
        <v>Loading instructions</v>
      </c>
      <c r="B447" s="65">
        <f>Packages!C8</f>
        <v>0</v>
      </c>
      <c r="C447" s="65">
        <f>Packages!D8</f>
        <v>0</v>
      </c>
      <c r="D447" s="65">
        <f>Packages!E8</f>
        <v>0</v>
      </c>
      <c r="E447" s="65">
        <f>Packages!F8</f>
        <v>0</v>
      </c>
      <c r="F447" s="65">
        <f>Packages!G8</f>
        <v>0</v>
      </c>
      <c r="G447" s="65">
        <f>Packages!H8</f>
        <v>0</v>
      </c>
      <c r="H447" s="65">
        <f>Packages!I8</f>
        <v>0</v>
      </c>
      <c r="I447" s="65">
        <f>Packages!J8</f>
        <v>0</v>
      </c>
      <c r="J447" s="65">
        <f>Packages!K8</f>
        <v>0</v>
      </c>
      <c r="K447" s="65">
        <f>Packages!L8</f>
        <v>0</v>
      </c>
      <c r="L447" s="65">
        <f>Packages!M8</f>
        <v>0</v>
      </c>
      <c r="M447" s="65">
        <f>Packages!N8</f>
        <v>0</v>
      </c>
      <c r="N447" s="65">
        <f>Packages!O8</f>
        <v>0</v>
      </c>
      <c r="O447" s="65">
        <f>Packages!P8</f>
        <v>0</v>
      </c>
      <c r="P447" s="65">
        <f>Packages!Q8</f>
        <v>0</v>
      </c>
      <c r="Q447" s="65">
        <f>Packages!R8</f>
        <v>0</v>
      </c>
      <c r="R447" s="65">
        <f>Packages!S8</f>
        <v>0</v>
      </c>
      <c r="S447" s="65">
        <f>Packages!T8</f>
        <v>0</v>
      </c>
      <c r="T447" s="65">
        <f>Packages!U8</f>
        <v>0</v>
      </c>
      <c r="U447" s="65">
        <f>Packages!V8</f>
        <v>0</v>
      </c>
      <c r="V447" s="65">
        <f>Packages!W8</f>
        <v>0</v>
      </c>
      <c r="W447" s="65">
        <f>Packages!X8</f>
        <v>0</v>
      </c>
      <c r="X447" s="65">
        <f>Packages!Y8</f>
        <v>0</v>
      </c>
      <c r="Y447" s="65">
        <f>Packages!Z8</f>
        <v>0</v>
      </c>
      <c r="Z447" s="65">
        <f>Packages!AA8</f>
        <v>0</v>
      </c>
      <c r="AA447" s="65">
        <f>Packages!AB8</f>
        <v>0</v>
      </c>
      <c r="AB447" s="65">
        <f>Packages!AC8</f>
        <v>0</v>
      </c>
      <c r="AC447" s="65">
        <f>Packages!AD8</f>
        <v>0</v>
      </c>
      <c r="AD447" s="65">
        <f>Packages!AE8</f>
        <v>0</v>
      </c>
      <c r="AE447" s="65">
        <f>Packages!AF8</f>
        <v>0</v>
      </c>
      <c r="AF447" s="65">
        <f>Packages!AG8</f>
        <v>0</v>
      </c>
      <c r="AG447" s="65">
        <f>Packages!AH8</f>
        <v>0</v>
      </c>
      <c r="AH447" s="65">
        <f>Packages!AI8</f>
        <v>0</v>
      </c>
      <c r="AI447" s="65">
        <f>Packages!AJ8</f>
        <v>0</v>
      </c>
      <c r="AJ447" s="65">
        <f>Packages!AK8</f>
        <v>0</v>
      </c>
      <c r="AK447" s="65">
        <f>Packages!AL8</f>
        <v>0</v>
      </c>
      <c r="AL447" s="65">
        <f>Packages!AM8</f>
        <v>0</v>
      </c>
      <c r="AM447" s="65">
        <f>Packages!AN8</f>
        <v>0</v>
      </c>
      <c r="AN447" s="65">
        <f>Packages!AO8</f>
        <v>0</v>
      </c>
      <c r="AO447" s="65">
        <f>Packages!AP8</f>
        <v>0</v>
      </c>
      <c r="AP447" s="65">
        <f>Packages!AQ8</f>
        <v>0</v>
      </c>
      <c r="AQ447" s="68"/>
    </row>
    <row r="448" spans="1:132" x14ac:dyDescent="0.2">
      <c r="A448" s="152">
        <f>Packages!B9</f>
        <v>0</v>
      </c>
      <c r="B448" s="65">
        <f>Packages!C9</f>
        <v>0</v>
      </c>
      <c r="C448" s="65">
        <f>Packages!D9</f>
        <v>0</v>
      </c>
      <c r="D448" s="65">
        <f>Packages!E9</f>
        <v>0</v>
      </c>
      <c r="E448" s="65">
        <f>Packages!F9</f>
        <v>0</v>
      </c>
      <c r="F448" s="65">
        <f>Packages!G9</f>
        <v>0</v>
      </c>
      <c r="G448" s="65">
        <f>Packages!H9</f>
        <v>0</v>
      </c>
      <c r="H448" s="65">
        <f>Packages!I9</f>
        <v>0</v>
      </c>
      <c r="I448" s="65">
        <f>Packages!J9</f>
        <v>0</v>
      </c>
      <c r="J448" s="65">
        <f>Packages!K9</f>
        <v>0</v>
      </c>
      <c r="K448" s="65">
        <f>Packages!L9</f>
        <v>0</v>
      </c>
      <c r="L448" s="65">
        <f>Packages!M9</f>
        <v>0</v>
      </c>
      <c r="M448" s="65">
        <f>Packages!N9</f>
        <v>0</v>
      </c>
      <c r="N448" s="65">
        <f>Packages!O9</f>
        <v>0</v>
      </c>
      <c r="O448" s="65">
        <f>Packages!P9</f>
        <v>0</v>
      </c>
      <c r="P448" s="65">
        <f>Packages!Q9</f>
        <v>0</v>
      </c>
      <c r="Q448" s="65">
        <f>Packages!R9</f>
        <v>0</v>
      </c>
      <c r="R448" s="65">
        <f>Packages!S9</f>
        <v>0</v>
      </c>
      <c r="S448" s="65">
        <f>Packages!T9</f>
        <v>0</v>
      </c>
      <c r="T448" s="65">
        <f>Packages!U9</f>
        <v>0</v>
      </c>
      <c r="U448" s="65">
        <f>Packages!V9</f>
        <v>0</v>
      </c>
      <c r="V448" s="65">
        <f>Packages!W9</f>
        <v>0</v>
      </c>
      <c r="W448" s="65">
        <f>Packages!X9</f>
        <v>0</v>
      </c>
      <c r="X448" s="65">
        <f>Packages!Y9</f>
        <v>0</v>
      </c>
      <c r="Y448" s="65">
        <f>Packages!Z9</f>
        <v>0</v>
      </c>
      <c r="Z448" s="65">
        <f>Packages!AA9</f>
        <v>0</v>
      </c>
      <c r="AA448" s="65">
        <f>Packages!AB9</f>
        <v>0</v>
      </c>
      <c r="AB448" s="65">
        <f>Packages!AC9</f>
        <v>0</v>
      </c>
      <c r="AC448" s="65">
        <f>Packages!AD9</f>
        <v>0</v>
      </c>
      <c r="AD448" s="65">
        <f>Packages!AE9</f>
        <v>0</v>
      </c>
      <c r="AE448" s="65">
        <f>Packages!AF9</f>
        <v>0</v>
      </c>
      <c r="AF448" s="65">
        <f>Packages!AG9</f>
        <v>0</v>
      </c>
      <c r="AG448" s="65">
        <f>Packages!AH9</f>
        <v>0</v>
      </c>
      <c r="AH448" s="65">
        <f>Packages!AI9</f>
        <v>0</v>
      </c>
      <c r="AI448" s="65">
        <f>Packages!AJ9</f>
        <v>0</v>
      </c>
      <c r="AJ448" s="65">
        <f>Packages!AK9</f>
        <v>0</v>
      </c>
      <c r="AK448" s="65">
        <f>Packages!AL9</f>
        <v>0</v>
      </c>
      <c r="AL448" s="65">
        <f>Packages!AM9</f>
        <v>0</v>
      </c>
      <c r="AM448" s="65">
        <f>Packages!AN9</f>
        <v>0</v>
      </c>
      <c r="AN448" s="65">
        <f>Packages!AO9</f>
        <v>0</v>
      </c>
      <c r="AO448" s="65">
        <f>Packages!AP9</f>
        <v>0</v>
      </c>
      <c r="AP448" s="65">
        <f>Packages!AQ9</f>
        <v>0</v>
      </c>
      <c r="AQ448" s="68"/>
    </row>
    <row r="449" spans="1:43" x14ac:dyDescent="0.2">
      <c r="A449" s="152" t="str">
        <f>Packages!B10</f>
        <v>Room Pool</v>
      </c>
      <c r="B449" s="65">
        <f>Packages!C10</f>
        <v>0</v>
      </c>
      <c r="C449" s="65" t="str">
        <f>Packages!D10</f>
        <v>Single</v>
      </c>
      <c r="D449" s="65" t="str">
        <f>Packages!E10</f>
        <v>Double</v>
      </c>
      <c r="E449" s="65" t="str">
        <f>Packages!F10</f>
        <v>Single Net</v>
      </c>
      <c r="F449" s="65" t="str">
        <f>Packages!G10</f>
        <v>Double Net</v>
      </c>
      <c r="G449" s="65" t="str">
        <f>Packages!H10</f>
        <v>Single</v>
      </c>
      <c r="H449" s="65" t="str">
        <f>Packages!I10</f>
        <v>Double</v>
      </c>
      <c r="I449" s="65" t="str">
        <f>Packages!J10</f>
        <v>Single Net</v>
      </c>
      <c r="J449" s="65" t="str">
        <f>Packages!K10</f>
        <v>Double Net</v>
      </c>
      <c r="K449" s="65" t="str">
        <f>Packages!L10</f>
        <v>Single</v>
      </c>
      <c r="L449" s="65" t="str">
        <f>Packages!M10</f>
        <v>Double</v>
      </c>
      <c r="M449" s="65" t="str">
        <f>Packages!N10</f>
        <v>Single Net</v>
      </c>
      <c r="N449" s="65" t="str">
        <f>Packages!O10</f>
        <v>Double Net</v>
      </c>
      <c r="O449" s="65" t="str">
        <f>Packages!P10</f>
        <v>Single</v>
      </c>
      <c r="P449" s="65" t="str">
        <f>Packages!Q10</f>
        <v>Double</v>
      </c>
      <c r="Q449" s="65" t="str">
        <f>Packages!R10</f>
        <v>Single Net</v>
      </c>
      <c r="R449" s="65" t="str">
        <f>Packages!S10</f>
        <v>Double Net</v>
      </c>
      <c r="S449" s="65" t="str">
        <f>Packages!T10</f>
        <v>Single</v>
      </c>
      <c r="T449" s="65" t="str">
        <f>Packages!U10</f>
        <v>Double</v>
      </c>
      <c r="U449" s="65" t="str">
        <f>Packages!V10</f>
        <v>Single Net</v>
      </c>
      <c r="V449" s="65" t="str">
        <f>Packages!W10</f>
        <v>Double Net</v>
      </c>
      <c r="W449" s="65" t="str">
        <f>Packages!X10</f>
        <v>Single</v>
      </c>
      <c r="X449" s="65" t="str">
        <f>Packages!Y10</f>
        <v>Double</v>
      </c>
      <c r="Y449" s="65" t="str">
        <f>Packages!Z10</f>
        <v>Single Net</v>
      </c>
      <c r="Z449" s="65" t="str">
        <f>Packages!AA10</f>
        <v>Double Net</v>
      </c>
      <c r="AA449" s="65" t="str">
        <f>Packages!AB10</f>
        <v>Single</v>
      </c>
      <c r="AB449" s="65" t="str">
        <f>Packages!AC10</f>
        <v>Double</v>
      </c>
      <c r="AC449" s="65" t="str">
        <f>Packages!AD10</f>
        <v>Single Net</v>
      </c>
      <c r="AD449" s="65" t="str">
        <f>Packages!AE10</f>
        <v>Double Net</v>
      </c>
      <c r="AE449" s="65" t="str">
        <f>Packages!AF10</f>
        <v>Single</v>
      </c>
      <c r="AF449" s="65" t="str">
        <f>Packages!AG10</f>
        <v>Double</v>
      </c>
      <c r="AG449" s="65" t="str">
        <f>Packages!AH10</f>
        <v>Single</v>
      </c>
      <c r="AH449" s="65" t="str">
        <f>Packages!AI10</f>
        <v>Double</v>
      </c>
      <c r="AI449" s="65" t="str">
        <f>Packages!AJ10</f>
        <v>Single</v>
      </c>
      <c r="AJ449" s="65" t="str">
        <f>Packages!AK10</f>
        <v>Double</v>
      </c>
      <c r="AK449" s="65" t="str">
        <f>Packages!AL10</f>
        <v>Single Net</v>
      </c>
      <c r="AL449" s="65" t="str">
        <f>Packages!AM10</f>
        <v>Double Net</v>
      </c>
      <c r="AM449" s="65" t="str">
        <f>Packages!AN10</f>
        <v>Single</v>
      </c>
      <c r="AN449" s="65" t="str">
        <f>Packages!AO10</f>
        <v>Double</v>
      </c>
      <c r="AO449" s="65" t="str">
        <f>Packages!AP10</f>
        <v>Single</v>
      </c>
      <c r="AP449" s="65" t="str">
        <f>Packages!AQ10</f>
        <v>Double</v>
      </c>
      <c r="AQ449" s="68"/>
    </row>
    <row r="450" spans="1:43" x14ac:dyDescent="0.2">
      <c r="A450" s="152" t="str">
        <f>Packages!B11</f>
        <v>KING</v>
      </c>
      <c r="B450" s="65">
        <f>Packages!C11</f>
        <v>0</v>
      </c>
      <c r="C450" s="65">
        <f>Packages!D11</f>
        <v>0</v>
      </c>
      <c r="D450" s="65">
        <f>Packages!E11</f>
        <v>0</v>
      </c>
      <c r="E450" s="65">
        <f>Packages!F11</f>
        <v>0</v>
      </c>
      <c r="F450" s="65">
        <f>Packages!G11</f>
        <v>0</v>
      </c>
      <c r="G450" s="65">
        <f>Packages!H11</f>
        <v>0</v>
      </c>
      <c r="H450" s="65">
        <f>Packages!I11</f>
        <v>0</v>
      </c>
      <c r="I450" s="65">
        <f>Packages!J11</f>
        <v>0</v>
      </c>
      <c r="J450" s="65">
        <f>Packages!K11</f>
        <v>0</v>
      </c>
      <c r="K450" s="65">
        <f>Packages!L11</f>
        <v>0</v>
      </c>
      <c r="L450" s="65">
        <f>Packages!M11</f>
        <v>0</v>
      </c>
      <c r="M450" s="65">
        <f>Packages!N11</f>
        <v>0</v>
      </c>
      <c r="N450" s="65">
        <f>Packages!O11</f>
        <v>0</v>
      </c>
      <c r="O450" s="65">
        <f>Packages!P11</f>
        <v>0</v>
      </c>
      <c r="P450" s="65">
        <f>Packages!Q11</f>
        <v>0</v>
      </c>
      <c r="Q450" s="65">
        <f>Packages!R11</f>
        <v>0</v>
      </c>
      <c r="R450" s="65">
        <f>Packages!S11</f>
        <v>0</v>
      </c>
      <c r="S450" s="65">
        <f>Packages!T11</f>
        <v>0</v>
      </c>
      <c r="T450" s="65">
        <f>Packages!U11</f>
        <v>0</v>
      </c>
      <c r="U450" s="65">
        <f>Packages!V11</f>
        <v>0</v>
      </c>
      <c r="V450" s="65">
        <f>Packages!W11</f>
        <v>0</v>
      </c>
      <c r="W450" s="65">
        <f>Packages!X11</f>
        <v>0</v>
      </c>
      <c r="X450" s="65">
        <f>Packages!Y11</f>
        <v>0</v>
      </c>
      <c r="Y450" s="65">
        <f>Packages!Z11</f>
        <v>0</v>
      </c>
      <c r="Z450" s="65">
        <f>Packages!AA11</f>
        <v>0</v>
      </c>
      <c r="AA450" s="65">
        <f>Packages!AB11</f>
        <v>0</v>
      </c>
      <c r="AB450" s="65">
        <f>Packages!AC11</f>
        <v>0</v>
      </c>
      <c r="AC450" s="65">
        <f>Packages!AD11</f>
        <v>0</v>
      </c>
      <c r="AD450" s="65">
        <f>Packages!AE11</f>
        <v>0</v>
      </c>
      <c r="AE450" s="65">
        <f>Packages!AF11</f>
        <v>0</v>
      </c>
      <c r="AF450" s="65">
        <f>Packages!AG11</f>
        <v>0</v>
      </c>
      <c r="AG450" s="65">
        <f>Packages!AH11</f>
        <v>0</v>
      </c>
      <c r="AH450" s="65">
        <f>Packages!AI11</f>
        <v>0</v>
      </c>
      <c r="AI450" s="65">
        <f>Packages!AJ11</f>
        <v>0</v>
      </c>
      <c r="AJ450" s="65">
        <f>Packages!AK11</f>
        <v>0</v>
      </c>
      <c r="AK450" s="65">
        <f>Packages!AL11</f>
        <v>0</v>
      </c>
      <c r="AL450" s="65">
        <f>Packages!AM11</f>
        <v>0</v>
      </c>
      <c r="AM450" s="65">
        <f>Packages!AN11</f>
        <v>0</v>
      </c>
      <c r="AN450" s="65">
        <f>Packages!AO11</f>
        <v>0</v>
      </c>
      <c r="AO450" s="65">
        <f>Packages!AP11</f>
        <v>0</v>
      </c>
      <c r="AP450" s="65">
        <f>Packages!AQ11</f>
        <v>0</v>
      </c>
      <c r="AQ450" s="68"/>
    </row>
    <row r="451" spans="1:43" x14ac:dyDescent="0.2">
      <c r="A451" s="152" t="str">
        <f>Packages!B12</f>
        <v>DBDB</v>
      </c>
      <c r="B451" s="65">
        <f>Packages!C12</f>
        <v>0</v>
      </c>
      <c r="C451" s="65">
        <f>Packages!D12</f>
        <v>0</v>
      </c>
      <c r="D451" s="65">
        <f>Packages!E12</f>
        <v>0</v>
      </c>
      <c r="E451" s="65">
        <f>Packages!F12</f>
        <v>0</v>
      </c>
      <c r="F451" s="65">
        <f>Packages!G12</f>
        <v>0</v>
      </c>
      <c r="G451" s="65">
        <f>Packages!H12</f>
        <v>0</v>
      </c>
      <c r="H451" s="65">
        <f>Packages!I12</f>
        <v>0</v>
      </c>
      <c r="I451" s="65">
        <f>Packages!J12</f>
        <v>0</v>
      </c>
      <c r="J451" s="65">
        <f>Packages!K12</f>
        <v>0</v>
      </c>
      <c r="K451" s="65">
        <f>Packages!L12</f>
        <v>0</v>
      </c>
      <c r="L451" s="65">
        <f>Packages!M12</f>
        <v>0</v>
      </c>
      <c r="M451" s="65">
        <f>Packages!N12</f>
        <v>0</v>
      </c>
      <c r="N451" s="65">
        <f>Packages!O12</f>
        <v>0</v>
      </c>
      <c r="O451" s="65">
        <f>Packages!P12</f>
        <v>0</v>
      </c>
      <c r="P451" s="65">
        <f>Packages!Q12</f>
        <v>0</v>
      </c>
      <c r="Q451" s="65">
        <f>Packages!R12</f>
        <v>0</v>
      </c>
      <c r="R451" s="65">
        <f>Packages!S12</f>
        <v>0</v>
      </c>
      <c r="S451" s="65">
        <f>Packages!T12</f>
        <v>0</v>
      </c>
      <c r="T451" s="65">
        <f>Packages!U12</f>
        <v>0</v>
      </c>
      <c r="U451" s="65">
        <f>Packages!V12</f>
        <v>0</v>
      </c>
      <c r="V451" s="65">
        <f>Packages!W12</f>
        <v>0</v>
      </c>
      <c r="W451" s="65">
        <f>Packages!X12</f>
        <v>0</v>
      </c>
      <c r="X451" s="65">
        <f>Packages!Y12</f>
        <v>0</v>
      </c>
      <c r="Y451" s="65">
        <f>Packages!Z12</f>
        <v>0</v>
      </c>
      <c r="Z451" s="65">
        <f>Packages!AA12</f>
        <v>0</v>
      </c>
      <c r="AA451" s="65">
        <f>Packages!AB12</f>
        <v>0</v>
      </c>
      <c r="AB451" s="65">
        <f>Packages!AC12</f>
        <v>0</v>
      </c>
      <c r="AC451" s="65">
        <f>Packages!AD12</f>
        <v>0</v>
      </c>
      <c r="AD451" s="65">
        <f>Packages!AE12</f>
        <v>0</v>
      </c>
      <c r="AE451" s="65">
        <f>Packages!AF12</f>
        <v>0</v>
      </c>
      <c r="AF451" s="65">
        <f>Packages!AG12</f>
        <v>0</v>
      </c>
      <c r="AG451" s="65">
        <f>Packages!AH12</f>
        <v>0</v>
      </c>
      <c r="AH451" s="65">
        <f>Packages!AI12</f>
        <v>0</v>
      </c>
      <c r="AI451" s="65">
        <f>Packages!AJ12</f>
        <v>0</v>
      </c>
      <c r="AJ451" s="65">
        <f>Packages!AK12</f>
        <v>0</v>
      </c>
      <c r="AK451" s="65">
        <f>Packages!AL12</f>
        <v>0</v>
      </c>
      <c r="AL451" s="65">
        <f>Packages!AM12</f>
        <v>0</v>
      </c>
      <c r="AM451" s="65">
        <f>Packages!AN12</f>
        <v>0</v>
      </c>
      <c r="AN451" s="65">
        <f>Packages!AO12</f>
        <v>0</v>
      </c>
      <c r="AO451" s="65">
        <f>Packages!AP12</f>
        <v>0</v>
      </c>
      <c r="AP451" s="65">
        <f>Packages!AQ12</f>
        <v>0</v>
      </c>
      <c r="AQ451" s="68"/>
    </row>
    <row r="452" spans="1:43" x14ac:dyDescent="0.2">
      <c r="A452" s="152" t="str">
        <f>Packages!B13</f>
        <v>PMRS</v>
      </c>
      <c r="B452" s="65">
        <f>Packages!C13</f>
        <v>0</v>
      </c>
      <c r="C452" s="65">
        <f>Packages!D13</f>
        <v>0</v>
      </c>
      <c r="D452" s="65">
        <f>Packages!E13</f>
        <v>0</v>
      </c>
      <c r="E452" s="65">
        <f>Packages!F13</f>
        <v>0</v>
      </c>
      <c r="F452" s="65">
        <f>Packages!G13</f>
        <v>0</v>
      </c>
      <c r="G452" s="65">
        <f>Packages!H13</f>
        <v>0</v>
      </c>
      <c r="H452" s="65">
        <f>Packages!I13</f>
        <v>0</v>
      </c>
      <c r="I452" s="65">
        <f>Packages!J13</f>
        <v>0</v>
      </c>
      <c r="J452" s="65">
        <f>Packages!K13</f>
        <v>0</v>
      </c>
      <c r="K452" s="65">
        <f>Packages!L13</f>
        <v>0</v>
      </c>
      <c r="L452" s="65">
        <f>Packages!M13</f>
        <v>0</v>
      </c>
      <c r="M452" s="65">
        <f>Packages!N13</f>
        <v>0</v>
      </c>
      <c r="N452" s="65">
        <f>Packages!O13</f>
        <v>0</v>
      </c>
      <c r="O452" s="65">
        <f>Packages!P13</f>
        <v>0</v>
      </c>
      <c r="P452" s="65">
        <f>Packages!Q13</f>
        <v>0</v>
      </c>
      <c r="Q452" s="65">
        <f>Packages!R13</f>
        <v>0</v>
      </c>
      <c r="R452" s="65">
        <f>Packages!S13</f>
        <v>0</v>
      </c>
      <c r="S452" s="65">
        <f>Packages!T13</f>
        <v>0</v>
      </c>
      <c r="T452" s="65">
        <f>Packages!U13</f>
        <v>0</v>
      </c>
      <c r="U452" s="65">
        <f>Packages!V13</f>
        <v>0</v>
      </c>
      <c r="V452" s="65">
        <f>Packages!W13</f>
        <v>0</v>
      </c>
      <c r="W452" s="65">
        <f>Packages!X13</f>
        <v>0</v>
      </c>
      <c r="X452" s="65">
        <f>Packages!Y13</f>
        <v>0</v>
      </c>
      <c r="Y452" s="65">
        <f>Packages!Z13</f>
        <v>0</v>
      </c>
      <c r="Z452" s="65">
        <f>Packages!AA13</f>
        <v>0</v>
      </c>
      <c r="AA452" s="65">
        <f>Packages!AB13</f>
        <v>0</v>
      </c>
      <c r="AB452" s="65">
        <f>Packages!AC13</f>
        <v>0</v>
      </c>
      <c r="AC452" s="65">
        <f>Packages!AD13</f>
        <v>0</v>
      </c>
      <c r="AD452" s="65">
        <f>Packages!AE13</f>
        <v>0</v>
      </c>
      <c r="AE452" s="65">
        <f>Packages!AF13</f>
        <v>0</v>
      </c>
      <c r="AF452" s="65">
        <f>Packages!AG13</f>
        <v>0</v>
      </c>
      <c r="AG452" s="65">
        <f>Packages!AH13</f>
        <v>0</v>
      </c>
      <c r="AH452" s="65">
        <f>Packages!AI13</f>
        <v>0</v>
      </c>
      <c r="AI452" s="65">
        <f>Packages!AJ13</f>
        <v>0</v>
      </c>
      <c r="AJ452" s="65">
        <f>Packages!AK13</f>
        <v>0</v>
      </c>
      <c r="AK452" s="65">
        <f>Packages!AL13</f>
        <v>0</v>
      </c>
      <c r="AL452" s="65">
        <f>Packages!AM13</f>
        <v>0</v>
      </c>
      <c r="AM452" s="65">
        <f>Packages!AN13</f>
        <v>0</v>
      </c>
      <c r="AN452" s="65">
        <f>Packages!AO13</f>
        <v>0</v>
      </c>
      <c r="AO452" s="65">
        <f>Packages!AP13</f>
        <v>0</v>
      </c>
      <c r="AP452" s="65">
        <f>Packages!AQ13</f>
        <v>0</v>
      </c>
      <c r="AQ452" s="68"/>
    </row>
    <row r="453" spans="1:43" x14ac:dyDescent="0.2">
      <c r="A453" s="152" t="str">
        <f>Packages!B14</f>
        <v>PMRS</v>
      </c>
      <c r="B453" s="65">
        <f>Packages!C14</f>
        <v>0</v>
      </c>
      <c r="C453" s="65">
        <f>Packages!D14</f>
        <v>0</v>
      </c>
      <c r="D453" s="65">
        <f>Packages!E14</f>
        <v>0</v>
      </c>
      <c r="E453" s="65">
        <f>Packages!F14</f>
        <v>0</v>
      </c>
      <c r="F453" s="65">
        <f>Packages!G14</f>
        <v>0</v>
      </c>
      <c r="G453" s="65">
        <f>Packages!H14</f>
        <v>0</v>
      </c>
      <c r="H453" s="65">
        <f>Packages!I14</f>
        <v>0</v>
      </c>
      <c r="I453" s="65">
        <f>Packages!J14</f>
        <v>0</v>
      </c>
      <c r="J453" s="65">
        <f>Packages!K14</f>
        <v>0</v>
      </c>
      <c r="K453" s="65">
        <f>Packages!L14</f>
        <v>0</v>
      </c>
      <c r="L453" s="65">
        <f>Packages!M14</f>
        <v>0</v>
      </c>
      <c r="M453" s="65">
        <f>Packages!N14</f>
        <v>0</v>
      </c>
      <c r="N453" s="65">
        <f>Packages!O14</f>
        <v>0</v>
      </c>
      <c r="O453" s="65">
        <f>Packages!P14</f>
        <v>0</v>
      </c>
      <c r="P453" s="65">
        <f>Packages!Q14</f>
        <v>0</v>
      </c>
      <c r="Q453" s="65">
        <f>Packages!R14</f>
        <v>0</v>
      </c>
      <c r="R453" s="65">
        <f>Packages!S14</f>
        <v>0</v>
      </c>
      <c r="S453" s="65">
        <f>Packages!T14</f>
        <v>0</v>
      </c>
      <c r="T453" s="65">
        <f>Packages!U14</f>
        <v>0</v>
      </c>
      <c r="U453" s="65">
        <f>Packages!V14</f>
        <v>0</v>
      </c>
      <c r="V453" s="65">
        <f>Packages!W14</f>
        <v>0</v>
      </c>
      <c r="W453" s="65">
        <f>Packages!X14</f>
        <v>0</v>
      </c>
      <c r="X453" s="65">
        <f>Packages!Y14</f>
        <v>0</v>
      </c>
      <c r="Y453" s="65">
        <f>Packages!Z14</f>
        <v>0</v>
      </c>
      <c r="Z453" s="65">
        <f>Packages!AA14</f>
        <v>0</v>
      </c>
      <c r="AA453" s="65">
        <f>Packages!AB14</f>
        <v>0</v>
      </c>
      <c r="AB453" s="65">
        <f>Packages!AC14</f>
        <v>0</v>
      </c>
      <c r="AC453" s="65">
        <f>Packages!AD14</f>
        <v>0</v>
      </c>
      <c r="AD453" s="65">
        <f>Packages!AE14</f>
        <v>0</v>
      </c>
      <c r="AE453" s="65">
        <f>Packages!AF14</f>
        <v>0</v>
      </c>
      <c r="AF453" s="65">
        <f>Packages!AG14</f>
        <v>0</v>
      </c>
      <c r="AG453" s="65">
        <f>Packages!AH14</f>
        <v>0</v>
      </c>
      <c r="AH453" s="65">
        <f>Packages!AI14</f>
        <v>0</v>
      </c>
      <c r="AI453" s="65">
        <f>Packages!AJ14</f>
        <v>0</v>
      </c>
      <c r="AJ453" s="65">
        <f>Packages!AK14</f>
        <v>0</v>
      </c>
      <c r="AK453" s="65">
        <f>Packages!AL14</f>
        <v>0</v>
      </c>
      <c r="AL453" s="65">
        <f>Packages!AM14</f>
        <v>0</v>
      </c>
      <c r="AM453" s="65">
        <f>Packages!AN14</f>
        <v>0</v>
      </c>
      <c r="AN453" s="65">
        <f>Packages!AO14</f>
        <v>0</v>
      </c>
      <c r="AO453" s="65">
        <f>Packages!AP14</f>
        <v>0</v>
      </c>
      <c r="AP453" s="65">
        <f>Packages!AQ14</f>
        <v>0</v>
      </c>
      <c r="AQ453" s="68"/>
    </row>
    <row r="454" spans="1:43" x14ac:dyDescent="0.2">
      <c r="A454" s="152">
        <f>Packages!B15</f>
        <v>0</v>
      </c>
      <c r="B454" s="65">
        <f>Packages!C15</f>
        <v>0</v>
      </c>
      <c r="C454" s="65">
        <f>Packages!D15</f>
        <v>0</v>
      </c>
      <c r="D454" s="65">
        <f>Packages!E15</f>
        <v>0</v>
      </c>
      <c r="E454" s="65">
        <f>Packages!F15</f>
        <v>0</v>
      </c>
      <c r="F454" s="65">
        <f>Packages!G15</f>
        <v>0</v>
      </c>
      <c r="G454" s="65">
        <f>Packages!H15</f>
        <v>0</v>
      </c>
      <c r="H454" s="65">
        <f>Packages!I15</f>
        <v>0</v>
      </c>
      <c r="I454" s="65">
        <f>Packages!J15</f>
        <v>0</v>
      </c>
      <c r="J454" s="65">
        <f>Packages!K15</f>
        <v>0</v>
      </c>
      <c r="K454" s="65">
        <f>Packages!L15</f>
        <v>0</v>
      </c>
      <c r="L454" s="65">
        <f>Packages!M15</f>
        <v>0</v>
      </c>
      <c r="M454" s="65">
        <f>Packages!N15</f>
        <v>0</v>
      </c>
      <c r="N454" s="65">
        <f>Packages!O15</f>
        <v>0</v>
      </c>
      <c r="O454" s="65">
        <f>Packages!P15</f>
        <v>0</v>
      </c>
      <c r="P454" s="65">
        <f>Packages!Q15</f>
        <v>0</v>
      </c>
      <c r="Q454" s="65">
        <f>Packages!R15</f>
        <v>0</v>
      </c>
      <c r="R454" s="65">
        <f>Packages!S15</f>
        <v>0</v>
      </c>
      <c r="S454" s="65">
        <f>Packages!T15</f>
        <v>0</v>
      </c>
      <c r="T454" s="65">
        <f>Packages!U15</f>
        <v>0</v>
      </c>
      <c r="U454" s="65">
        <f>Packages!V15</f>
        <v>0</v>
      </c>
      <c r="V454" s="65">
        <f>Packages!W15</f>
        <v>0</v>
      </c>
      <c r="W454" s="65">
        <f>Packages!X15</f>
        <v>0</v>
      </c>
      <c r="X454" s="65">
        <f>Packages!Y15</f>
        <v>0</v>
      </c>
      <c r="Y454" s="65">
        <f>Packages!Z15</f>
        <v>0</v>
      </c>
      <c r="Z454" s="65">
        <f>Packages!AA15</f>
        <v>0</v>
      </c>
      <c r="AA454" s="65">
        <f>Packages!AB15</f>
        <v>0</v>
      </c>
      <c r="AB454" s="65">
        <f>Packages!AC15</f>
        <v>0</v>
      </c>
      <c r="AC454" s="65">
        <f>Packages!AD15</f>
        <v>0</v>
      </c>
      <c r="AD454" s="65">
        <f>Packages!AE15</f>
        <v>0</v>
      </c>
      <c r="AE454" s="65">
        <f>Packages!AF15</f>
        <v>0</v>
      </c>
      <c r="AF454" s="65">
        <f>Packages!AG15</f>
        <v>0</v>
      </c>
      <c r="AG454" s="65">
        <f>Packages!AH15</f>
        <v>0</v>
      </c>
      <c r="AH454" s="65">
        <f>Packages!AI15</f>
        <v>0</v>
      </c>
      <c r="AI454" s="65">
        <f>Packages!AJ15</f>
        <v>0</v>
      </c>
      <c r="AJ454" s="65">
        <f>Packages!AK15</f>
        <v>0</v>
      </c>
      <c r="AK454" s="65">
        <f>Packages!AL15</f>
        <v>0</v>
      </c>
      <c r="AL454" s="65">
        <f>Packages!AM15</f>
        <v>0</v>
      </c>
      <c r="AM454" s="65">
        <f>Packages!AN15</f>
        <v>0</v>
      </c>
      <c r="AN454" s="65">
        <f>Packages!AO15</f>
        <v>0</v>
      </c>
      <c r="AO454" s="65">
        <f>Packages!AP15</f>
        <v>0</v>
      </c>
      <c r="AP454" s="65">
        <f>Packages!AQ15</f>
        <v>0</v>
      </c>
      <c r="AQ454" s="68"/>
    </row>
    <row r="455" spans="1:43" x14ac:dyDescent="0.2">
      <c r="A455" s="152">
        <f>Packages!B16</f>
        <v>0</v>
      </c>
      <c r="B455" s="65">
        <f>Packages!C16</f>
        <v>0</v>
      </c>
      <c r="C455" s="65">
        <f>Packages!D16</f>
        <v>0</v>
      </c>
      <c r="D455" s="65">
        <f>Packages!E16</f>
        <v>0</v>
      </c>
      <c r="E455" s="65">
        <f>Packages!F16</f>
        <v>0</v>
      </c>
      <c r="F455" s="65">
        <f>Packages!G16</f>
        <v>0</v>
      </c>
      <c r="G455" s="65">
        <f>Packages!H16</f>
        <v>0</v>
      </c>
      <c r="H455" s="65">
        <f>Packages!I16</f>
        <v>0</v>
      </c>
      <c r="I455" s="65">
        <f>Packages!J16</f>
        <v>0</v>
      </c>
      <c r="J455" s="65">
        <f>Packages!K16</f>
        <v>0</v>
      </c>
      <c r="K455" s="65">
        <f>Packages!L16</f>
        <v>0</v>
      </c>
      <c r="L455" s="65">
        <f>Packages!M16</f>
        <v>0</v>
      </c>
      <c r="M455" s="65">
        <f>Packages!N16</f>
        <v>0</v>
      </c>
      <c r="N455" s="65">
        <f>Packages!O16</f>
        <v>0</v>
      </c>
      <c r="O455" s="65">
        <f>Packages!P16</f>
        <v>0</v>
      </c>
      <c r="P455" s="65">
        <f>Packages!Q16</f>
        <v>0</v>
      </c>
      <c r="Q455" s="65">
        <f>Packages!R16</f>
        <v>0</v>
      </c>
      <c r="R455" s="65">
        <f>Packages!S16</f>
        <v>0</v>
      </c>
      <c r="S455" s="65">
        <f>Packages!T16</f>
        <v>0</v>
      </c>
      <c r="T455" s="65">
        <f>Packages!U16</f>
        <v>0</v>
      </c>
      <c r="U455" s="65">
        <f>Packages!V16</f>
        <v>0</v>
      </c>
      <c r="V455" s="65">
        <f>Packages!W16</f>
        <v>0</v>
      </c>
      <c r="W455" s="65">
        <f>Packages!X16</f>
        <v>0</v>
      </c>
      <c r="X455" s="65">
        <f>Packages!Y16</f>
        <v>0</v>
      </c>
      <c r="Y455" s="65">
        <f>Packages!Z16</f>
        <v>0</v>
      </c>
      <c r="Z455" s="65">
        <f>Packages!AA16</f>
        <v>0</v>
      </c>
      <c r="AA455" s="65">
        <f>Packages!AB16</f>
        <v>0</v>
      </c>
      <c r="AB455" s="65">
        <f>Packages!AC16</f>
        <v>0</v>
      </c>
      <c r="AC455" s="65">
        <f>Packages!AD16</f>
        <v>0</v>
      </c>
      <c r="AD455" s="65">
        <f>Packages!AE16</f>
        <v>0</v>
      </c>
      <c r="AE455" s="65">
        <f>Packages!AF16</f>
        <v>0</v>
      </c>
      <c r="AF455" s="65">
        <f>Packages!AG16</f>
        <v>0</v>
      </c>
      <c r="AG455" s="65">
        <f>Packages!AH16</f>
        <v>0</v>
      </c>
      <c r="AH455" s="65">
        <f>Packages!AI16</f>
        <v>0</v>
      </c>
      <c r="AI455" s="65">
        <f>Packages!AJ16</f>
        <v>0</v>
      </c>
      <c r="AJ455" s="65">
        <f>Packages!AK16</f>
        <v>0</v>
      </c>
      <c r="AK455" s="65">
        <f>Packages!AL16</f>
        <v>0</v>
      </c>
      <c r="AL455" s="65">
        <f>Packages!AM16</f>
        <v>0</v>
      </c>
      <c r="AM455" s="65">
        <f>Packages!AN16</f>
        <v>0</v>
      </c>
      <c r="AN455" s="65">
        <f>Packages!AO16</f>
        <v>0</v>
      </c>
      <c r="AO455" s="65">
        <f>Packages!AP16</f>
        <v>0</v>
      </c>
      <c r="AP455" s="65">
        <f>Packages!AQ16</f>
        <v>0</v>
      </c>
      <c r="AQ455" s="68"/>
    </row>
    <row r="456" spans="1:43" x14ac:dyDescent="0.2">
      <c r="A456" s="152">
        <f>Packages!B17</f>
        <v>0</v>
      </c>
      <c r="B456" s="65">
        <f>Packages!C17</f>
        <v>0</v>
      </c>
      <c r="C456" s="65">
        <f>Packages!D17</f>
        <v>0</v>
      </c>
      <c r="D456" s="65">
        <f>Packages!E17</f>
        <v>0</v>
      </c>
      <c r="E456" s="65">
        <f>Packages!F17</f>
        <v>0</v>
      </c>
      <c r="F456" s="65">
        <f>Packages!G17</f>
        <v>0</v>
      </c>
      <c r="G456" s="65">
        <f>Packages!H17</f>
        <v>0</v>
      </c>
      <c r="H456" s="65">
        <f>Packages!I17</f>
        <v>0</v>
      </c>
      <c r="I456" s="65">
        <f>Packages!J17</f>
        <v>0</v>
      </c>
      <c r="J456" s="65">
        <f>Packages!K17</f>
        <v>0</v>
      </c>
      <c r="K456" s="65">
        <f>Packages!L17</f>
        <v>0</v>
      </c>
      <c r="L456" s="65">
        <f>Packages!M17</f>
        <v>0</v>
      </c>
      <c r="M456" s="65">
        <f>Packages!N17</f>
        <v>0</v>
      </c>
      <c r="N456" s="65">
        <f>Packages!O17</f>
        <v>0</v>
      </c>
      <c r="O456" s="65">
        <f>Packages!P17</f>
        <v>0</v>
      </c>
      <c r="P456" s="65">
        <f>Packages!Q17</f>
        <v>0</v>
      </c>
      <c r="Q456" s="65">
        <f>Packages!R17</f>
        <v>0</v>
      </c>
      <c r="R456" s="65">
        <f>Packages!S17</f>
        <v>0</v>
      </c>
      <c r="S456" s="65">
        <f>Packages!T17</f>
        <v>0</v>
      </c>
      <c r="T456" s="65">
        <f>Packages!U17</f>
        <v>0</v>
      </c>
      <c r="U456" s="65">
        <f>Packages!V17</f>
        <v>0</v>
      </c>
      <c r="V456" s="65">
        <f>Packages!W17</f>
        <v>0</v>
      </c>
      <c r="W456" s="65">
        <f>Packages!X17</f>
        <v>0</v>
      </c>
      <c r="X456" s="65">
        <f>Packages!Y17</f>
        <v>0</v>
      </c>
      <c r="Y456" s="65">
        <f>Packages!Z17</f>
        <v>0</v>
      </c>
      <c r="Z456" s="65">
        <f>Packages!AA17</f>
        <v>0</v>
      </c>
      <c r="AA456" s="65">
        <f>Packages!AB17</f>
        <v>0</v>
      </c>
      <c r="AB456" s="65">
        <f>Packages!AC17</f>
        <v>0</v>
      </c>
      <c r="AC456" s="65">
        <f>Packages!AD17</f>
        <v>0</v>
      </c>
      <c r="AD456" s="65">
        <f>Packages!AE17</f>
        <v>0</v>
      </c>
      <c r="AE456" s="65">
        <f>Packages!AF17</f>
        <v>0</v>
      </c>
      <c r="AF456" s="65">
        <f>Packages!AG17</f>
        <v>0</v>
      </c>
      <c r="AG456" s="65">
        <f>Packages!AH17</f>
        <v>0</v>
      </c>
      <c r="AH456" s="65">
        <f>Packages!AI17</f>
        <v>0</v>
      </c>
      <c r="AI456" s="65">
        <f>Packages!AJ17</f>
        <v>0</v>
      </c>
      <c r="AJ456" s="65">
        <f>Packages!AK17</f>
        <v>0</v>
      </c>
      <c r="AK456" s="65">
        <f>Packages!AL17</f>
        <v>0</v>
      </c>
      <c r="AL456" s="65">
        <f>Packages!AM17</f>
        <v>0</v>
      </c>
      <c r="AM456" s="65">
        <f>Packages!AN17</f>
        <v>0</v>
      </c>
      <c r="AN456" s="65">
        <f>Packages!AO17</f>
        <v>0</v>
      </c>
      <c r="AO456" s="65">
        <f>Packages!AP17</f>
        <v>0</v>
      </c>
      <c r="AP456" s="65">
        <f>Packages!AQ17</f>
        <v>0</v>
      </c>
      <c r="AQ456" s="68"/>
    </row>
    <row r="457" spans="1:43" x14ac:dyDescent="0.2">
      <c r="A457" s="152">
        <f>Packages!B18</f>
        <v>0</v>
      </c>
      <c r="B457" s="65">
        <f>Packages!C18</f>
        <v>0</v>
      </c>
      <c r="C457" s="65">
        <f>Packages!D18</f>
        <v>0</v>
      </c>
      <c r="D457" s="65">
        <f>Packages!E18</f>
        <v>0</v>
      </c>
      <c r="E457" s="65">
        <f>Packages!F18</f>
        <v>0</v>
      </c>
      <c r="F457" s="65">
        <f>Packages!G18</f>
        <v>0</v>
      </c>
      <c r="G457" s="65">
        <f>Packages!H18</f>
        <v>0</v>
      </c>
      <c r="H457" s="65">
        <f>Packages!I18</f>
        <v>0</v>
      </c>
      <c r="I457" s="65">
        <f>Packages!J18</f>
        <v>0</v>
      </c>
      <c r="J457" s="65">
        <f>Packages!K18</f>
        <v>0</v>
      </c>
      <c r="K457" s="65">
        <f>Packages!L18</f>
        <v>0</v>
      </c>
      <c r="L457" s="65">
        <f>Packages!M18</f>
        <v>0</v>
      </c>
      <c r="M457" s="65">
        <f>Packages!N18</f>
        <v>0</v>
      </c>
      <c r="N457" s="65">
        <f>Packages!O18</f>
        <v>0</v>
      </c>
      <c r="O457" s="65">
        <f>Packages!P18</f>
        <v>0</v>
      </c>
      <c r="P457" s="65">
        <f>Packages!Q18</f>
        <v>0</v>
      </c>
      <c r="Q457" s="65">
        <f>Packages!R18</f>
        <v>0</v>
      </c>
      <c r="R457" s="65">
        <f>Packages!S18</f>
        <v>0</v>
      </c>
      <c r="S457" s="65">
        <f>Packages!T18</f>
        <v>0</v>
      </c>
      <c r="T457" s="65">
        <f>Packages!U18</f>
        <v>0</v>
      </c>
      <c r="U457" s="65">
        <f>Packages!V18</f>
        <v>0</v>
      </c>
      <c r="V457" s="65">
        <f>Packages!W18</f>
        <v>0</v>
      </c>
      <c r="W457" s="65">
        <f>Packages!X18</f>
        <v>0</v>
      </c>
      <c r="X457" s="65">
        <f>Packages!Y18</f>
        <v>0</v>
      </c>
      <c r="Y457" s="65">
        <f>Packages!Z18</f>
        <v>0</v>
      </c>
      <c r="Z457" s="65">
        <f>Packages!AA18</f>
        <v>0</v>
      </c>
      <c r="AA457" s="65">
        <f>Packages!AB18</f>
        <v>0</v>
      </c>
      <c r="AB457" s="65">
        <f>Packages!AC18</f>
        <v>0</v>
      </c>
      <c r="AC457" s="65">
        <f>Packages!AD18</f>
        <v>0</v>
      </c>
      <c r="AD457" s="65">
        <f>Packages!AE18</f>
        <v>0</v>
      </c>
      <c r="AE457" s="65">
        <f>Packages!AF18</f>
        <v>0</v>
      </c>
      <c r="AF457" s="65">
        <f>Packages!AG18</f>
        <v>0</v>
      </c>
      <c r="AG457" s="65">
        <f>Packages!AH18</f>
        <v>0</v>
      </c>
      <c r="AH457" s="65">
        <f>Packages!AI18</f>
        <v>0</v>
      </c>
      <c r="AI457" s="65">
        <f>Packages!AJ18</f>
        <v>0</v>
      </c>
      <c r="AJ457" s="65">
        <f>Packages!AK18</f>
        <v>0</v>
      </c>
      <c r="AK457" s="65">
        <f>Packages!AL18</f>
        <v>0</v>
      </c>
      <c r="AL457" s="65">
        <f>Packages!AM18</f>
        <v>0</v>
      </c>
      <c r="AM457" s="65">
        <f>Packages!AN18</f>
        <v>0</v>
      </c>
      <c r="AN457" s="65">
        <f>Packages!AO18</f>
        <v>0</v>
      </c>
      <c r="AO457" s="65">
        <f>Packages!AP18</f>
        <v>0</v>
      </c>
      <c r="AP457" s="65">
        <f>Packages!AQ18</f>
        <v>0</v>
      </c>
      <c r="AQ457" s="68"/>
    </row>
    <row r="458" spans="1:43" x14ac:dyDescent="0.2">
      <c r="A458" s="152">
        <f>Packages!B19</f>
        <v>0</v>
      </c>
      <c r="B458" s="65">
        <f>Packages!C19</f>
        <v>0</v>
      </c>
      <c r="C458" s="65">
        <f>Packages!D19</f>
        <v>0</v>
      </c>
      <c r="D458" s="65">
        <f>Packages!E19</f>
        <v>0</v>
      </c>
      <c r="E458" s="65">
        <f>Packages!F19</f>
        <v>0</v>
      </c>
      <c r="F458" s="65">
        <f>Packages!G19</f>
        <v>0</v>
      </c>
      <c r="G458" s="65">
        <f>Packages!H19</f>
        <v>0</v>
      </c>
      <c r="H458" s="65">
        <f>Packages!I19</f>
        <v>0</v>
      </c>
      <c r="I458" s="65">
        <f>Packages!J19</f>
        <v>0</v>
      </c>
      <c r="J458" s="65">
        <f>Packages!K19</f>
        <v>0</v>
      </c>
      <c r="K458" s="65">
        <f>Packages!L19</f>
        <v>0</v>
      </c>
      <c r="L458" s="65">
        <f>Packages!M19</f>
        <v>0</v>
      </c>
      <c r="M458" s="65">
        <f>Packages!N19</f>
        <v>0</v>
      </c>
      <c r="N458" s="65">
        <f>Packages!O19</f>
        <v>0</v>
      </c>
      <c r="O458" s="65">
        <f>Packages!P19</f>
        <v>0</v>
      </c>
      <c r="P458" s="65">
        <f>Packages!Q19</f>
        <v>0</v>
      </c>
      <c r="Q458" s="65">
        <f>Packages!R19</f>
        <v>0</v>
      </c>
      <c r="R458" s="65">
        <f>Packages!S19</f>
        <v>0</v>
      </c>
      <c r="S458" s="65">
        <f>Packages!T19</f>
        <v>0</v>
      </c>
      <c r="T458" s="65">
        <f>Packages!U19</f>
        <v>0</v>
      </c>
      <c r="U458" s="65">
        <f>Packages!V19</f>
        <v>0</v>
      </c>
      <c r="V458" s="65">
        <f>Packages!W19</f>
        <v>0</v>
      </c>
      <c r="W458" s="65">
        <f>Packages!X19</f>
        <v>0</v>
      </c>
      <c r="X458" s="65">
        <f>Packages!Y19</f>
        <v>0</v>
      </c>
      <c r="Y458" s="65">
        <f>Packages!Z19</f>
        <v>0</v>
      </c>
      <c r="Z458" s="65">
        <f>Packages!AA19</f>
        <v>0</v>
      </c>
      <c r="AA458" s="65">
        <f>Packages!AB19</f>
        <v>0</v>
      </c>
      <c r="AB458" s="65">
        <f>Packages!AC19</f>
        <v>0</v>
      </c>
      <c r="AC458" s="65">
        <f>Packages!AD19</f>
        <v>0</v>
      </c>
      <c r="AD458" s="65">
        <f>Packages!AE19</f>
        <v>0</v>
      </c>
      <c r="AE458" s="65">
        <f>Packages!AF19</f>
        <v>0</v>
      </c>
      <c r="AF458" s="65">
        <f>Packages!AG19</f>
        <v>0</v>
      </c>
      <c r="AG458" s="65">
        <f>Packages!AH19</f>
        <v>0</v>
      </c>
      <c r="AH458" s="65">
        <f>Packages!AI19</f>
        <v>0</v>
      </c>
      <c r="AI458" s="65">
        <f>Packages!AJ19</f>
        <v>0</v>
      </c>
      <c r="AJ458" s="65">
        <f>Packages!AK19</f>
        <v>0</v>
      </c>
      <c r="AK458" s="65">
        <f>Packages!AL19</f>
        <v>0</v>
      </c>
      <c r="AL458" s="65">
        <f>Packages!AM19</f>
        <v>0</v>
      </c>
      <c r="AM458" s="65">
        <f>Packages!AN19</f>
        <v>0</v>
      </c>
      <c r="AN458" s="65">
        <f>Packages!AO19</f>
        <v>0</v>
      </c>
      <c r="AO458" s="65">
        <f>Packages!AP19</f>
        <v>0</v>
      </c>
      <c r="AP458" s="65">
        <f>Packages!AQ19</f>
        <v>0</v>
      </c>
      <c r="AQ458" s="68"/>
    </row>
    <row r="459" spans="1:43" x14ac:dyDescent="0.2">
      <c r="A459" s="152">
        <f>Packages!B20</f>
        <v>0</v>
      </c>
      <c r="B459" s="65">
        <f>Packages!C20</f>
        <v>0</v>
      </c>
      <c r="C459" s="65">
        <f>Packages!D20</f>
        <v>0</v>
      </c>
      <c r="D459" s="65">
        <f>Packages!E20</f>
        <v>0</v>
      </c>
      <c r="E459" s="65">
        <f>Packages!F20</f>
        <v>0</v>
      </c>
      <c r="F459" s="65">
        <f>Packages!G20</f>
        <v>0</v>
      </c>
      <c r="G459" s="65">
        <f>Packages!H20</f>
        <v>0</v>
      </c>
      <c r="H459" s="65">
        <f>Packages!I20</f>
        <v>0</v>
      </c>
      <c r="I459" s="65">
        <f>Packages!J20</f>
        <v>0</v>
      </c>
      <c r="J459" s="65">
        <f>Packages!K20</f>
        <v>0</v>
      </c>
      <c r="K459" s="65">
        <f>Packages!L20</f>
        <v>0</v>
      </c>
      <c r="L459" s="65">
        <f>Packages!M20</f>
        <v>0</v>
      </c>
      <c r="M459" s="65">
        <f>Packages!N20</f>
        <v>0</v>
      </c>
      <c r="N459" s="65">
        <f>Packages!O20</f>
        <v>0</v>
      </c>
      <c r="O459" s="65">
        <f>Packages!P20</f>
        <v>0</v>
      </c>
      <c r="P459" s="65">
        <f>Packages!Q20</f>
        <v>0</v>
      </c>
      <c r="Q459" s="65">
        <f>Packages!R20</f>
        <v>0</v>
      </c>
      <c r="R459" s="65">
        <f>Packages!S20</f>
        <v>0</v>
      </c>
      <c r="S459" s="65">
        <f>Packages!T20</f>
        <v>0</v>
      </c>
      <c r="T459" s="65">
        <f>Packages!U20</f>
        <v>0</v>
      </c>
      <c r="U459" s="65">
        <f>Packages!V20</f>
        <v>0</v>
      </c>
      <c r="V459" s="65">
        <f>Packages!W20</f>
        <v>0</v>
      </c>
      <c r="W459" s="65">
        <f>Packages!X20</f>
        <v>0</v>
      </c>
      <c r="X459" s="65">
        <f>Packages!Y20</f>
        <v>0</v>
      </c>
      <c r="Y459" s="65">
        <f>Packages!Z20</f>
        <v>0</v>
      </c>
      <c r="Z459" s="65">
        <f>Packages!AA20</f>
        <v>0</v>
      </c>
      <c r="AA459" s="65">
        <f>Packages!AB20</f>
        <v>0</v>
      </c>
      <c r="AB459" s="65">
        <f>Packages!AC20</f>
        <v>0</v>
      </c>
      <c r="AC459" s="65">
        <f>Packages!AD20</f>
        <v>0</v>
      </c>
      <c r="AD459" s="65">
        <f>Packages!AE20</f>
        <v>0</v>
      </c>
      <c r="AE459" s="65">
        <f>Packages!AF20</f>
        <v>0</v>
      </c>
      <c r="AF459" s="65">
        <f>Packages!AG20</f>
        <v>0</v>
      </c>
      <c r="AG459" s="65">
        <f>Packages!AH20</f>
        <v>0</v>
      </c>
      <c r="AH459" s="65">
        <f>Packages!AI20</f>
        <v>0</v>
      </c>
      <c r="AI459" s="65">
        <f>Packages!AJ20</f>
        <v>0</v>
      </c>
      <c r="AJ459" s="65">
        <f>Packages!AK20</f>
        <v>0</v>
      </c>
      <c r="AK459" s="65">
        <f>Packages!AL20</f>
        <v>0</v>
      </c>
      <c r="AL459" s="65">
        <f>Packages!AM20</f>
        <v>0</v>
      </c>
      <c r="AM459" s="65">
        <f>Packages!AN20</f>
        <v>0</v>
      </c>
      <c r="AN459" s="65">
        <f>Packages!AO20</f>
        <v>0</v>
      </c>
      <c r="AO459" s="65">
        <f>Packages!AP20</f>
        <v>0</v>
      </c>
      <c r="AP459" s="65">
        <f>Packages!AQ20</f>
        <v>0</v>
      </c>
      <c r="AQ459" s="68"/>
    </row>
    <row r="460" spans="1:43" x14ac:dyDescent="0.2">
      <c r="A460" s="152">
        <f>Packages!B21</f>
        <v>0</v>
      </c>
      <c r="B460" s="65">
        <f>Packages!C21</f>
        <v>0</v>
      </c>
      <c r="C460" s="65">
        <f>Packages!D21</f>
        <v>0</v>
      </c>
      <c r="D460" s="65">
        <f>Packages!E21</f>
        <v>0</v>
      </c>
      <c r="E460" s="65">
        <f>Packages!F21</f>
        <v>0</v>
      </c>
      <c r="F460" s="65">
        <f>Packages!G21</f>
        <v>0</v>
      </c>
      <c r="G460" s="65">
        <f>Packages!H21</f>
        <v>0</v>
      </c>
      <c r="H460" s="65">
        <f>Packages!I21</f>
        <v>0</v>
      </c>
      <c r="I460" s="65">
        <f>Packages!J21</f>
        <v>0</v>
      </c>
      <c r="J460" s="65">
        <f>Packages!K21</f>
        <v>0</v>
      </c>
      <c r="K460" s="65">
        <f>Packages!L21</f>
        <v>0</v>
      </c>
      <c r="L460" s="65">
        <f>Packages!M21</f>
        <v>0</v>
      </c>
      <c r="M460" s="65">
        <f>Packages!N21</f>
        <v>0</v>
      </c>
      <c r="N460" s="65">
        <f>Packages!O21</f>
        <v>0</v>
      </c>
      <c r="O460" s="65">
        <f>Packages!P21</f>
        <v>0</v>
      </c>
      <c r="P460" s="65">
        <f>Packages!Q21</f>
        <v>0</v>
      </c>
      <c r="Q460" s="65">
        <f>Packages!R21</f>
        <v>0</v>
      </c>
      <c r="R460" s="65">
        <f>Packages!S21</f>
        <v>0</v>
      </c>
      <c r="S460" s="65">
        <f>Packages!T21</f>
        <v>0</v>
      </c>
      <c r="T460" s="65">
        <f>Packages!U21</f>
        <v>0</v>
      </c>
      <c r="U460" s="65">
        <f>Packages!V21</f>
        <v>0</v>
      </c>
      <c r="V460" s="65">
        <f>Packages!W21</f>
        <v>0</v>
      </c>
      <c r="W460" s="65">
        <f>Packages!X21</f>
        <v>0</v>
      </c>
      <c r="X460" s="65">
        <f>Packages!Y21</f>
        <v>0</v>
      </c>
      <c r="Y460" s="65">
        <f>Packages!Z21</f>
        <v>0</v>
      </c>
      <c r="Z460" s="65">
        <f>Packages!AA21</f>
        <v>0</v>
      </c>
      <c r="AA460" s="65">
        <f>Packages!AB21</f>
        <v>0</v>
      </c>
      <c r="AB460" s="65">
        <f>Packages!AC21</f>
        <v>0</v>
      </c>
      <c r="AC460" s="65">
        <f>Packages!AD21</f>
        <v>0</v>
      </c>
      <c r="AD460" s="65">
        <f>Packages!AE21</f>
        <v>0</v>
      </c>
      <c r="AE460" s="65">
        <f>Packages!AF21</f>
        <v>0</v>
      </c>
      <c r="AF460" s="65">
        <f>Packages!AG21</f>
        <v>0</v>
      </c>
      <c r="AG460" s="65">
        <f>Packages!AH21</f>
        <v>0</v>
      </c>
      <c r="AH460" s="65">
        <f>Packages!AI21</f>
        <v>0</v>
      </c>
      <c r="AI460" s="65">
        <f>Packages!AJ21</f>
        <v>0</v>
      </c>
      <c r="AJ460" s="65">
        <f>Packages!AK21</f>
        <v>0</v>
      </c>
      <c r="AK460" s="65">
        <f>Packages!AL21</f>
        <v>0</v>
      </c>
      <c r="AL460" s="65">
        <f>Packages!AM21</f>
        <v>0</v>
      </c>
      <c r="AM460" s="65">
        <f>Packages!AN21</f>
        <v>0</v>
      </c>
      <c r="AN460" s="65">
        <f>Packages!AO21</f>
        <v>0</v>
      </c>
      <c r="AO460" s="65">
        <f>Packages!AP21</f>
        <v>0</v>
      </c>
      <c r="AP460" s="65">
        <f>Packages!AQ21</f>
        <v>0</v>
      </c>
      <c r="AQ460" s="68"/>
    </row>
    <row r="461" spans="1:43" x14ac:dyDescent="0.2">
      <c r="A461" s="152">
        <f>Packages!B22</f>
        <v>0</v>
      </c>
      <c r="B461" s="65">
        <f>Packages!C22</f>
        <v>0</v>
      </c>
      <c r="C461" s="65">
        <f>Packages!D22</f>
        <v>0</v>
      </c>
      <c r="D461" s="65">
        <f>Packages!E22</f>
        <v>0</v>
      </c>
      <c r="E461" s="65">
        <f>Packages!F22</f>
        <v>0</v>
      </c>
      <c r="F461" s="65">
        <f>Packages!G22</f>
        <v>0</v>
      </c>
      <c r="G461" s="65">
        <f>Packages!H22</f>
        <v>0</v>
      </c>
      <c r="H461" s="65">
        <f>Packages!I22</f>
        <v>0</v>
      </c>
      <c r="I461" s="65">
        <f>Packages!J22</f>
        <v>0</v>
      </c>
      <c r="J461" s="65">
        <f>Packages!K22</f>
        <v>0</v>
      </c>
      <c r="K461" s="65">
        <f>Packages!L22</f>
        <v>0</v>
      </c>
      <c r="L461" s="65">
        <f>Packages!M22</f>
        <v>0</v>
      </c>
      <c r="M461" s="65">
        <f>Packages!N22</f>
        <v>0</v>
      </c>
      <c r="N461" s="65">
        <f>Packages!O22</f>
        <v>0</v>
      </c>
      <c r="O461" s="65">
        <f>Packages!P22</f>
        <v>0</v>
      </c>
      <c r="P461" s="65">
        <f>Packages!Q22</f>
        <v>0</v>
      </c>
      <c r="Q461" s="65">
        <f>Packages!R22</f>
        <v>0</v>
      </c>
      <c r="R461" s="65">
        <f>Packages!S22</f>
        <v>0</v>
      </c>
      <c r="S461" s="65">
        <f>Packages!T22</f>
        <v>0</v>
      </c>
      <c r="T461" s="65">
        <f>Packages!U22</f>
        <v>0</v>
      </c>
      <c r="U461" s="65">
        <f>Packages!V22</f>
        <v>0</v>
      </c>
      <c r="V461" s="65">
        <f>Packages!W22</f>
        <v>0</v>
      </c>
      <c r="W461" s="65">
        <f>Packages!X22</f>
        <v>0</v>
      </c>
      <c r="X461" s="65">
        <f>Packages!Y22</f>
        <v>0</v>
      </c>
      <c r="Y461" s="65">
        <f>Packages!Z22</f>
        <v>0</v>
      </c>
      <c r="Z461" s="65">
        <f>Packages!AA22</f>
        <v>0</v>
      </c>
      <c r="AA461" s="65">
        <f>Packages!AB22</f>
        <v>0</v>
      </c>
      <c r="AB461" s="65">
        <f>Packages!AC22</f>
        <v>0</v>
      </c>
      <c r="AC461" s="65">
        <f>Packages!AD22</f>
        <v>0</v>
      </c>
      <c r="AD461" s="65">
        <f>Packages!AE22</f>
        <v>0</v>
      </c>
      <c r="AE461" s="65">
        <f>Packages!AF22</f>
        <v>0</v>
      </c>
      <c r="AF461" s="65">
        <f>Packages!AG22</f>
        <v>0</v>
      </c>
      <c r="AG461" s="65">
        <f>Packages!AH22</f>
        <v>0</v>
      </c>
      <c r="AH461" s="65">
        <f>Packages!AI22</f>
        <v>0</v>
      </c>
      <c r="AI461" s="65">
        <f>Packages!AJ22</f>
        <v>0</v>
      </c>
      <c r="AJ461" s="65">
        <f>Packages!AK22</f>
        <v>0</v>
      </c>
      <c r="AK461" s="65">
        <f>Packages!AL22</f>
        <v>0</v>
      </c>
      <c r="AL461" s="65">
        <f>Packages!AM22</f>
        <v>0</v>
      </c>
      <c r="AM461" s="65">
        <f>Packages!AN22</f>
        <v>0</v>
      </c>
      <c r="AN461" s="65">
        <f>Packages!AO22</f>
        <v>0</v>
      </c>
      <c r="AO461" s="65">
        <f>Packages!AP22</f>
        <v>0</v>
      </c>
      <c r="AP461" s="65">
        <f>Packages!AQ22</f>
        <v>0</v>
      </c>
      <c r="AQ461" s="68"/>
    </row>
    <row r="462" spans="1:43" x14ac:dyDescent="0.2">
      <c r="A462" s="152">
        <f>Packages!B23</f>
        <v>0</v>
      </c>
      <c r="B462" s="65">
        <f>Packages!C23</f>
        <v>0</v>
      </c>
      <c r="C462" s="65">
        <f>Packages!D23</f>
        <v>0</v>
      </c>
      <c r="D462" s="65">
        <f>Packages!E23</f>
        <v>0</v>
      </c>
      <c r="E462" s="65">
        <f>Packages!F23</f>
        <v>0</v>
      </c>
      <c r="F462" s="65">
        <f>Packages!G23</f>
        <v>0</v>
      </c>
      <c r="G462" s="65">
        <f>Packages!H23</f>
        <v>0</v>
      </c>
      <c r="H462" s="65">
        <f>Packages!I23</f>
        <v>0</v>
      </c>
      <c r="I462" s="65">
        <f>Packages!J23</f>
        <v>0</v>
      </c>
      <c r="J462" s="65">
        <f>Packages!K23</f>
        <v>0</v>
      </c>
      <c r="K462" s="65">
        <f>Packages!L23</f>
        <v>0</v>
      </c>
      <c r="L462" s="65">
        <f>Packages!M23</f>
        <v>0</v>
      </c>
      <c r="M462" s="65">
        <f>Packages!N23</f>
        <v>0</v>
      </c>
      <c r="N462" s="65">
        <f>Packages!O23</f>
        <v>0</v>
      </c>
      <c r="O462" s="65">
        <f>Packages!P23</f>
        <v>0</v>
      </c>
      <c r="P462" s="65">
        <f>Packages!Q23</f>
        <v>0</v>
      </c>
      <c r="Q462" s="65">
        <f>Packages!R23</f>
        <v>0</v>
      </c>
      <c r="R462" s="65">
        <f>Packages!S23</f>
        <v>0</v>
      </c>
      <c r="S462" s="65">
        <f>Packages!T23</f>
        <v>0</v>
      </c>
      <c r="T462" s="65">
        <f>Packages!U23</f>
        <v>0</v>
      </c>
      <c r="U462" s="65">
        <f>Packages!V23</f>
        <v>0</v>
      </c>
      <c r="V462" s="65">
        <f>Packages!W23</f>
        <v>0</v>
      </c>
      <c r="W462" s="65">
        <f>Packages!X23</f>
        <v>0</v>
      </c>
      <c r="X462" s="65">
        <f>Packages!Y23</f>
        <v>0</v>
      </c>
      <c r="Y462" s="65">
        <f>Packages!Z23</f>
        <v>0</v>
      </c>
      <c r="Z462" s="65">
        <f>Packages!AA23</f>
        <v>0</v>
      </c>
      <c r="AA462" s="65">
        <f>Packages!AB23</f>
        <v>0</v>
      </c>
      <c r="AB462" s="65">
        <f>Packages!AC23</f>
        <v>0</v>
      </c>
      <c r="AC462" s="65">
        <f>Packages!AD23</f>
        <v>0</v>
      </c>
      <c r="AD462" s="65">
        <f>Packages!AE23</f>
        <v>0</v>
      </c>
      <c r="AE462" s="65">
        <f>Packages!AF23</f>
        <v>0</v>
      </c>
      <c r="AF462" s="65">
        <f>Packages!AG23</f>
        <v>0</v>
      </c>
      <c r="AG462" s="65">
        <f>Packages!AH23</f>
        <v>0</v>
      </c>
      <c r="AH462" s="65">
        <f>Packages!AI23</f>
        <v>0</v>
      </c>
      <c r="AI462" s="65">
        <f>Packages!AJ23</f>
        <v>0</v>
      </c>
      <c r="AJ462" s="65">
        <f>Packages!AK23</f>
        <v>0</v>
      </c>
      <c r="AK462" s="65">
        <f>Packages!AL23</f>
        <v>0</v>
      </c>
      <c r="AL462" s="65">
        <f>Packages!AM23</f>
        <v>0</v>
      </c>
      <c r="AM462" s="65">
        <f>Packages!AN23</f>
        <v>0</v>
      </c>
      <c r="AN462" s="65">
        <f>Packages!AO23</f>
        <v>0</v>
      </c>
      <c r="AO462" s="65">
        <f>Packages!AP23</f>
        <v>0</v>
      </c>
      <c r="AP462" s="65">
        <f>Packages!AQ23</f>
        <v>0</v>
      </c>
      <c r="AQ462" s="68"/>
    </row>
    <row r="463" spans="1:43" x14ac:dyDescent="0.2">
      <c r="A463" s="152">
        <f>Packages!B24</f>
        <v>0</v>
      </c>
      <c r="B463" s="65">
        <f>Packages!C24</f>
        <v>0</v>
      </c>
      <c r="C463" s="65">
        <f>Packages!D24</f>
        <v>0</v>
      </c>
      <c r="D463" s="65">
        <f>Packages!E24</f>
        <v>0</v>
      </c>
      <c r="E463" s="65">
        <f>Packages!F24</f>
        <v>0</v>
      </c>
      <c r="F463" s="65">
        <f>Packages!G24</f>
        <v>0</v>
      </c>
      <c r="G463" s="65">
        <f>Packages!H24</f>
        <v>0</v>
      </c>
      <c r="H463" s="65">
        <f>Packages!I24</f>
        <v>0</v>
      </c>
      <c r="I463" s="65">
        <f>Packages!J24</f>
        <v>0</v>
      </c>
      <c r="J463" s="65">
        <f>Packages!K24</f>
        <v>0</v>
      </c>
      <c r="K463" s="65">
        <f>Packages!L24</f>
        <v>0</v>
      </c>
      <c r="L463" s="65">
        <f>Packages!M24</f>
        <v>0</v>
      </c>
      <c r="M463" s="65">
        <f>Packages!N24</f>
        <v>0</v>
      </c>
      <c r="N463" s="65">
        <f>Packages!O24</f>
        <v>0</v>
      </c>
      <c r="O463" s="65">
        <f>Packages!P24</f>
        <v>0</v>
      </c>
      <c r="P463" s="65">
        <f>Packages!Q24</f>
        <v>0</v>
      </c>
      <c r="Q463" s="65">
        <f>Packages!R24</f>
        <v>0</v>
      </c>
      <c r="R463" s="65">
        <f>Packages!S24</f>
        <v>0</v>
      </c>
      <c r="S463" s="65">
        <f>Packages!T24</f>
        <v>0</v>
      </c>
      <c r="T463" s="65">
        <f>Packages!U24</f>
        <v>0</v>
      </c>
      <c r="U463" s="65">
        <f>Packages!V24</f>
        <v>0</v>
      </c>
      <c r="V463" s="65">
        <f>Packages!W24</f>
        <v>0</v>
      </c>
      <c r="W463" s="65">
        <f>Packages!X24</f>
        <v>0</v>
      </c>
      <c r="X463" s="65">
        <f>Packages!Y24</f>
        <v>0</v>
      </c>
      <c r="Y463" s="65">
        <f>Packages!Z24</f>
        <v>0</v>
      </c>
      <c r="Z463" s="65">
        <f>Packages!AA24</f>
        <v>0</v>
      </c>
      <c r="AA463" s="65">
        <f>Packages!AB24</f>
        <v>0</v>
      </c>
      <c r="AB463" s="65">
        <f>Packages!AC24</f>
        <v>0</v>
      </c>
      <c r="AC463" s="65">
        <f>Packages!AD24</f>
        <v>0</v>
      </c>
      <c r="AD463" s="65">
        <f>Packages!AE24</f>
        <v>0</v>
      </c>
      <c r="AE463" s="65">
        <f>Packages!AF24</f>
        <v>0</v>
      </c>
      <c r="AF463" s="65">
        <f>Packages!AG24</f>
        <v>0</v>
      </c>
      <c r="AG463" s="65">
        <f>Packages!AH24</f>
        <v>0</v>
      </c>
      <c r="AH463" s="65">
        <f>Packages!AI24</f>
        <v>0</v>
      </c>
      <c r="AI463" s="65">
        <f>Packages!AJ24</f>
        <v>0</v>
      </c>
      <c r="AJ463" s="65">
        <f>Packages!AK24</f>
        <v>0</v>
      </c>
      <c r="AK463" s="65">
        <f>Packages!AL24</f>
        <v>0</v>
      </c>
      <c r="AL463" s="65">
        <f>Packages!AM24</f>
        <v>0</v>
      </c>
      <c r="AM463" s="65">
        <f>Packages!AN24</f>
        <v>0</v>
      </c>
      <c r="AN463" s="65">
        <f>Packages!AO24</f>
        <v>0</v>
      </c>
      <c r="AO463" s="65">
        <f>Packages!AP24</f>
        <v>0</v>
      </c>
      <c r="AP463" s="65">
        <f>Packages!AQ24</f>
        <v>0</v>
      </c>
      <c r="AQ463" s="68"/>
    </row>
    <row r="464" spans="1:43" x14ac:dyDescent="0.2">
      <c r="A464" s="152">
        <f>Packages!B25</f>
        <v>0</v>
      </c>
      <c r="B464" s="65">
        <f>Packages!C25</f>
        <v>0</v>
      </c>
      <c r="C464" s="65">
        <f>Packages!D25</f>
        <v>0</v>
      </c>
      <c r="D464" s="65">
        <f>Packages!E25</f>
        <v>0</v>
      </c>
      <c r="E464" s="65">
        <f>Packages!F25</f>
        <v>0</v>
      </c>
      <c r="F464" s="65">
        <f>Packages!G25</f>
        <v>0</v>
      </c>
      <c r="G464" s="65">
        <f>Packages!H25</f>
        <v>0</v>
      </c>
      <c r="H464" s="65">
        <f>Packages!I25</f>
        <v>0</v>
      </c>
      <c r="I464" s="65">
        <f>Packages!J25</f>
        <v>0</v>
      </c>
      <c r="J464" s="65">
        <f>Packages!K25</f>
        <v>0</v>
      </c>
      <c r="K464" s="65">
        <f>Packages!L25</f>
        <v>0</v>
      </c>
      <c r="L464" s="65">
        <f>Packages!M25</f>
        <v>0</v>
      </c>
      <c r="M464" s="65">
        <f>Packages!N25</f>
        <v>0</v>
      </c>
      <c r="N464" s="65">
        <f>Packages!O25</f>
        <v>0</v>
      </c>
      <c r="O464" s="65">
        <f>Packages!P25</f>
        <v>0</v>
      </c>
      <c r="P464" s="65">
        <f>Packages!Q25</f>
        <v>0</v>
      </c>
      <c r="Q464" s="65">
        <f>Packages!R25</f>
        <v>0</v>
      </c>
      <c r="R464" s="65">
        <f>Packages!S25</f>
        <v>0</v>
      </c>
      <c r="S464" s="65">
        <f>Packages!T25</f>
        <v>0</v>
      </c>
      <c r="T464" s="65">
        <f>Packages!U25</f>
        <v>0</v>
      </c>
      <c r="U464" s="65">
        <f>Packages!V25</f>
        <v>0</v>
      </c>
      <c r="V464" s="65">
        <f>Packages!W25</f>
        <v>0</v>
      </c>
      <c r="W464" s="65">
        <f>Packages!X25</f>
        <v>0</v>
      </c>
      <c r="X464" s="65">
        <f>Packages!Y25</f>
        <v>0</v>
      </c>
      <c r="Y464" s="65">
        <f>Packages!Z25</f>
        <v>0</v>
      </c>
      <c r="Z464" s="65">
        <f>Packages!AA25</f>
        <v>0</v>
      </c>
      <c r="AA464" s="65">
        <f>Packages!AB25</f>
        <v>0</v>
      </c>
      <c r="AB464" s="65">
        <f>Packages!AC25</f>
        <v>0</v>
      </c>
      <c r="AC464" s="65">
        <f>Packages!AD25</f>
        <v>0</v>
      </c>
      <c r="AD464" s="65">
        <f>Packages!AE25</f>
        <v>0</v>
      </c>
      <c r="AE464" s="65">
        <f>Packages!AF25</f>
        <v>0</v>
      </c>
      <c r="AF464" s="65">
        <f>Packages!AG25</f>
        <v>0</v>
      </c>
      <c r="AG464" s="65">
        <f>Packages!AH25</f>
        <v>0</v>
      </c>
      <c r="AH464" s="65">
        <f>Packages!AI25</f>
        <v>0</v>
      </c>
      <c r="AI464" s="65">
        <f>Packages!AJ25</f>
        <v>0</v>
      </c>
      <c r="AJ464" s="65">
        <f>Packages!AK25</f>
        <v>0</v>
      </c>
      <c r="AK464" s="65">
        <f>Packages!AL25</f>
        <v>0</v>
      </c>
      <c r="AL464" s="65">
        <f>Packages!AM25</f>
        <v>0</v>
      </c>
      <c r="AM464" s="65">
        <f>Packages!AN25</f>
        <v>0</v>
      </c>
      <c r="AN464" s="65">
        <f>Packages!AO25</f>
        <v>0</v>
      </c>
      <c r="AO464" s="65">
        <f>Packages!AP25</f>
        <v>0</v>
      </c>
      <c r="AP464" s="65">
        <f>Packages!AQ25</f>
        <v>0</v>
      </c>
      <c r="AQ464" s="68"/>
    </row>
    <row r="465" spans="1:43" x14ac:dyDescent="0.2">
      <c r="A465" s="152">
        <f>Packages!B26</f>
        <v>0</v>
      </c>
      <c r="B465" s="65">
        <f>Packages!C26</f>
        <v>0</v>
      </c>
      <c r="C465" s="65">
        <f>Packages!D26</f>
        <v>0</v>
      </c>
      <c r="D465" s="65">
        <f>Packages!E26</f>
        <v>0</v>
      </c>
      <c r="E465" s="65">
        <f>Packages!F26</f>
        <v>0</v>
      </c>
      <c r="F465" s="65">
        <f>Packages!G26</f>
        <v>0</v>
      </c>
      <c r="G465" s="65">
        <f>Packages!H26</f>
        <v>0</v>
      </c>
      <c r="H465" s="65">
        <f>Packages!I26</f>
        <v>0</v>
      </c>
      <c r="I465" s="65">
        <f>Packages!J26</f>
        <v>0</v>
      </c>
      <c r="J465" s="65">
        <f>Packages!K26</f>
        <v>0</v>
      </c>
      <c r="K465" s="65">
        <f>Packages!L26</f>
        <v>0</v>
      </c>
      <c r="L465" s="65">
        <f>Packages!M26</f>
        <v>0</v>
      </c>
      <c r="M465" s="65">
        <f>Packages!N26</f>
        <v>0</v>
      </c>
      <c r="N465" s="65">
        <f>Packages!O26</f>
        <v>0</v>
      </c>
      <c r="O465" s="65">
        <f>Packages!P26</f>
        <v>0</v>
      </c>
      <c r="P465" s="65">
        <f>Packages!Q26</f>
        <v>0</v>
      </c>
      <c r="Q465" s="65">
        <f>Packages!R26</f>
        <v>0</v>
      </c>
      <c r="R465" s="65">
        <f>Packages!S26</f>
        <v>0</v>
      </c>
      <c r="S465" s="65">
        <f>Packages!T26</f>
        <v>0</v>
      </c>
      <c r="T465" s="65">
        <f>Packages!U26</f>
        <v>0</v>
      </c>
      <c r="U465" s="65">
        <f>Packages!V26</f>
        <v>0</v>
      </c>
      <c r="V465" s="65">
        <f>Packages!W26</f>
        <v>0</v>
      </c>
      <c r="W465" s="65">
        <f>Packages!X26</f>
        <v>0</v>
      </c>
      <c r="X465" s="65">
        <f>Packages!Y26</f>
        <v>0</v>
      </c>
      <c r="Y465" s="65">
        <f>Packages!Z26</f>
        <v>0</v>
      </c>
      <c r="Z465" s="65">
        <f>Packages!AA26</f>
        <v>0</v>
      </c>
      <c r="AA465" s="65">
        <f>Packages!AB26</f>
        <v>0</v>
      </c>
      <c r="AB465" s="65">
        <f>Packages!AC26</f>
        <v>0</v>
      </c>
      <c r="AC465" s="65">
        <f>Packages!AD26</f>
        <v>0</v>
      </c>
      <c r="AD465" s="65">
        <f>Packages!AE26</f>
        <v>0</v>
      </c>
      <c r="AE465" s="65">
        <f>Packages!AF26</f>
        <v>0</v>
      </c>
      <c r="AF465" s="65">
        <f>Packages!AG26</f>
        <v>0</v>
      </c>
      <c r="AG465" s="65">
        <f>Packages!AH26</f>
        <v>0</v>
      </c>
      <c r="AH465" s="65">
        <f>Packages!AI26</f>
        <v>0</v>
      </c>
      <c r="AI465" s="65">
        <f>Packages!AJ26</f>
        <v>0</v>
      </c>
      <c r="AJ465" s="65">
        <f>Packages!AK26</f>
        <v>0</v>
      </c>
      <c r="AK465" s="65">
        <f>Packages!AL26</f>
        <v>0</v>
      </c>
      <c r="AL465" s="65">
        <f>Packages!AM26</f>
        <v>0</v>
      </c>
      <c r="AM465" s="65">
        <f>Packages!AN26</f>
        <v>0</v>
      </c>
      <c r="AN465" s="65">
        <f>Packages!AO26</f>
        <v>0</v>
      </c>
      <c r="AO465" s="65">
        <f>Packages!AP26</f>
        <v>0</v>
      </c>
      <c r="AP465" s="65">
        <f>Packages!AQ26</f>
        <v>0</v>
      </c>
      <c r="AQ465" s="68"/>
    </row>
    <row r="466" spans="1:43" x14ac:dyDescent="0.2">
      <c r="A466" s="152" t="str">
        <f>Packages!B27</f>
        <v>Package Description: list the included value adds the way you want it displayed to the customer. This includes all amentities, services and discounts.</v>
      </c>
      <c r="B466" s="65">
        <f>Packages!C27</f>
        <v>0</v>
      </c>
      <c r="C466" s="65">
        <f>Packages!D27</f>
        <v>0</v>
      </c>
      <c r="D466" s="65">
        <f>Packages!E27</f>
        <v>0</v>
      </c>
      <c r="E466" s="65">
        <f>Packages!F27</f>
        <v>0</v>
      </c>
      <c r="F466" s="65">
        <f>Packages!G27</f>
        <v>0</v>
      </c>
      <c r="G466" s="65">
        <f>Packages!H27</f>
        <v>0</v>
      </c>
      <c r="H466" s="65">
        <f>Packages!I27</f>
        <v>0</v>
      </c>
      <c r="I466" s="65">
        <f>Packages!J27</f>
        <v>0</v>
      </c>
      <c r="J466" s="65">
        <f>Packages!K27</f>
        <v>0</v>
      </c>
      <c r="K466" s="65">
        <f>Packages!L27</f>
        <v>0</v>
      </c>
      <c r="L466" s="65">
        <f>Packages!M27</f>
        <v>0</v>
      </c>
      <c r="M466" s="65">
        <f>Packages!N27</f>
        <v>0</v>
      </c>
      <c r="N466" s="65">
        <f>Packages!O27</f>
        <v>0</v>
      </c>
      <c r="O466" s="65">
        <f>Packages!P27</f>
        <v>0</v>
      </c>
      <c r="P466" s="65">
        <f>Packages!Q27</f>
        <v>0</v>
      </c>
      <c r="Q466" s="65">
        <f>Packages!R27</f>
        <v>0</v>
      </c>
      <c r="R466" s="65">
        <f>Packages!S27</f>
        <v>0</v>
      </c>
      <c r="S466" s="65">
        <f>Packages!T27</f>
        <v>0</v>
      </c>
      <c r="T466" s="65">
        <f>Packages!U27</f>
        <v>0</v>
      </c>
      <c r="U466" s="65">
        <f>Packages!V27</f>
        <v>0</v>
      </c>
      <c r="V466" s="65">
        <f>Packages!W27</f>
        <v>0</v>
      </c>
      <c r="W466" s="65">
        <f>Packages!X27</f>
        <v>0</v>
      </c>
      <c r="X466" s="65">
        <f>Packages!Y27</f>
        <v>0</v>
      </c>
      <c r="Y466" s="65">
        <f>Packages!Z27</f>
        <v>0</v>
      </c>
      <c r="Z466" s="65">
        <f>Packages!AA27</f>
        <v>0</v>
      </c>
      <c r="AA466" s="65">
        <f>Packages!AB27</f>
        <v>0</v>
      </c>
      <c r="AB466" s="65">
        <f>Packages!AC27</f>
        <v>0</v>
      </c>
      <c r="AC466" s="65">
        <f>Packages!AD27</f>
        <v>0</v>
      </c>
      <c r="AD466" s="65">
        <f>Packages!AE27</f>
        <v>0</v>
      </c>
      <c r="AE466" s="65">
        <f>Packages!AF27</f>
        <v>0</v>
      </c>
      <c r="AF466" s="65">
        <f>Packages!AG27</f>
        <v>0</v>
      </c>
      <c r="AG466" s="65">
        <f>Packages!AH27</f>
        <v>0</v>
      </c>
      <c r="AH466" s="65">
        <f>Packages!AI27</f>
        <v>0</v>
      </c>
      <c r="AI466" s="65">
        <f>Packages!AJ27</f>
        <v>0</v>
      </c>
      <c r="AJ466" s="65">
        <f>Packages!AK27</f>
        <v>0</v>
      </c>
      <c r="AK466" s="65">
        <f>Packages!AL27</f>
        <v>0</v>
      </c>
      <c r="AL466" s="65">
        <f>Packages!AM27</f>
        <v>0</v>
      </c>
      <c r="AM466" s="65">
        <f>Packages!AN27</f>
        <v>0</v>
      </c>
      <c r="AN466" s="65">
        <f>Packages!AO27</f>
        <v>0</v>
      </c>
      <c r="AO466" s="65">
        <f>Packages!AP27</f>
        <v>0</v>
      </c>
      <c r="AP466" s="65">
        <f>Packages!AQ27</f>
        <v>0</v>
      </c>
      <c r="AQ466" s="68"/>
    </row>
    <row r="467" spans="1:43" x14ac:dyDescent="0.2">
      <c r="A467" s="480" t="s">
        <v>626</v>
      </c>
      <c r="B467" s="154">
        <f>Packages!C28</f>
        <v>0</v>
      </c>
      <c r="C467" s="154">
        <f>Packages!D28</f>
        <v>0</v>
      </c>
      <c r="D467" s="154">
        <f>Packages!E28</f>
        <v>0</v>
      </c>
      <c r="E467" s="154">
        <f>Packages!F28</f>
        <v>0</v>
      </c>
      <c r="F467" s="154">
        <f>Packages!G28</f>
        <v>0</v>
      </c>
      <c r="G467" s="154">
        <f>Packages!H28</f>
        <v>0</v>
      </c>
      <c r="H467" s="154">
        <f>Packages!I28</f>
        <v>0</v>
      </c>
      <c r="I467" s="154">
        <f>Packages!J28</f>
        <v>0</v>
      </c>
      <c r="J467" s="154">
        <f>Packages!K28</f>
        <v>0</v>
      </c>
      <c r="K467" s="154">
        <f>Packages!L28</f>
        <v>0</v>
      </c>
      <c r="L467" s="154">
        <f>Packages!M28</f>
        <v>0</v>
      </c>
      <c r="M467" s="154">
        <f>Packages!N28</f>
        <v>0</v>
      </c>
      <c r="N467" s="154">
        <f>Packages!O28</f>
        <v>0</v>
      </c>
      <c r="O467" s="154">
        <f>Packages!P28</f>
        <v>0</v>
      </c>
      <c r="P467" s="154">
        <f>Packages!Q28</f>
        <v>0</v>
      </c>
      <c r="Q467" s="154">
        <f>Packages!R28</f>
        <v>0</v>
      </c>
      <c r="R467" s="154">
        <f>Packages!S28</f>
        <v>0</v>
      </c>
      <c r="S467" s="154">
        <f>Packages!T28</f>
        <v>0</v>
      </c>
      <c r="T467" s="154">
        <f>Packages!U28</f>
        <v>0</v>
      </c>
      <c r="U467" s="154">
        <f>Packages!V28</f>
        <v>0</v>
      </c>
      <c r="V467" s="154">
        <f>Packages!W28</f>
        <v>0</v>
      </c>
      <c r="W467" s="154">
        <f>Packages!X28</f>
        <v>0</v>
      </c>
      <c r="X467" s="154">
        <f>Packages!Y28</f>
        <v>0</v>
      </c>
      <c r="Y467" s="154">
        <f>Packages!Z28</f>
        <v>0</v>
      </c>
      <c r="Z467" s="154">
        <f>Packages!AA28</f>
        <v>0</v>
      </c>
      <c r="AA467" s="154">
        <f>Packages!AB28</f>
        <v>0</v>
      </c>
      <c r="AB467" s="154">
        <f>Packages!AC28</f>
        <v>0</v>
      </c>
      <c r="AC467" s="154">
        <f>Packages!AD28</f>
        <v>0</v>
      </c>
      <c r="AD467" s="154">
        <f>Packages!AE28</f>
        <v>0</v>
      </c>
      <c r="AE467" s="154">
        <f>Packages!AF28</f>
        <v>0</v>
      </c>
      <c r="AF467" s="154">
        <f>Packages!AG28</f>
        <v>0</v>
      </c>
      <c r="AG467" s="154">
        <f>Packages!AH28</f>
        <v>0</v>
      </c>
      <c r="AH467" s="154">
        <f>Packages!AI28</f>
        <v>0</v>
      </c>
      <c r="AI467" s="154">
        <f>Packages!AJ28</f>
        <v>0</v>
      </c>
      <c r="AJ467" s="154">
        <f>Packages!AK28</f>
        <v>0</v>
      </c>
      <c r="AK467" s="154">
        <f>Packages!AL28</f>
        <v>0</v>
      </c>
      <c r="AL467" s="154">
        <f>Packages!AM28</f>
        <v>0</v>
      </c>
      <c r="AM467" s="154">
        <f>Packages!AN28</f>
        <v>0</v>
      </c>
      <c r="AN467" s="154">
        <f>Packages!AO28</f>
        <v>0</v>
      </c>
      <c r="AO467" s="154">
        <f>Packages!AP28</f>
        <v>0</v>
      </c>
      <c r="AP467" s="154">
        <f>Packages!AQ28</f>
        <v>0</v>
      </c>
      <c r="AQ467" s="155"/>
    </row>
  </sheetData>
  <sheetProtection password="C560" sheet="1" objects="1" scenarios="1" formatCells="0" formatColumns="0" formatRows="0" sort="0" autoFilter="0"/>
  <phoneticPr fontId="4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DropDown"/>
  <dimension ref="A1:AK51"/>
  <sheetViews>
    <sheetView topLeftCell="Z1" workbookViewId="0">
      <selection activeCell="AE27" sqref="AE27"/>
    </sheetView>
  </sheetViews>
  <sheetFormatPr defaultRowHeight="12.75" x14ac:dyDescent="0.2"/>
  <cols>
    <col min="1" max="1" width="14" customWidth="1"/>
    <col min="20" max="20" width="13.140625" bestFit="1" customWidth="1"/>
    <col min="24" max="24" width="21.140625" bestFit="1" customWidth="1"/>
    <col min="26" max="26" width="19.28515625" bestFit="1" customWidth="1"/>
    <col min="27" max="28" width="13.140625" bestFit="1" customWidth="1"/>
    <col min="31" max="31" width="22.42578125" bestFit="1" customWidth="1"/>
    <col min="33" max="33" width="13.42578125" bestFit="1" customWidth="1"/>
    <col min="34" max="35" width="27.140625" bestFit="1" customWidth="1"/>
  </cols>
  <sheetData>
    <row r="1" spans="1:37" x14ac:dyDescent="0.2">
      <c r="A1" s="2" t="s">
        <v>42</v>
      </c>
    </row>
    <row r="3" spans="1:37" x14ac:dyDescent="0.2">
      <c r="A3" s="2" t="s">
        <v>40</v>
      </c>
      <c r="C3" t="s">
        <v>43</v>
      </c>
      <c r="D3" s="22" t="s">
        <v>40</v>
      </c>
    </row>
    <row r="4" spans="1:37" ht="13.5" x14ac:dyDescent="0.2">
      <c r="A4" s="35" t="s">
        <v>531</v>
      </c>
      <c r="C4" t="s">
        <v>44</v>
      </c>
      <c r="D4" s="84" t="s">
        <v>553</v>
      </c>
      <c r="E4" t="s">
        <v>78</v>
      </c>
      <c r="F4" t="s">
        <v>106</v>
      </c>
      <c r="G4" t="s">
        <v>116</v>
      </c>
      <c r="H4" t="s">
        <v>140</v>
      </c>
      <c r="I4" t="s">
        <v>155</v>
      </c>
      <c r="J4" t="s">
        <v>166</v>
      </c>
      <c r="K4" t="s">
        <v>171</v>
      </c>
      <c r="L4" s="2" t="s">
        <v>29</v>
      </c>
      <c r="M4" t="s">
        <v>225</v>
      </c>
      <c r="N4" t="s">
        <v>199</v>
      </c>
      <c r="O4" t="s">
        <v>261</v>
      </c>
      <c r="P4" s="35" t="str">
        <f>'General Set-Up'!B8</f>
        <v>DBDB</v>
      </c>
      <c r="Q4" t="str">
        <f>'General Set-Up'!B7</f>
        <v>KING</v>
      </c>
      <c r="R4" s="35" t="s">
        <v>332</v>
      </c>
      <c r="S4" s="35" t="s">
        <v>343</v>
      </c>
      <c r="T4" s="35" t="s">
        <v>198</v>
      </c>
      <c r="U4" s="35" t="s">
        <v>374</v>
      </c>
      <c r="V4" s="35" t="s">
        <v>408</v>
      </c>
      <c r="W4" s="63" t="s">
        <v>410</v>
      </c>
      <c r="X4" s="35" t="s">
        <v>198</v>
      </c>
      <c r="Y4">
        <v>7</v>
      </c>
      <c r="Z4" s="2" t="s">
        <v>40</v>
      </c>
      <c r="AA4" s="35" t="s">
        <v>354</v>
      </c>
      <c r="AB4" s="35" t="s">
        <v>198</v>
      </c>
      <c r="AC4">
        <v>5</v>
      </c>
      <c r="AD4" s="84" t="s">
        <v>343</v>
      </c>
      <c r="AE4" s="35" t="s">
        <v>476</v>
      </c>
      <c r="AF4" s="147" t="s">
        <v>487</v>
      </c>
      <c r="AG4" s="35" t="s">
        <v>359</v>
      </c>
      <c r="AH4" s="339"/>
      <c r="AI4" s="35"/>
      <c r="AJ4" s="35" t="s">
        <v>585</v>
      </c>
    </row>
    <row r="5" spans="1:37" ht="13.5" x14ac:dyDescent="0.2">
      <c r="A5" s="2" t="s">
        <v>41</v>
      </c>
      <c r="C5" t="s">
        <v>45</v>
      </c>
      <c r="D5" s="2" t="s">
        <v>75</v>
      </c>
      <c r="E5" t="s">
        <v>79</v>
      </c>
      <c r="F5" t="s">
        <v>107</v>
      </c>
      <c r="G5" t="s">
        <v>117</v>
      </c>
      <c r="H5" t="s">
        <v>141</v>
      </c>
      <c r="I5" t="s">
        <v>156</v>
      </c>
      <c r="J5" t="s">
        <v>167</v>
      </c>
      <c r="K5" t="s">
        <v>172</v>
      </c>
      <c r="L5" s="2" t="s">
        <v>30</v>
      </c>
      <c r="M5" t="s">
        <v>226</v>
      </c>
      <c r="N5" t="s">
        <v>200</v>
      </c>
      <c r="O5" t="s">
        <v>262</v>
      </c>
      <c r="P5" s="35" t="str">
        <f>'General Set-Up'!B9</f>
        <v>PMRS</v>
      </c>
      <c r="Q5" t="str">
        <f>'General Set-Up'!B8</f>
        <v>DBDB</v>
      </c>
      <c r="R5" s="35" t="s">
        <v>342</v>
      </c>
      <c r="S5" s="35" t="s">
        <v>344</v>
      </c>
      <c r="T5" s="35" t="s">
        <v>354</v>
      </c>
      <c r="U5" s="35" t="s">
        <v>375</v>
      </c>
      <c r="V5" s="35" t="s">
        <v>409</v>
      </c>
      <c r="W5" s="35" t="s">
        <v>411</v>
      </c>
      <c r="X5" s="35" t="s">
        <v>354</v>
      </c>
      <c r="Y5">
        <v>14</v>
      </c>
      <c r="Z5" s="35" t="s">
        <v>415</v>
      </c>
      <c r="AA5" s="35" t="s">
        <v>355</v>
      </c>
      <c r="AB5" s="35" t="s">
        <v>355</v>
      </c>
      <c r="AC5">
        <v>7</v>
      </c>
      <c r="AD5" s="84" t="s">
        <v>344</v>
      </c>
      <c r="AE5" s="35" t="s">
        <v>477</v>
      </c>
      <c r="AF5" s="147" t="s">
        <v>488</v>
      </c>
      <c r="AG5" s="35" t="s">
        <v>506</v>
      </c>
      <c r="AH5" s="339" t="s">
        <v>561</v>
      </c>
      <c r="AI5" s="35" t="s">
        <v>538</v>
      </c>
      <c r="AJ5" s="35" t="s">
        <v>602</v>
      </c>
      <c r="AK5" s="35" t="s">
        <v>603</v>
      </c>
    </row>
    <row r="6" spans="1:37" ht="13.5" x14ac:dyDescent="0.2">
      <c r="C6" t="s">
        <v>46</v>
      </c>
      <c r="E6" t="s">
        <v>80</v>
      </c>
      <c r="F6" t="s">
        <v>108</v>
      </c>
      <c r="G6" t="s">
        <v>118</v>
      </c>
      <c r="H6" t="s">
        <v>142</v>
      </c>
      <c r="I6" t="s">
        <v>157</v>
      </c>
      <c r="J6" t="s">
        <v>168</v>
      </c>
      <c r="K6" t="s">
        <v>173</v>
      </c>
      <c r="L6" s="2" t="s">
        <v>31</v>
      </c>
      <c r="M6" t="s">
        <v>227</v>
      </c>
      <c r="N6" t="s">
        <v>201</v>
      </c>
      <c r="O6" t="s">
        <v>263</v>
      </c>
      <c r="P6" s="35" t="str">
        <f>'General Set-Up'!B10</f>
        <v>PMRS</v>
      </c>
      <c r="Q6" t="str">
        <f>'General Set-Up'!B9</f>
        <v>PMRS</v>
      </c>
      <c r="T6" s="35" t="s">
        <v>355</v>
      </c>
      <c r="U6" s="35" t="s">
        <v>376</v>
      </c>
      <c r="X6" s="35" t="s">
        <v>355</v>
      </c>
      <c r="Y6">
        <v>21</v>
      </c>
      <c r="Z6" s="35" t="s">
        <v>579</v>
      </c>
      <c r="AA6" s="35"/>
      <c r="AC6">
        <v>10</v>
      </c>
      <c r="AD6" s="84" t="s">
        <v>447</v>
      </c>
      <c r="AE6" s="35" t="s">
        <v>478</v>
      </c>
      <c r="AF6" s="147" t="s">
        <v>489</v>
      </c>
      <c r="AG6" s="35"/>
      <c r="AH6" s="339" t="s">
        <v>633</v>
      </c>
      <c r="AI6" s="35" t="s">
        <v>630</v>
      </c>
      <c r="AJ6" s="35" t="s">
        <v>635</v>
      </c>
      <c r="AK6" s="35" t="s">
        <v>607</v>
      </c>
    </row>
    <row r="7" spans="1:37" ht="13.5" x14ac:dyDescent="0.2">
      <c r="C7" t="s">
        <v>47</v>
      </c>
      <c r="E7" t="s">
        <v>81</v>
      </c>
      <c r="F7" t="s">
        <v>109</v>
      </c>
      <c r="G7" t="s">
        <v>119</v>
      </c>
      <c r="H7" t="s">
        <v>143</v>
      </c>
      <c r="I7" t="s">
        <v>158</v>
      </c>
      <c r="J7" t="s">
        <v>169</v>
      </c>
      <c r="K7" t="s">
        <v>174</v>
      </c>
      <c r="L7" s="2" t="s">
        <v>32</v>
      </c>
      <c r="M7" t="s">
        <v>228</v>
      </c>
      <c r="N7" t="s">
        <v>202</v>
      </c>
      <c r="O7" t="s">
        <v>264</v>
      </c>
      <c r="P7" s="35">
        <f>'General Set-Up'!B11</f>
        <v>0</v>
      </c>
      <c r="Q7" t="str">
        <f>'General Set-Up'!B10</f>
        <v>PMRS</v>
      </c>
      <c r="U7" s="35" t="s">
        <v>377</v>
      </c>
      <c r="X7" s="35" t="s">
        <v>413</v>
      </c>
      <c r="Y7">
        <v>30</v>
      </c>
      <c r="Z7" s="35" t="s">
        <v>580</v>
      </c>
      <c r="AC7">
        <v>14</v>
      </c>
      <c r="AE7" s="35" t="s">
        <v>594</v>
      </c>
      <c r="AF7" s="147" t="s">
        <v>490</v>
      </c>
      <c r="AH7" s="339" t="s">
        <v>599</v>
      </c>
      <c r="AI7" t="s">
        <v>597</v>
      </c>
      <c r="AJ7" s="35"/>
      <c r="AK7" s="35" t="s">
        <v>604</v>
      </c>
    </row>
    <row r="8" spans="1:37" ht="15" x14ac:dyDescent="0.25">
      <c r="C8" t="s">
        <v>48</v>
      </c>
      <c r="E8" t="s">
        <v>82</v>
      </c>
      <c r="F8" t="s">
        <v>110</v>
      </c>
      <c r="G8" t="s">
        <v>120</v>
      </c>
      <c r="H8" t="s">
        <v>144</v>
      </c>
      <c r="I8" t="s">
        <v>159</v>
      </c>
      <c r="J8" t="s">
        <v>170</v>
      </c>
      <c r="K8" t="s">
        <v>175</v>
      </c>
      <c r="L8" s="2" t="s">
        <v>33</v>
      </c>
      <c r="M8" t="s">
        <v>229</v>
      </c>
      <c r="N8" t="s">
        <v>203</v>
      </c>
      <c r="O8" t="s">
        <v>265</v>
      </c>
      <c r="P8" s="35">
        <f>'General Set-Up'!B12</f>
        <v>0</v>
      </c>
      <c r="Q8">
        <f>'General Set-Up'!B11</f>
        <v>0</v>
      </c>
      <c r="U8" s="35" t="s">
        <v>378</v>
      </c>
      <c r="Y8">
        <v>45</v>
      </c>
      <c r="Z8" s="35" t="s">
        <v>416</v>
      </c>
      <c r="AC8">
        <v>21</v>
      </c>
      <c r="AE8" s="35" t="s">
        <v>627</v>
      </c>
      <c r="AF8" s="147" t="s">
        <v>491</v>
      </c>
      <c r="AH8" s="339" t="s">
        <v>596</v>
      </c>
      <c r="AI8" s="456" t="s">
        <v>595</v>
      </c>
      <c r="AK8" s="35" t="s">
        <v>605</v>
      </c>
    </row>
    <row r="9" spans="1:37" x14ac:dyDescent="0.2">
      <c r="C9" t="s">
        <v>49</v>
      </c>
      <c r="E9" t="s">
        <v>83</v>
      </c>
      <c r="F9" t="s">
        <v>111</v>
      </c>
      <c r="G9" t="s">
        <v>121</v>
      </c>
      <c r="H9" t="s">
        <v>151</v>
      </c>
      <c r="I9" t="s">
        <v>160</v>
      </c>
      <c r="K9" t="s">
        <v>176</v>
      </c>
      <c r="L9" s="2" t="s">
        <v>34</v>
      </c>
      <c r="M9" t="s">
        <v>230</v>
      </c>
      <c r="N9" t="s">
        <v>204</v>
      </c>
      <c r="O9" s="35" t="s">
        <v>277</v>
      </c>
      <c r="P9" s="35">
        <f>'General Set-Up'!B13</f>
        <v>0</v>
      </c>
      <c r="Q9">
        <f>'General Set-Up'!B12</f>
        <v>0</v>
      </c>
      <c r="U9" s="35" t="s">
        <v>379</v>
      </c>
      <c r="Y9">
        <v>60</v>
      </c>
      <c r="AE9" s="35" t="s">
        <v>628</v>
      </c>
      <c r="AH9" s="339" t="s">
        <v>634</v>
      </c>
      <c r="AI9" s="35" t="s">
        <v>631</v>
      </c>
      <c r="AK9" s="35" t="s">
        <v>608</v>
      </c>
    </row>
    <row r="10" spans="1:37" x14ac:dyDescent="0.2">
      <c r="C10" t="s">
        <v>50</v>
      </c>
      <c r="E10" t="s">
        <v>84</v>
      </c>
      <c r="F10" t="s">
        <v>112</v>
      </c>
      <c r="G10" t="s">
        <v>122</v>
      </c>
      <c r="H10" t="s">
        <v>152</v>
      </c>
      <c r="I10" t="s">
        <v>161</v>
      </c>
      <c r="K10" t="s">
        <v>177</v>
      </c>
      <c r="L10" s="2" t="s">
        <v>35</v>
      </c>
      <c r="M10" t="s">
        <v>231</v>
      </c>
      <c r="N10" t="s">
        <v>205</v>
      </c>
      <c r="O10" t="s">
        <v>266</v>
      </c>
      <c r="P10" s="35">
        <f>'General Set-Up'!B14</f>
        <v>0</v>
      </c>
      <c r="Q10">
        <f>'General Set-Up'!B13</f>
        <v>0</v>
      </c>
      <c r="U10" s="35" t="s">
        <v>380</v>
      </c>
      <c r="Y10">
        <v>90</v>
      </c>
      <c r="AE10" s="35" t="s">
        <v>638</v>
      </c>
      <c r="AH10" s="339" t="s">
        <v>598</v>
      </c>
      <c r="AI10" s="35" t="s">
        <v>574</v>
      </c>
      <c r="AK10" s="35" t="s">
        <v>606</v>
      </c>
    </row>
    <row r="11" spans="1:37" x14ac:dyDescent="0.2">
      <c r="C11" t="s">
        <v>51</v>
      </c>
      <c r="E11" t="s">
        <v>85</v>
      </c>
      <c r="F11" t="s">
        <v>113</v>
      </c>
      <c r="G11" t="s">
        <v>123</v>
      </c>
      <c r="H11" t="s">
        <v>153</v>
      </c>
      <c r="I11" t="s">
        <v>162</v>
      </c>
      <c r="K11" t="s">
        <v>178</v>
      </c>
      <c r="M11" t="s">
        <v>232</v>
      </c>
      <c r="N11" t="s">
        <v>206</v>
      </c>
      <c r="O11" t="s">
        <v>267</v>
      </c>
      <c r="P11" s="35">
        <f>'General Set-Up'!B15</f>
        <v>0</v>
      </c>
      <c r="Q11">
        <f>'General Set-Up'!B14</f>
        <v>0</v>
      </c>
      <c r="AE11" s="35" t="s">
        <v>639</v>
      </c>
      <c r="AH11" s="339" t="s">
        <v>562</v>
      </c>
      <c r="AI11" s="35" t="s">
        <v>539</v>
      </c>
    </row>
    <row r="12" spans="1:37" x14ac:dyDescent="0.2">
      <c r="C12" t="s">
        <v>52</v>
      </c>
      <c r="E12" t="s">
        <v>86</v>
      </c>
      <c r="F12" t="s">
        <v>114</v>
      </c>
      <c r="G12" t="s">
        <v>124</v>
      </c>
      <c r="H12" t="s">
        <v>154</v>
      </c>
      <c r="I12" t="s">
        <v>163</v>
      </c>
      <c r="K12" t="s">
        <v>179</v>
      </c>
      <c r="M12" t="s">
        <v>233</v>
      </c>
      <c r="N12" t="s">
        <v>207</v>
      </c>
      <c r="O12" t="s">
        <v>268</v>
      </c>
      <c r="P12" s="35">
        <f>'General Set-Up'!B16</f>
        <v>0</v>
      </c>
      <c r="Q12">
        <f>'General Set-Up'!B15</f>
        <v>0</v>
      </c>
      <c r="AE12" s="35" t="s">
        <v>479</v>
      </c>
      <c r="AH12" s="339" t="s">
        <v>632</v>
      </c>
      <c r="AI12" s="35" t="s">
        <v>629</v>
      </c>
    </row>
    <row r="13" spans="1:37" x14ac:dyDescent="0.2">
      <c r="C13" t="s">
        <v>53</v>
      </c>
      <c r="E13" t="s">
        <v>87</v>
      </c>
      <c r="F13" t="s">
        <v>115</v>
      </c>
      <c r="G13" t="s">
        <v>125</v>
      </c>
      <c r="H13" t="s">
        <v>145</v>
      </c>
      <c r="I13" t="s">
        <v>164</v>
      </c>
      <c r="K13" t="s">
        <v>180</v>
      </c>
      <c r="M13" t="s">
        <v>234</v>
      </c>
      <c r="N13" t="s">
        <v>208</v>
      </c>
      <c r="O13" t="s">
        <v>269</v>
      </c>
      <c r="P13" s="35">
        <f>'General Set-Up'!B17</f>
        <v>0</v>
      </c>
      <c r="Q13">
        <f>'General Set-Up'!B16</f>
        <v>0</v>
      </c>
      <c r="AE13" s="35" t="s">
        <v>480</v>
      </c>
      <c r="AH13" s="339" t="s">
        <v>572</v>
      </c>
      <c r="AI13" s="35" t="s">
        <v>566</v>
      </c>
    </row>
    <row r="14" spans="1:37" x14ac:dyDescent="0.2">
      <c r="C14" t="s">
        <v>54</v>
      </c>
      <c r="E14" t="s">
        <v>88</v>
      </c>
      <c r="F14" t="s">
        <v>104</v>
      </c>
      <c r="G14" t="s">
        <v>126</v>
      </c>
      <c r="H14" t="s">
        <v>146</v>
      </c>
      <c r="I14" t="s">
        <v>165</v>
      </c>
      <c r="K14" t="s">
        <v>181</v>
      </c>
      <c r="M14" t="s">
        <v>235</v>
      </c>
      <c r="N14" t="s">
        <v>209</v>
      </c>
      <c r="O14" t="s">
        <v>270</v>
      </c>
      <c r="P14" s="35">
        <f>'General Set-Up'!B18</f>
        <v>0</v>
      </c>
      <c r="Q14">
        <f>'General Set-Up'!B17</f>
        <v>0</v>
      </c>
      <c r="AE14" s="35" t="s">
        <v>481</v>
      </c>
    </row>
    <row r="15" spans="1:37" x14ac:dyDescent="0.2">
      <c r="C15" t="s">
        <v>55</v>
      </c>
      <c r="E15" t="s">
        <v>89</v>
      </c>
      <c r="F15" t="s">
        <v>104</v>
      </c>
      <c r="G15" t="s">
        <v>127</v>
      </c>
      <c r="H15" t="s">
        <v>147</v>
      </c>
      <c r="K15" t="s">
        <v>182</v>
      </c>
      <c r="M15" t="s">
        <v>236</v>
      </c>
      <c r="N15" t="s">
        <v>210</v>
      </c>
      <c r="O15" t="s">
        <v>271</v>
      </c>
      <c r="P15" s="35">
        <f>'General Set-Up'!B19</f>
        <v>0</v>
      </c>
      <c r="Q15">
        <f>'General Set-Up'!B18</f>
        <v>0</v>
      </c>
      <c r="AE15" s="35" t="s">
        <v>482</v>
      </c>
    </row>
    <row r="16" spans="1:37" x14ac:dyDescent="0.2">
      <c r="C16" t="s">
        <v>56</v>
      </c>
      <c r="E16" t="s">
        <v>90</v>
      </c>
      <c r="F16" t="s">
        <v>105</v>
      </c>
      <c r="G16" t="s">
        <v>128</v>
      </c>
      <c r="H16" t="s">
        <v>148</v>
      </c>
      <c r="K16" t="s">
        <v>183</v>
      </c>
      <c r="M16" t="s">
        <v>237</v>
      </c>
      <c r="N16" t="s">
        <v>211</v>
      </c>
      <c r="O16" t="s">
        <v>270</v>
      </c>
      <c r="P16" s="35">
        <f>'General Set-Up'!B20</f>
        <v>0</v>
      </c>
      <c r="Q16">
        <f>'General Set-Up'!B19</f>
        <v>0</v>
      </c>
      <c r="AE16" s="35" t="s">
        <v>483</v>
      </c>
    </row>
    <row r="17" spans="3:17" x14ac:dyDescent="0.2">
      <c r="C17" t="s">
        <v>57</v>
      </c>
      <c r="E17" t="s">
        <v>91</v>
      </c>
      <c r="G17" t="s">
        <v>129</v>
      </c>
      <c r="H17" t="s">
        <v>149</v>
      </c>
      <c r="K17" t="s">
        <v>184</v>
      </c>
      <c r="M17" t="s">
        <v>238</v>
      </c>
      <c r="N17" t="s">
        <v>212</v>
      </c>
      <c r="O17" t="s">
        <v>271</v>
      </c>
      <c r="P17" s="35">
        <f>'General Set-Up'!B21</f>
        <v>0</v>
      </c>
      <c r="Q17">
        <f>'General Set-Up'!B20</f>
        <v>0</v>
      </c>
    </row>
    <row r="18" spans="3:17" x14ac:dyDescent="0.2">
      <c r="C18" t="s">
        <v>58</v>
      </c>
      <c r="E18" t="s">
        <v>92</v>
      </c>
      <c r="G18" t="s">
        <v>130</v>
      </c>
      <c r="H18" t="s">
        <v>150</v>
      </c>
      <c r="K18" t="s">
        <v>185</v>
      </c>
      <c r="M18" t="s">
        <v>239</v>
      </c>
      <c r="N18" t="s">
        <v>213</v>
      </c>
      <c r="O18" t="s">
        <v>272</v>
      </c>
      <c r="P18" s="35">
        <f>'General Set-Up'!B22</f>
        <v>0</v>
      </c>
      <c r="Q18">
        <f>'General Set-Up'!B21</f>
        <v>0</v>
      </c>
    </row>
    <row r="19" spans="3:17" x14ac:dyDescent="0.2">
      <c r="C19" t="s">
        <v>59</v>
      </c>
      <c r="E19" t="s">
        <v>93</v>
      </c>
      <c r="G19" t="s">
        <v>131</v>
      </c>
      <c r="K19" t="s">
        <v>186</v>
      </c>
      <c r="M19" t="s">
        <v>240</v>
      </c>
      <c r="N19" t="s">
        <v>214</v>
      </c>
      <c r="O19" t="s">
        <v>273</v>
      </c>
      <c r="Q19">
        <f>'General Set-Up'!B22</f>
        <v>0</v>
      </c>
    </row>
    <row r="20" spans="3:17" x14ac:dyDescent="0.2">
      <c r="C20" t="s">
        <v>60</v>
      </c>
      <c r="E20" t="s">
        <v>77</v>
      </c>
      <c r="G20" t="s">
        <v>132</v>
      </c>
      <c r="K20" t="s">
        <v>187</v>
      </c>
      <c r="M20" t="s">
        <v>241</v>
      </c>
      <c r="N20" t="s">
        <v>215</v>
      </c>
      <c r="O20" t="s">
        <v>274</v>
      </c>
      <c r="P20" s="35"/>
    </row>
    <row r="21" spans="3:17" x14ac:dyDescent="0.2">
      <c r="C21" t="s">
        <v>61</v>
      </c>
      <c r="E21" t="s">
        <v>94</v>
      </c>
      <c r="G21" t="s">
        <v>133</v>
      </c>
      <c r="K21" t="s">
        <v>188</v>
      </c>
      <c r="M21" t="s">
        <v>242</v>
      </c>
      <c r="N21" t="s">
        <v>216</v>
      </c>
      <c r="O21" t="s">
        <v>275</v>
      </c>
      <c r="P21" s="35"/>
    </row>
    <row r="22" spans="3:17" x14ac:dyDescent="0.2">
      <c r="C22" t="s">
        <v>62</v>
      </c>
      <c r="E22" t="s">
        <v>95</v>
      </c>
      <c r="G22" t="s">
        <v>134</v>
      </c>
      <c r="K22" t="s">
        <v>189</v>
      </c>
      <c r="M22" t="s">
        <v>243</v>
      </c>
      <c r="N22" t="s">
        <v>217</v>
      </c>
      <c r="O22" t="s">
        <v>276</v>
      </c>
      <c r="P22" s="35"/>
    </row>
    <row r="23" spans="3:17" x14ac:dyDescent="0.2">
      <c r="C23" t="s">
        <v>63</v>
      </c>
      <c r="E23" t="s">
        <v>96</v>
      </c>
      <c r="G23" t="s">
        <v>135</v>
      </c>
      <c r="K23" t="s">
        <v>190</v>
      </c>
      <c r="M23" t="s">
        <v>244</v>
      </c>
      <c r="N23" t="s">
        <v>218</v>
      </c>
      <c r="O23" s="35" t="s">
        <v>278</v>
      </c>
    </row>
    <row r="24" spans="3:17" x14ac:dyDescent="0.2">
      <c r="C24" t="s">
        <v>64</v>
      </c>
      <c r="E24" t="s">
        <v>97</v>
      </c>
      <c r="G24" t="s">
        <v>136</v>
      </c>
      <c r="K24" t="s">
        <v>191</v>
      </c>
      <c r="M24" t="s">
        <v>245</v>
      </c>
      <c r="N24" t="s">
        <v>219</v>
      </c>
      <c r="O24" s="35" t="s">
        <v>279</v>
      </c>
    </row>
    <row r="25" spans="3:17" x14ac:dyDescent="0.2">
      <c r="C25" t="s">
        <v>65</v>
      </c>
      <c r="E25" t="s">
        <v>98</v>
      </c>
      <c r="G25" t="s">
        <v>137</v>
      </c>
      <c r="K25" t="s">
        <v>192</v>
      </c>
      <c r="M25" t="s">
        <v>246</v>
      </c>
      <c r="N25" t="s">
        <v>220</v>
      </c>
      <c r="O25" s="35" t="s">
        <v>280</v>
      </c>
    </row>
    <row r="26" spans="3:17" x14ac:dyDescent="0.2">
      <c r="C26" t="s">
        <v>66</v>
      </c>
      <c r="E26" t="s">
        <v>99</v>
      </c>
      <c r="G26" t="s">
        <v>138</v>
      </c>
      <c r="K26" t="s">
        <v>193</v>
      </c>
      <c r="M26" t="s">
        <v>247</v>
      </c>
      <c r="N26" t="s">
        <v>221</v>
      </c>
      <c r="O26" t="s">
        <v>281</v>
      </c>
    </row>
    <row r="27" spans="3:17" x14ac:dyDescent="0.2">
      <c r="C27" t="s">
        <v>67</v>
      </c>
      <c r="E27" t="s">
        <v>100</v>
      </c>
      <c r="G27" t="s">
        <v>139</v>
      </c>
      <c r="K27" t="s">
        <v>194</v>
      </c>
      <c r="M27" t="s">
        <v>248</v>
      </c>
      <c r="N27" t="s">
        <v>222</v>
      </c>
      <c r="O27" t="s">
        <v>282</v>
      </c>
    </row>
    <row r="28" spans="3:17" x14ac:dyDescent="0.2">
      <c r="C28" t="s">
        <v>68</v>
      </c>
      <c r="E28" t="s">
        <v>101</v>
      </c>
      <c r="K28" t="s">
        <v>195</v>
      </c>
      <c r="M28" t="s">
        <v>249</v>
      </c>
      <c r="N28" t="s">
        <v>223</v>
      </c>
      <c r="O28" t="s">
        <v>283</v>
      </c>
    </row>
    <row r="29" spans="3:17" x14ac:dyDescent="0.2">
      <c r="K29" t="s">
        <v>196</v>
      </c>
      <c r="M29" t="s">
        <v>250</v>
      </c>
      <c r="N29" t="s">
        <v>224</v>
      </c>
      <c r="O29" t="s">
        <v>284</v>
      </c>
    </row>
    <row r="30" spans="3:17" x14ac:dyDescent="0.2">
      <c r="K30" t="s">
        <v>174</v>
      </c>
      <c r="O30" t="s">
        <v>285</v>
      </c>
    </row>
    <row r="31" spans="3:17" x14ac:dyDescent="0.2">
      <c r="O31" t="s">
        <v>286</v>
      </c>
    </row>
    <row r="32" spans="3:17" x14ac:dyDescent="0.2">
      <c r="O32" t="s">
        <v>287</v>
      </c>
    </row>
    <row r="33" spans="15:15" x14ac:dyDescent="0.2">
      <c r="O33" t="s">
        <v>288</v>
      </c>
    </row>
    <row r="34" spans="15:15" x14ac:dyDescent="0.2">
      <c r="O34" t="s">
        <v>289</v>
      </c>
    </row>
    <row r="35" spans="15:15" x14ac:dyDescent="0.2">
      <c r="O35" t="s">
        <v>290</v>
      </c>
    </row>
    <row r="36" spans="15:15" x14ac:dyDescent="0.2">
      <c r="O36" t="s">
        <v>291</v>
      </c>
    </row>
    <row r="37" spans="15:15" x14ac:dyDescent="0.2">
      <c r="O37" t="s">
        <v>292</v>
      </c>
    </row>
    <row r="38" spans="15:15" x14ac:dyDescent="0.2">
      <c r="O38" t="s">
        <v>293</v>
      </c>
    </row>
    <row r="39" spans="15:15" x14ac:dyDescent="0.2">
      <c r="O39" t="s">
        <v>294</v>
      </c>
    </row>
    <row r="40" spans="15:15" x14ac:dyDescent="0.2">
      <c r="O40" t="s">
        <v>295</v>
      </c>
    </row>
    <row r="41" spans="15:15" x14ac:dyDescent="0.2">
      <c r="O41" t="s">
        <v>296</v>
      </c>
    </row>
    <row r="42" spans="15:15" x14ac:dyDescent="0.2">
      <c r="O42" t="s">
        <v>297</v>
      </c>
    </row>
    <row r="43" spans="15:15" x14ac:dyDescent="0.2">
      <c r="O43" t="s">
        <v>298</v>
      </c>
    </row>
    <row r="44" spans="15:15" x14ac:dyDescent="0.2">
      <c r="O44" t="s">
        <v>299</v>
      </c>
    </row>
    <row r="45" spans="15:15" x14ac:dyDescent="0.2">
      <c r="O45" t="s">
        <v>300</v>
      </c>
    </row>
    <row r="46" spans="15:15" x14ac:dyDescent="0.2">
      <c r="O46" t="s">
        <v>301</v>
      </c>
    </row>
    <row r="47" spans="15:15" x14ac:dyDescent="0.2">
      <c r="O47" t="s">
        <v>302</v>
      </c>
    </row>
    <row r="48" spans="15:15" x14ac:dyDescent="0.2">
      <c r="O48" t="s">
        <v>303</v>
      </c>
    </row>
    <row r="49" spans="15:15" x14ac:dyDescent="0.2">
      <c r="O49" t="s">
        <v>304</v>
      </c>
    </row>
    <row r="50" spans="15:15" x14ac:dyDescent="0.2">
      <c r="O50" t="s">
        <v>305</v>
      </c>
    </row>
    <row r="51" spans="15:15" x14ac:dyDescent="0.2">
      <c r="O51" t="s">
        <v>306</v>
      </c>
    </row>
  </sheetData>
  <sheetProtection formatCells="0" formatColumns="0" formatRows="0" selectLockedCells="1" sort="0" autoFilter="0" selectUnlockedCells="1"/>
  <sortState ref="AH5:AI13">
    <sortCondition ref="AI5:AI13"/>
  </sortState>
  <phoneticPr fontId="47" type="noConversion"/>
  <conditionalFormatting sqref="P4:P18">
    <cfRule type="cellIs" dxfId="0" priority="1" operator="equal">
      <formula>0</formula>
    </cfRule>
  </conditionalFormatting>
  <hyperlinks>
    <hyperlink ref="AH5" r:id="rId1"/>
    <hyperlink ref="AH11" r:id="rId2"/>
    <hyperlink ref="AH13" r:id="rId3"/>
    <hyperlink ref="AH8" r:id="rId4"/>
    <hyperlink ref="AH7" r:id="rId5"/>
    <hyperlink ref="AH10" r:id="rId6"/>
    <hyperlink ref="AH12" r:id="rId7"/>
    <hyperlink ref="AH6" r:id="rId8"/>
    <hyperlink ref="AH9" r:id="rId9"/>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Version"/>
  <dimension ref="A1:B21"/>
  <sheetViews>
    <sheetView workbookViewId="0">
      <selection activeCell="A21" sqref="A21"/>
    </sheetView>
  </sheetViews>
  <sheetFormatPr defaultRowHeight="12.75" x14ac:dyDescent="0.2"/>
  <cols>
    <col min="1" max="1" width="9.85546875" customWidth="1"/>
    <col min="2" max="2" width="103.28515625" bestFit="1" customWidth="1"/>
  </cols>
  <sheetData>
    <row r="1" spans="1:2" x14ac:dyDescent="0.2">
      <c r="A1" s="35" t="s">
        <v>541</v>
      </c>
      <c r="B1" s="35" t="s">
        <v>542</v>
      </c>
    </row>
    <row r="2" spans="1:2" x14ac:dyDescent="0.2">
      <c r="A2">
        <v>2.0099999999999998</v>
      </c>
      <c r="B2" s="35" t="s">
        <v>543</v>
      </c>
    </row>
    <row r="3" spans="1:2" x14ac:dyDescent="0.2">
      <c r="A3">
        <v>2.02</v>
      </c>
      <c r="B3" s="35" t="s">
        <v>544</v>
      </c>
    </row>
    <row r="4" spans="1:2" x14ac:dyDescent="0.2">
      <c r="A4">
        <v>2.0299999999999998</v>
      </c>
      <c r="B4" s="35" t="s">
        <v>556</v>
      </c>
    </row>
    <row r="5" spans="1:2" x14ac:dyDescent="0.2">
      <c r="B5" s="35" t="s">
        <v>546</v>
      </c>
    </row>
    <row r="6" spans="1:2" x14ac:dyDescent="0.2">
      <c r="B6" s="35" t="s">
        <v>549</v>
      </c>
    </row>
    <row r="7" spans="1:2" x14ac:dyDescent="0.2">
      <c r="B7" s="35" t="s">
        <v>545</v>
      </c>
    </row>
    <row r="8" spans="1:2" x14ac:dyDescent="0.2">
      <c r="B8" s="35" t="s">
        <v>555</v>
      </c>
    </row>
    <row r="9" spans="1:2" x14ac:dyDescent="0.2">
      <c r="B9" s="35" t="s">
        <v>557</v>
      </c>
    </row>
    <row r="10" spans="1:2" x14ac:dyDescent="0.2">
      <c r="B10" s="35" t="s">
        <v>558</v>
      </c>
    </row>
    <row r="11" spans="1:2" x14ac:dyDescent="0.2">
      <c r="B11" s="35" t="s">
        <v>559</v>
      </c>
    </row>
    <row r="12" spans="1:2" x14ac:dyDescent="0.2">
      <c r="A12">
        <v>2.0310000000000001</v>
      </c>
      <c r="B12" s="35" t="s">
        <v>560</v>
      </c>
    </row>
    <row r="13" spans="1:2" x14ac:dyDescent="0.2">
      <c r="A13">
        <v>2.04</v>
      </c>
      <c r="B13" s="35" t="s">
        <v>568</v>
      </c>
    </row>
    <row r="14" spans="1:2" x14ac:dyDescent="0.2">
      <c r="B14" s="35" t="s">
        <v>563</v>
      </c>
    </row>
    <row r="15" spans="1:2" x14ac:dyDescent="0.2">
      <c r="B15" s="35" t="s">
        <v>565</v>
      </c>
    </row>
    <row r="16" spans="1:2" x14ac:dyDescent="0.2">
      <c r="B16" s="35" t="s">
        <v>564</v>
      </c>
    </row>
    <row r="17" spans="1:2" x14ac:dyDescent="0.2">
      <c r="B17" s="35" t="s">
        <v>567</v>
      </c>
    </row>
    <row r="18" spans="1:2" x14ac:dyDescent="0.2">
      <c r="B18" s="35" t="s">
        <v>569</v>
      </c>
    </row>
    <row r="19" spans="1:2" x14ac:dyDescent="0.2">
      <c r="B19" s="35" t="s">
        <v>571</v>
      </c>
    </row>
    <row r="20" spans="1:2" x14ac:dyDescent="0.2">
      <c r="A20">
        <v>2.0409999999999999</v>
      </c>
      <c r="B20" s="35" t="s">
        <v>570</v>
      </c>
    </row>
    <row r="21" spans="1:2" x14ac:dyDescent="0.2">
      <c r="A21">
        <v>2.1</v>
      </c>
      <c r="B21" s="35" t="s">
        <v>573</v>
      </c>
    </row>
  </sheetData>
  <sheetProtection password="C560" sheet="1" objects="1" scenarios="1" formatCells="0" formatColumns="0" formatRows="0" sort="0" autoFilter="0"/>
  <phoneticPr fontId="4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tns:customPropertyEditors xmlns:tns="http://schemas.microsoft.com/office/2006/customDocumentInformationPanel">
  <tns:showOnOpen>false</tns:showOnOpen>
  <tns:defaultPropertyEditorNamespace>Standard and SharePoint library properties</tns:defaultPropertyEditorNamespace>
</tns:customPropertyEditors>
</file>

<file path=customXml/item3.xml><?xml version="1.0" encoding="utf-8"?>
<p:properties xmlns:p="http://schemas.microsoft.com/office/2006/metadata/properties" xmlns:xsi="http://www.w3.org/2001/XMLSchema-instanc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EA80807A26C47A42A74DA0997739EBD2" ma:contentTypeVersion="10" ma:contentTypeDescription="Create a new document." ma:contentTypeScope="" ma:versionID="2091e910a99627211bfc9ef99a6648cb">
  <xsd:schema xmlns:xsd="http://www.w3.org/2001/XMLSchema" xmlns:p="http://schemas.microsoft.com/office/2006/metadata/properties" targetNamespace="http://schemas.microsoft.com/office/2006/metadata/properties" ma:root="true" ma:fieldsID="bfb85531492299a443187b2d09fe2a1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B15AABC-6C0C-4119-A3BF-79793EC3A09E}">
  <ds:schemaRefs>
    <ds:schemaRef ds:uri="http://schemas.microsoft.com/sharepoint/v3/contenttype/forms"/>
  </ds:schemaRefs>
</ds:datastoreItem>
</file>

<file path=customXml/itemProps2.xml><?xml version="1.0" encoding="utf-8"?>
<ds:datastoreItem xmlns:ds="http://schemas.openxmlformats.org/officeDocument/2006/customXml" ds:itemID="{9FC00043-45C7-493A-BB0B-821FE24A9521}">
  <ds:schemaRefs>
    <ds:schemaRef ds:uri="http://schemas.microsoft.com/office/2006/customDocumentInformationPanel"/>
  </ds:schemaRefs>
</ds:datastoreItem>
</file>

<file path=customXml/itemProps3.xml><?xml version="1.0" encoding="utf-8"?>
<ds:datastoreItem xmlns:ds="http://schemas.openxmlformats.org/officeDocument/2006/customXml" ds:itemID="{EE939AFA-D0CC-4DE5-8A2F-DB9C7F6AFDEF}">
  <ds:schemaRefs>
    <ds:schemaRef ds:uri="http://www.w3.org/XML/1998/namespace"/>
    <ds:schemaRef ds:uri="http://purl.org/dc/terms/"/>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http://purl.org/dc/dcmitype/"/>
  </ds:schemaRefs>
</ds:datastoreItem>
</file>

<file path=customXml/itemProps4.xml><?xml version="1.0" encoding="utf-8"?>
<ds:datastoreItem xmlns:ds="http://schemas.openxmlformats.org/officeDocument/2006/customXml" ds:itemID="{A1434026-2500-4F2F-A223-02263CDBAC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vt:i4>
      </vt:variant>
    </vt:vector>
  </HeadingPairs>
  <TitlesOfParts>
    <vt:vector size="15" baseType="lpstr">
      <vt:lpstr>Welcome</vt:lpstr>
      <vt:lpstr>Instructions</vt:lpstr>
      <vt:lpstr>General Set-Up</vt:lpstr>
      <vt:lpstr>Retail Pricing Sheet</vt:lpstr>
      <vt:lpstr>Retail Pricing RI+TPS</vt:lpstr>
      <vt:lpstr>Standard Discounts</vt:lpstr>
      <vt:lpstr>E-Channels</vt:lpstr>
      <vt:lpstr>Special Corporate+ Rates</vt:lpstr>
      <vt:lpstr>Special Corporate+ RI+TPS</vt:lpstr>
      <vt:lpstr>Packages</vt:lpstr>
      <vt:lpstr>DATA</vt:lpstr>
      <vt:lpstr>DropDown</vt:lpstr>
      <vt:lpstr>Versions</vt:lpstr>
      <vt:lpstr>Instructions!Print_Area</vt:lpstr>
      <vt:lpstr>wBrand</vt:lpstr>
    </vt:vector>
  </TitlesOfParts>
  <Company>Marriott International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sjdit154, jmgri798</dc:creator>
  <dc:description>updated 6/7/16</dc:description>
  <cp:lastModifiedBy>梁绍辉</cp:lastModifiedBy>
  <cp:lastPrinted>2012-03-04T19:57:02Z</cp:lastPrinted>
  <dcterms:created xsi:type="dcterms:W3CDTF">2008-02-10T16:52:04Z</dcterms:created>
  <dcterms:modified xsi:type="dcterms:W3CDTF">2016-10-26T07:26:56Z</dcterms:modified>
  <cp:contentStatus>v1p4p7</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0x010100EA80807A26C47A42A74DA0997739EBD2</vt:lpwstr>
  </property>
</Properties>
</file>